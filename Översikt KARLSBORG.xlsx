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46282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46282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46282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46282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46282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46282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46282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46282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46282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46282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46282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46282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46282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46282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46282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29484-2025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46282</v>
      </c>
      <c r="F20" t="inlineStr">
        <is>
          <t>VÄSTRA GÖTALANDS LÄN</t>
        </is>
      </c>
      <c r="G20" t="inlineStr">
        <is>
          <t>KARLSBORG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Blåsippa</t>
        </is>
      </c>
      <c r="W20">
        <f>HYPERLINK("https://klasma.github.io/Logging_1446/artfynd/A 29484-2025 artfynd.xlsx", "A 29484-2025")</f>
        <v/>
      </c>
      <c r="X20">
        <f>HYPERLINK("https://klasma.github.io/Logging_1446/kartor/A 29484-2025 karta.png", "A 29484-2025")</f>
        <v/>
      </c>
      <c r="Y20">
        <f>HYPERLINK("https://klasma.github.io/Logging_1446/kartor_geotiff/A 29484-2025 georefererad karta.tif", "A 29484-2025")</f>
        <v/>
      </c>
      <c r="AA20">
        <f>HYPERLINK("https://klasma.github.io/Logging_1446/klagomål/A 29484-2025 FSC-klagomål.docx", "A 29484-2025")</f>
        <v/>
      </c>
      <c r="AB20">
        <f>HYPERLINK("https://klasma.github.io/Logging_1446/klagomålsmail/A 29484-2025 FSC-klagomål mail.docx", "A 29484-2025")</f>
        <v/>
      </c>
      <c r="AC20">
        <f>HYPERLINK("https://klasma.github.io/Logging_1446/tillsyn/A 29484-2025 tillsynsbegäran.docx", "A 29484-2025")</f>
        <v/>
      </c>
      <c r="AD20">
        <f>HYPERLINK("https://klasma.github.io/Logging_1446/tillsynsmail/A 29484-2025 tillsynsbegäran mail.docx", "A 29484-2025")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46282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46282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46282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46282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46282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46282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46282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46282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46282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46282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46282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46282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46282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46282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46282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46282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46282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46282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46282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46282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55831-2021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46282</v>
      </c>
      <c r="F43" t="inlineStr">
        <is>
          <t>VÄSTRA GÖTALANDS LÄN</t>
        </is>
      </c>
      <c r="G43" t="inlineStr">
        <is>
          <t>KARLSBORG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46282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46282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46282</v>
      </c>
      <c r="F46" t="inlineStr">
        <is>
          <t>VÄSTRA GÖTALANDS LÄN</t>
        </is>
      </c>
      <c r="G46" t="inlineStr">
        <is>
          <t>KARLSBORG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46282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46282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46282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46282</v>
      </c>
      <c r="F50" t="inlineStr">
        <is>
          <t>VÄSTRA GÖTALANDS LÄN</t>
        </is>
      </c>
      <c r="G50" t="inlineStr">
        <is>
          <t>KARLSBORG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46282</v>
      </c>
      <c r="F51" t="inlineStr">
        <is>
          <t>VÄSTRA GÖTALANDS LÄN</t>
        </is>
      </c>
      <c r="G51" t="inlineStr">
        <is>
          <t>KARLSBORG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57454-2024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45630</v>
      </c>
      <c r="E52" s="1" t="n">
        <v>46282</v>
      </c>
      <c r="F52" t="inlineStr">
        <is>
          <t>VÄSTRA GÖTALANDS LÄN</t>
        </is>
      </c>
      <c r="G52" t="inlineStr">
        <is>
          <t>KARLSBORG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45243</v>
      </c>
      <c r="E53" s="1" t="n">
        <v>46282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46282</v>
      </c>
      <c r="F54" t="inlineStr">
        <is>
          <t>VÄSTRA GÖTALANDS LÄN</t>
        </is>
      </c>
      <c r="G54" t="inlineStr">
        <is>
          <t>KARLSBORG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46282</v>
      </c>
      <c r="F55" t="inlineStr">
        <is>
          <t>VÄSTRA GÖTALANDS LÄN</t>
        </is>
      </c>
      <c r="G55" t="inlineStr">
        <is>
          <t>KARLSBORG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46282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46282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46282</v>
      </c>
      <c r="F58" t="inlineStr">
        <is>
          <t>VÄSTRA GÖTALANDS LÄN</t>
        </is>
      </c>
      <c r="G58" t="inlineStr">
        <is>
          <t>KARLSBORG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45804</v>
      </c>
      <c r="E59" s="1" t="n">
        <v>46282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Övriga Aktiebolag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46282</v>
      </c>
      <c r="F60" t="inlineStr">
        <is>
          <t>VÄSTRA GÖTALANDS LÄN</t>
        </is>
      </c>
      <c r="G60" t="inlineStr">
        <is>
          <t>KARLSBORG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45707</v>
      </c>
      <c r="E61" s="1" t="n">
        <v>46282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46282</v>
      </c>
      <c r="F62" t="inlineStr">
        <is>
          <t>VÄSTRA GÖTALANDS LÄN</t>
        </is>
      </c>
      <c r="G62" t="inlineStr">
        <is>
          <t>KARLSBORG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45183</v>
      </c>
      <c r="E63" s="1" t="n">
        <v>46282</v>
      </c>
      <c r="F63" t="inlineStr">
        <is>
          <t>VÄSTRA GÖTALANDS LÄN</t>
        </is>
      </c>
      <c r="G63" t="inlineStr">
        <is>
          <t>KARLSBORG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46282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46282</v>
      </c>
      <c r="F65" t="inlineStr">
        <is>
          <t>VÄSTRA GÖTALANDS LÄN</t>
        </is>
      </c>
      <c r="G65" t="inlineStr">
        <is>
          <t>KARLSBORG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46282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46282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58127-2024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45632</v>
      </c>
      <c r="E68" s="1" t="n">
        <v>46282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46282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statliga verk och myndigheter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46282</v>
      </c>
      <c r="F70" t="inlineStr">
        <is>
          <t>VÄSTRA GÖTALANDS LÄN</t>
        </is>
      </c>
      <c r="G70" t="inlineStr">
        <is>
          <t>KARLSBORG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45899</v>
      </c>
      <c r="E71" s="1" t="n">
        <v>46282</v>
      </c>
      <c r="F71" t="inlineStr">
        <is>
          <t>VÄSTRA GÖTALANDS LÄN</t>
        </is>
      </c>
      <c r="G71" t="inlineStr">
        <is>
          <t>KARLSBORG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46282</v>
      </c>
      <c r="F72" t="inlineStr">
        <is>
          <t>VÄSTRA GÖTALANDS LÄN</t>
        </is>
      </c>
      <c r="G72" t="inlineStr">
        <is>
          <t>KARLSBORG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46282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Kyrkan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46282</v>
      </c>
      <c r="F74" t="inlineStr">
        <is>
          <t>VÄSTRA GÖTALANDS LÄN</t>
        </is>
      </c>
      <c r="G74" t="inlineStr">
        <is>
          <t>KARLSBORG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46282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46282</v>
      </c>
      <c r="F76" t="inlineStr">
        <is>
          <t>VÄSTRA GÖTALANDS LÄN</t>
        </is>
      </c>
      <c r="G76" t="inlineStr">
        <is>
          <t>KARLSBORG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32128-2025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45835</v>
      </c>
      <c r="E77" s="1" t="n">
        <v>46282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31701-2025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45834</v>
      </c>
      <c r="E78" s="1" t="n">
        <v>46282</v>
      </c>
      <c r="F78" t="inlineStr">
        <is>
          <t>VÄSTRA GÖTALANDS LÄN</t>
        </is>
      </c>
      <c r="G78" t="inlineStr">
        <is>
          <t>KARLSBORG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70783-2021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44537</v>
      </c>
      <c r="E79" s="1" t="n">
        <v>46282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46282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45575</v>
      </c>
      <c r="E81" s="1" t="n">
        <v>46282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45247-2025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46282</v>
      </c>
      <c r="F82" t="inlineStr">
        <is>
          <t>VÄSTRA GÖTALANDS LÄN</t>
        </is>
      </c>
      <c r="G82" t="inlineStr">
        <is>
          <t>KARLSBORG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45256-2025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46282</v>
      </c>
      <c r="F83" t="inlineStr">
        <is>
          <t>VÄSTRA GÖTALANDS LÄN</t>
        </is>
      </c>
      <c r="G83" t="inlineStr">
        <is>
          <t>KARLSBORG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46282</v>
      </c>
      <c r="F84" t="inlineStr">
        <is>
          <t>VÄSTRA GÖTALANDS LÄN</t>
        </is>
      </c>
      <c r="G84" t="inlineStr">
        <is>
          <t>KARLSBORG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46282</v>
      </c>
      <c r="F85" t="inlineStr">
        <is>
          <t>VÄSTRA GÖTALANDS LÄN</t>
        </is>
      </c>
      <c r="G85" t="inlineStr">
        <is>
          <t>KARLSBORG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46282</v>
      </c>
      <c r="F86" t="inlineStr">
        <is>
          <t>VÄSTRA GÖTALANDS LÄN</t>
        </is>
      </c>
      <c r="G86" t="inlineStr">
        <is>
          <t>KARLSBORG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46282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46282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46282</v>
      </c>
      <c r="F89" t="inlineStr">
        <is>
          <t>VÄSTRA GÖTALANDS LÄN</t>
        </is>
      </c>
      <c r="G89" t="inlineStr">
        <is>
          <t>KARLSBORG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46282</v>
      </c>
      <c r="F90" t="inlineStr">
        <is>
          <t>VÄSTRA GÖTALANDS LÄN</t>
        </is>
      </c>
      <c r="G90" t="inlineStr">
        <is>
          <t>KARLSBORG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46282</v>
      </c>
      <c r="F91" t="inlineStr">
        <is>
          <t>VÄSTRA GÖTALANDS LÄN</t>
        </is>
      </c>
      <c r="G91" t="inlineStr">
        <is>
          <t>KARLSBORG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46282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46282</v>
      </c>
      <c r="F93" t="inlineStr">
        <is>
          <t>VÄSTRA GÖTALANDS LÄN</t>
        </is>
      </c>
      <c r="G93" t="inlineStr">
        <is>
          <t>KARLSBORG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46282</v>
      </c>
      <c r="F94" t="inlineStr">
        <is>
          <t>VÄSTRA GÖTALANDS LÄN</t>
        </is>
      </c>
      <c r="G94" t="inlineStr">
        <is>
          <t>KARLSBORG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44906</v>
      </c>
      <c r="E95" s="1" t="n">
        <v>46282</v>
      </c>
      <c r="F95" t="inlineStr">
        <is>
          <t>VÄSTRA GÖTALANDS LÄN</t>
        </is>
      </c>
      <c r="G95" t="inlineStr">
        <is>
          <t>KARLSBORG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45862</v>
      </c>
      <c r="E96" s="1" t="n">
        <v>46282</v>
      </c>
      <c r="F96" t="inlineStr">
        <is>
          <t>VÄSTRA GÖTALANDS LÄN</t>
        </is>
      </c>
      <c r="G96" t="inlineStr">
        <is>
          <t>KARLSBORG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46282</v>
      </c>
      <c r="F97" t="inlineStr">
        <is>
          <t>VÄSTRA GÖTALANDS LÄN</t>
        </is>
      </c>
      <c r="G97" t="inlineStr">
        <is>
          <t>KARLSBORG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44687</v>
      </c>
      <c r="E98" s="1" t="n">
        <v>46282</v>
      </c>
      <c r="F98" t="inlineStr">
        <is>
          <t>VÄSTRA GÖTALANDS LÄN</t>
        </is>
      </c>
      <c r="G98" t="inlineStr">
        <is>
          <t>KARLSBORG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46045</v>
      </c>
      <c r="E99" s="1" t="n">
        <v>46282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46282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Aktiebolag</t>
        </is>
      </c>
      <c r="I100" t="n">
        <v>14.3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46282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45942</v>
      </c>
      <c r="E102" s="1" t="n">
        <v>46282</v>
      </c>
      <c r="F102" t="inlineStr">
        <is>
          <t>VÄSTRA GÖTALANDS LÄN</t>
        </is>
      </c>
      <c r="G102" t="inlineStr">
        <is>
          <t>KARLSBORG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46282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46282</v>
      </c>
      <c r="F104" t="inlineStr">
        <is>
          <t>VÄSTRA GÖTALANDS LÄN</t>
        </is>
      </c>
      <c r="G104" t="inlineStr">
        <is>
          <t>KARLSBORG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46282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46282</v>
      </c>
      <c r="F106" t="inlineStr">
        <is>
          <t>VÄSTRA GÖTALANDS LÄN</t>
        </is>
      </c>
      <c r="G106" t="inlineStr">
        <is>
          <t>KARLSBORG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46282</v>
      </c>
      <c r="F107" t="inlineStr">
        <is>
          <t>VÄSTRA GÖTALANDS LÄN</t>
        </is>
      </c>
      <c r="G107" t="inlineStr">
        <is>
          <t>KARLSBORG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46282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46282</v>
      </c>
      <c r="F109" t="inlineStr">
        <is>
          <t>VÄSTRA GÖTALANDS LÄN</t>
        </is>
      </c>
      <c r="G109" t="inlineStr">
        <is>
          <t>KARLSBORG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46282</v>
      </c>
      <c r="F110" t="inlineStr">
        <is>
          <t>VÄSTRA GÖTALANDS LÄN</t>
        </is>
      </c>
      <c r="G110" t="inlineStr">
        <is>
          <t>KARLSBORG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46010</v>
      </c>
      <c r="E111" s="1" t="n">
        <v>46282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statliga verk och myndigheter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46282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46282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46282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statliga verk och myndigheter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46282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statliga verk och myndigheter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46282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statliga verk och myndigheter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7644-2026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46282</v>
      </c>
      <c r="F117" t="inlineStr">
        <is>
          <t>VÄSTRA GÖTALANDS LÄN</t>
        </is>
      </c>
      <c r="G117" t="inlineStr">
        <is>
          <t>KARLSBORG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46282</v>
      </c>
      <c r="F118" t="inlineStr">
        <is>
          <t>VÄSTRA GÖTALANDS LÄN</t>
        </is>
      </c>
      <c r="G118" t="inlineStr">
        <is>
          <t>KARLSBORG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46282</v>
      </c>
      <c r="F119" t="inlineStr">
        <is>
          <t>VÄSTRA GÖTALANDS LÄN</t>
        </is>
      </c>
      <c r="G119" t="inlineStr">
        <is>
          <t>KARLSBORG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44944</v>
      </c>
      <c r="E120" s="1" t="n">
        <v>46282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46282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46282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45470</v>
      </c>
      <c r="E123" s="1" t="n">
        <v>46282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46282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46282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46282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46282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46282</v>
      </c>
      <c r="F128" t="inlineStr">
        <is>
          <t>VÄSTRA GÖTALANDS LÄN</t>
        </is>
      </c>
      <c r="G128" t="inlineStr">
        <is>
          <t>KARLSBORG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46282</v>
      </c>
      <c r="F129" t="inlineStr">
        <is>
          <t>VÄSTRA GÖTALANDS LÄN</t>
        </is>
      </c>
      <c r="G129" t="inlineStr">
        <is>
          <t>KARLSBORG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46282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46282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44727</v>
      </c>
      <c r="E132" s="1" t="n">
        <v>46282</v>
      </c>
      <c r="F132" t="inlineStr">
        <is>
          <t>VÄSTRA GÖTALANDS LÄN</t>
        </is>
      </c>
      <c r="G132" t="inlineStr">
        <is>
          <t>KARLSBORG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46282</v>
      </c>
      <c r="F133" t="inlineStr">
        <is>
          <t>VÄSTRA GÖTALANDS LÄN</t>
        </is>
      </c>
      <c r="G133" t="inlineStr">
        <is>
          <t>KARLSBORG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46282</v>
      </c>
      <c r="F134" t="inlineStr">
        <is>
          <t>VÄSTRA GÖTALANDS LÄN</t>
        </is>
      </c>
      <c r="G134" t="inlineStr">
        <is>
          <t>KARLSBORG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46282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46282</v>
      </c>
      <c r="F136" t="inlineStr">
        <is>
          <t>VÄSTRA GÖTALANDS LÄN</t>
        </is>
      </c>
      <c r="G136" t="inlineStr">
        <is>
          <t>KARLSBORG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46282</v>
      </c>
      <c r="F137" t="inlineStr">
        <is>
          <t>VÄSTRA GÖTALANDS LÄN</t>
        </is>
      </c>
      <c r="G137" t="inlineStr">
        <is>
          <t>KARLSBORG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46282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65313-2021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46282</v>
      </c>
      <c r="F139" t="inlineStr">
        <is>
          <t>VÄSTRA GÖTALANDS LÄN</t>
        </is>
      </c>
      <c r="G139" t="inlineStr">
        <is>
          <t>KARLSBORG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46282</v>
      </c>
      <c r="F140" t="inlineStr">
        <is>
          <t>VÄSTRA GÖTALANDS LÄN</t>
        </is>
      </c>
      <c r="G140" t="inlineStr">
        <is>
          <t>KARLSBORG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46282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46282</v>
      </c>
      <c r="F142" t="inlineStr">
        <is>
          <t>VÄSTRA GÖTALANDS LÄN</t>
        </is>
      </c>
      <c r="G142" t="inlineStr">
        <is>
          <t>KARLSBORG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57915-2024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45631</v>
      </c>
      <c r="E143" s="1" t="n">
        <v>46282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46282</v>
      </c>
      <c r="F144" t="inlineStr">
        <is>
          <t>VÄSTRA GÖTALANDS LÄN</t>
        </is>
      </c>
      <c r="G144" t="inlineStr">
        <is>
          <t>KARLSBORG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46282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45386</v>
      </c>
      <c r="E146" s="1" t="n">
        <v>46282</v>
      </c>
      <c r="F146" t="inlineStr">
        <is>
          <t>VÄSTRA GÖTALANDS LÄN</t>
        </is>
      </c>
      <c r="G146" t="inlineStr">
        <is>
          <t>KARLSBORG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46282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44906</v>
      </c>
      <c r="E148" s="1" t="n">
        <v>46282</v>
      </c>
      <c r="F148" t="inlineStr">
        <is>
          <t>VÄSTRA GÖTALANDS LÄN</t>
        </is>
      </c>
      <c r="G148" t="inlineStr">
        <is>
          <t>KARLSBORG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45209</v>
      </c>
      <c r="E149" s="1" t="n">
        <v>46282</v>
      </c>
      <c r="F149" t="inlineStr">
        <is>
          <t>VÄSTRA GÖTALANDS LÄN</t>
        </is>
      </c>
      <c r="G149" t="inlineStr">
        <is>
          <t>KARLSBORG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46282</v>
      </c>
      <c r="F150" t="inlineStr">
        <is>
          <t>VÄSTRA GÖTALANDS LÄN</t>
        </is>
      </c>
      <c r="G150" t="inlineStr">
        <is>
          <t>KARLSBORG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45755</v>
      </c>
      <c r="E151" s="1" t="n">
        <v>46282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46282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44972</v>
      </c>
      <c r="E153" s="1" t="n">
        <v>46282</v>
      </c>
      <c r="F153" t="inlineStr">
        <is>
          <t>VÄSTRA GÖTALANDS LÄN</t>
        </is>
      </c>
      <c r="G153" t="inlineStr">
        <is>
          <t>KARLSBORG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46282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35441-2024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45531</v>
      </c>
      <c r="E155" s="1" t="n">
        <v>46282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23500-2023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45076</v>
      </c>
      <c r="E156" s="1" t="n">
        <v>46282</v>
      </c>
      <c r="F156" t="inlineStr">
        <is>
          <t>VÄSTRA GÖTALANDS LÄN</t>
        </is>
      </c>
      <c r="G156" t="inlineStr">
        <is>
          <t>KARLSBORG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46282</v>
      </c>
      <c r="F157" t="inlineStr">
        <is>
          <t>VÄSTRA GÖTALANDS LÄN</t>
        </is>
      </c>
      <c r="G157" t="inlineStr">
        <is>
          <t>KARLSBORG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46143</v>
      </c>
      <c r="E158" s="1" t="n">
        <v>46282</v>
      </c>
      <c r="F158" t="inlineStr">
        <is>
          <t>VÄSTRA GÖTALANDS LÄN</t>
        </is>
      </c>
      <c r="G158" t="inlineStr">
        <is>
          <t>KARLSBORG</t>
        </is>
      </c>
      <c r="I158" t="n">
        <v>14.6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20940-2026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46282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46282</v>
      </c>
      <c r="F160" t="inlineStr">
        <is>
          <t>VÄSTRA GÖTALANDS LÄN</t>
        </is>
      </c>
      <c r="G160" t="inlineStr">
        <is>
          <t>KARLSBORG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58152-2022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46282</v>
      </c>
      <c r="F161" t="inlineStr">
        <is>
          <t>VÄSTRA GÖTALANDS LÄN</t>
        </is>
      </c>
      <c r="G161" t="inlineStr">
        <is>
          <t>KARLSBORG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44809</v>
      </c>
      <c r="E162" s="1" t="n">
        <v>46282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29357-2024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45483</v>
      </c>
      <c r="E163" s="1" t="n">
        <v>46282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46282</v>
      </c>
      <c r="F164" t="inlineStr">
        <is>
          <t>VÄSTRA GÖTALANDS LÄN</t>
        </is>
      </c>
      <c r="G164" t="inlineStr">
        <is>
          <t>KARLSBORG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46282</v>
      </c>
      <c r="F165" t="inlineStr">
        <is>
          <t>VÄSTRA GÖTALANDS LÄN</t>
        </is>
      </c>
      <c r="G165" t="inlineStr">
        <is>
          <t>KARLSBORG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46282</v>
      </c>
      <c r="F166" t="inlineStr">
        <is>
          <t>VÄSTRA GÖTALANDS LÄN</t>
        </is>
      </c>
      <c r="G166" t="inlineStr">
        <is>
          <t>KARLSBORG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44929</v>
      </c>
      <c r="E167" s="1" t="n">
        <v>46282</v>
      </c>
      <c r="F167" t="inlineStr">
        <is>
          <t>VÄSTRA GÖTALANDS LÄN</t>
        </is>
      </c>
      <c r="G167" t="inlineStr">
        <is>
          <t>KARLSBORG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X167">
        <f>HYPERLINK("https://klasma.github.io/Logging_1446/kartor/A 412-2023 karta.png", "A 412-2023")</f>
        <v/>
      </c>
      <c r="Y167">
        <f>HYPERLINK("https://klasma.github.io/Logging_1446/kartor_geotiff/A 412-2023 georefererad karta.tif", "A 412-2023")</f>
        <v/>
      </c>
      <c r="AA167">
        <f>HYPERLINK("https://klasma.github.io/Logging_1446/klagomål/A 412-2023 FSC-klagomål.docx", "A 412-2023")</f>
        <v/>
      </c>
      <c r="AB167">
        <f>HYPERLINK("https://klasma.github.io/Logging_1446/klagomålsmail/A 412-2023 FSC-klagomål mail.docx", "A 412-2023")</f>
        <v/>
      </c>
      <c r="AC167">
        <f>HYPERLINK("https://klasma.github.io/Logging_1446/tillsyn/A 412-2023 tillsynsbegäran.docx", "A 412-2023")</f>
        <v/>
      </c>
      <c r="AD167">
        <f>HYPERLINK("https://klasma.github.io/Logging_1446/tillsynsmail/A 412-2023 tillsynsbegäran mail.docx", "A 412-2023")</f>
        <v/>
      </c>
    </row>
    <row r="168" ht="15" customHeight="1">
      <c r="A168" t="inlineStr">
        <is>
          <t>A 39699-2025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46282</v>
      </c>
      <c r="F168" t="inlineStr">
        <is>
          <t>VÄSTRA GÖTALANDS LÄN</t>
        </is>
      </c>
      <c r="G168" t="inlineStr">
        <is>
          <t>KARLSBORG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44755</v>
      </c>
      <c r="E169" s="1" t="n">
        <v>46282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46282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46282</v>
      </c>
      <c r="F171" t="inlineStr">
        <is>
          <t>VÄSTRA GÖTALANDS LÄN</t>
        </is>
      </c>
      <c r="G171" t="inlineStr">
        <is>
          <t>KARLSBORG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46282</v>
      </c>
      <c r="F172" t="inlineStr">
        <is>
          <t>VÄSTRA GÖTALANDS LÄN</t>
        </is>
      </c>
      <c r="G172" t="inlineStr">
        <is>
          <t>KARLSBORG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57913-2024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45631</v>
      </c>
      <c r="E173" s="1" t="n">
        <v>46282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46171</v>
      </c>
      <c r="E174" s="1" t="n">
        <v>46282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46282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7977-2025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45707</v>
      </c>
      <c r="E176" s="1" t="n">
        <v>46282</v>
      </c>
      <c r="F176" t="inlineStr">
        <is>
          <t>VÄSTRA GÖTALANDS LÄN</t>
        </is>
      </c>
      <c r="G176" t="inlineStr">
        <is>
          <t>KARLSBORG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46282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58129-2024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45632</v>
      </c>
      <c r="E178" s="1" t="n">
        <v>46282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46282</v>
      </c>
      <c r="F179" t="inlineStr">
        <is>
          <t>VÄSTRA GÖTALANDS LÄN</t>
        </is>
      </c>
      <c r="G179" t="inlineStr">
        <is>
          <t>KARLSBORG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46282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46188</v>
      </c>
      <c r="E181" s="1" t="n">
        <v>46282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46282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46282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45209</v>
      </c>
      <c r="E184" s="1" t="n">
        <v>46282</v>
      </c>
      <c r="F184" t="inlineStr">
        <is>
          <t>VÄSTRA GÖTALANDS LÄN</t>
        </is>
      </c>
      <c r="G184" t="inlineStr">
        <is>
          <t>KARLSBORG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59890-2021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44494</v>
      </c>
      <c r="E185" s="1" t="n">
        <v>46282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statliga verk och myndigheter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46282</v>
      </c>
      <c r="F186" t="inlineStr">
        <is>
          <t>VÄSTRA GÖTALANDS LÄN</t>
        </is>
      </c>
      <c r="G186" t="inlineStr">
        <is>
          <t>KARLSBORG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46206</v>
      </c>
      <c r="E187" s="1" t="n">
        <v>46282</v>
      </c>
      <c r="F187" t="inlineStr">
        <is>
          <t>VÄSTRA GÖTALANDS LÄN</t>
        </is>
      </c>
      <c r="G187" t="inlineStr">
        <is>
          <t>KARLSBORG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69341-2021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46282</v>
      </c>
      <c r="F188" t="inlineStr">
        <is>
          <t>VÄSTRA GÖTALANDS LÄN</t>
        </is>
      </c>
      <c r="G188" t="inlineStr">
        <is>
          <t>KARLSBORG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46282</v>
      </c>
      <c r="F189" t="inlineStr">
        <is>
          <t>VÄSTRA GÖTALANDS LÄN</t>
        </is>
      </c>
      <c r="G189" t="inlineStr">
        <is>
          <t>KARLSBORG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46282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46282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46282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46282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15396-2024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45401</v>
      </c>
      <c r="E194" s="1" t="n">
        <v>46282</v>
      </c>
      <c r="F194" t="inlineStr">
        <is>
          <t>VÄSTRA GÖTALANDS LÄN</t>
        </is>
      </c>
      <c r="G194" t="inlineStr">
        <is>
          <t>KARLSBORG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59877-2021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46282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46260</v>
      </c>
      <c r="E196" s="1" t="n">
        <v>46282</v>
      </c>
      <c r="F196" t="inlineStr">
        <is>
          <t>VÄSTRA GÖTALANDS LÄN</t>
        </is>
      </c>
      <c r="G196" t="inlineStr">
        <is>
          <t>KARLSBORG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46282</v>
      </c>
      <c r="F197" t="inlineStr">
        <is>
          <t>VÄSTRA GÖTALANDS LÄN</t>
        </is>
      </c>
      <c r="G197" t="inlineStr">
        <is>
          <t>KARLSBORG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46282</v>
      </c>
      <c r="F198" t="inlineStr">
        <is>
          <t>VÄSTRA GÖTALANDS LÄN</t>
        </is>
      </c>
      <c r="G198" t="inlineStr">
        <is>
          <t>KARLSBORG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46282</v>
      </c>
      <c r="F199" t="inlineStr">
        <is>
          <t>VÄSTRA GÖTALANDS LÄN</t>
        </is>
      </c>
      <c r="G199" t="inlineStr">
        <is>
          <t>KARLSBORG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46282</v>
      </c>
      <c r="F200" t="inlineStr">
        <is>
          <t>VÄSTRA GÖTALANDS LÄN</t>
        </is>
      </c>
      <c r="G200" t="inlineStr">
        <is>
          <t>KARLSBORG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46282</v>
      </c>
      <c r="F201" t="inlineStr">
        <is>
          <t>VÄSTRA GÖTALANDS LÄN</t>
        </is>
      </c>
      <c r="G201" t="inlineStr">
        <is>
          <t>KARLSBORG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46282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46282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46282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46282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46230</v>
      </c>
      <c r="E206" s="1" t="n">
        <v>46282</v>
      </c>
      <c r="F206" t="inlineStr">
        <is>
          <t>VÄSTRA GÖTALANDS LÄN</t>
        </is>
      </c>
      <c r="G206" t="inlineStr">
        <is>
          <t>KARLSBORG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46282</v>
      </c>
      <c r="F207" t="inlineStr">
        <is>
          <t>VÄSTRA GÖTALANDS LÄN</t>
        </is>
      </c>
      <c r="G207" t="inlineStr">
        <is>
          <t>KARLSBORG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45565</v>
      </c>
      <c r="E208" s="1" t="n">
        <v>46282</v>
      </c>
      <c r="F208" t="inlineStr">
        <is>
          <t>VÄSTRA GÖTALANDS LÄN</t>
        </is>
      </c>
      <c r="G208" t="inlineStr">
        <is>
          <t>KARLSBORG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46282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45566</v>
      </c>
      <c r="E210" s="1" t="n">
        <v>46282</v>
      </c>
      <c r="F210" t="inlineStr">
        <is>
          <t>VÄSTRA GÖTALANDS LÄN</t>
        </is>
      </c>
      <c r="G210" t="inlineStr">
        <is>
          <t>KARLSBORG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46276</v>
      </c>
      <c r="E211" s="1" t="n">
        <v>46282</v>
      </c>
      <c r="F211" t="inlineStr">
        <is>
          <t>VÄSTRA GÖTALANDS LÄN</t>
        </is>
      </c>
      <c r="G211" t="inlineStr">
        <is>
          <t>KARLSBORG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46282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45436</v>
      </c>
      <c r="E213" s="1" t="n">
        <v>46282</v>
      </c>
      <c r="F213" t="inlineStr">
        <is>
          <t>VÄSTRA GÖTALANDS LÄN</t>
        </is>
      </c>
      <c r="G213" t="inlineStr">
        <is>
          <t>KARLSBORG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53898-2021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44469</v>
      </c>
      <c r="E214" s="1" t="n">
        <v>46282</v>
      </c>
      <c r="F214" t="inlineStr">
        <is>
          <t>VÄSTRA GÖTALANDS LÄN</t>
        </is>
      </c>
      <c r="G214" t="inlineStr">
        <is>
          <t>KARLSBORG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46282</v>
      </c>
      <c r="F215" t="inlineStr">
        <is>
          <t>VÄSTRA GÖTALANDS LÄN</t>
        </is>
      </c>
      <c r="G215" t="inlineStr">
        <is>
          <t>KARLSBORG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45786</v>
      </c>
      <c r="E216" s="1" t="n">
        <v>46282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46282</v>
      </c>
      <c r="F217" t="inlineStr">
        <is>
          <t>VÄSTRA GÖTALANDS LÄN</t>
        </is>
      </c>
      <c r="G217" t="inlineStr">
        <is>
          <t>KARLSBORG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46282</v>
      </c>
      <c r="F218" t="inlineStr">
        <is>
          <t>VÄSTRA GÖTALANDS LÄN</t>
        </is>
      </c>
      <c r="G218" t="inlineStr">
        <is>
          <t>KARLSBORG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46282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45527</v>
      </c>
      <c r="E220" s="1" t="n">
        <v>46282</v>
      </c>
      <c r="F220" t="inlineStr">
        <is>
          <t>VÄSTRA GÖTALANDS LÄN</t>
        </is>
      </c>
      <c r="G220" t="inlineStr">
        <is>
          <t>KARLSBORG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46282</v>
      </c>
      <c r="F221" t="inlineStr">
        <is>
          <t>VÄSTRA GÖTALANDS LÄN</t>
        </is>
      </c>
      <c r="G221" t="inlineStr">
        <is>
          <t>KARLSBORG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46282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46282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2026-09-17T01:58:25Z</dcterms:created>
  <dcterms:modified xmlns:dcterms="http://purl.org/dc/terms/" xmlns:xsi="http://www.w3.org/2001/XMLSchema-instance" xsi:type="dcterms:W3CDTF">2026-09-17T01:58:25Z</dcterms:modified>
</cp:coreProperties>
</file>