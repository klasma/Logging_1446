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46269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46269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46269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46269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46269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46269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46269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46269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46269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46269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46269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46269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46269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46269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46269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42778-2024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45566</v>
      </c>
      <c r="E19" s="1" t="n">
        <v>46269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HYPERLINK("https://klasma.github.io/Logging_1446/artfynd/A 42778-2024 artfynd.xlsx", "A 42778-2024")</f>
        <v/>
      </c>
      <c r="X19">
        <f>HYPERLINK("https://klasma.github.io/Logging_1446/kartor/A 42778-2024 karta.png", "A 42778-2024")</f>
        <v/>
      </c>
      <c r="Y19">
        <f>HYPERLINK("https://klasma.github.io/Logging_1446/kartor_geotiff/A 42778-2024 georefererad karta.tif", "A 42778-2024")</f>
        <v/>
      </c>
      <c r="AA19">
        <f>HYPERLINK("https://klasma.github.io/Logging_1446/klagomål/A 42778-2024 FSC-klagomål.docx", "A 42778-2024")</f>
        <v/>
      </c>
      <c r="AB19">
        <f>HYPERLINK("https://klasma.github.io/Logging_1446/klagomålsmail/A 42778-2024 FSC-klagomål mail.docx", "A 42778-2024")</f>
        <v/>
      </c>
      <c r="AC19">
        <f>HYPERLINK("https://klasma.github.io/Logging_1446/tillsyn/A 42778-2024 tillsynsbegäran.docx", "A 42778-2024")</f>
        <v/>
      </c>
      <c r="AD19">
        <f>HYPERLINK("https://klasma.github.io/Logging_1446/tillsynsmail/A 42778-2024 tillsynsbegäran mail.docx", "A 42778-2024")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46269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46269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46269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53909-2023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46269</v>
      </c>
      <c r="F23" t="inlineStr">
        <is>
          <t>VÄSTRA GÖTALANDS LÄN</t>
        </is>
      </c>
      <c r="G23" t="inlineStr">
        <is>
          <t>KARLSBORG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Grönvit nattviol</t>
        </is>
      </c>
      <c r="W23">
        <f>HYPERLINK("https://klasma.github.io/Logging_1446/artfynd/A 53909-2023 artfynd.xlsx", "A 53909-2023")</f>
        <v/>
      </c>
      <c r="X23">
        <f>HYPERLINK("https://klasma.github.io/Logging_1446/kartor/A 53909-2023 karta.png", "A 53909-2023")</f>
        <v/>
      </c>
      <c r="Y23">
        <f>HYPERLINK("https://klasma.github.io/Logging_1446/kartor_geotiff/A 53909-2023 georefererad karta.tif", "A 53909-2023")</f>
        <v/>
      </c>
      <c r="AA23">
        <f>HYPERLINK("https://klasma.github.io/Logging_1446/klagomål/A 53909-2023 FSC-klagomål.docx", "A 53909-2023")</f>
        <v/>
      </c>
      <c r="AB23">
        <f>HYPERLINK("https://klasma.github.io/Logging_1446/klagomålsmail/A 53909-2023 FSC-klagomål mail.docx", "A 53909-2023")</f>
        <v/>
      </c>
      <c r="AC23">
        <f>HYPERLINK("https://klasma.github.io/Logging_1446/tillsyn/A 53909-2023 tillsynsbegäran.docx", "A 53909-2023")</f>
        <v/>
      </c>
      <c r="AD23">
        <f>HYPERLINK("https://klasma.github.io/Logging_1446/tillsynsmail/A 53909-2023 tillsynsbegäran mail.docx", "A 53909-2023")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46269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Blåsippa</t>
        </is>
      </c>
      <c r="W24">
        <f>HYPERLINK("https://klasma.github.io/Logging_1446/artfynd/A 29484-2025 artfynd.xlsx", "A 29484-2025")</f>
        <v/>
      </c>
      <c r="X24">
        <f>HYPERLINK("https://klasma.github.io/Logging_1446/kartor/A 29484-2025 karta.png", "A 29484-2025")</f>
        <v/>
      </c>
      <c r="Y24">
        <f>HYPERLINK("https://klasma.github.io/Logging_1446/kartor_geotiff/A 29484-2025 georefererad karta.tif", "A 29484-2025")</f>
        <v/>
      </c>
      <c r="AA24">
        <f>HYPERLINK("https://klasma.github.io/Logging_1446/klagomål/A 29484-2025 FSC-klagomål.docx", "A 29484-2025")</f>
        <v/>
      </c>
      <c r="AB24">
        <f>HYPERLINK("https://klasma.github.io/Logging_1446/klagomålsmail/A 29484-2025 FSC-klagomål mail.docx", "A 29484-2025")</f>
        <v/>
      </c>
      <c r="AC24">
        <f>HYPERLINK("https://klasma.github.io/Logging_1446/tillsyn/A 29484-2025 tillsynsbegäran.docx", "A 29484-2025")</f>
        <v/>
      </c>
      <c r="AD24">
        <f>HYPERLINK("https://klasma.github.io/Logging_1446/tillsynsmail/A 29484-2025 tillsynsbegäran mail.docx", "A 29484-2025")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46269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46269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9337-2025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45714</v>
      </c>
      <c r="E27" s="1" t="n">
        <v>46269</v>
      </c>
      <c r="F27" t="inlineStr">
        <is>
          <t>VÄSTRA GÖTALANDS LÄN</t>
        </is>
      </c>
      <c r="G27" t="inlineStr">
        <is>
          <t>KARLSBORG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HYPERLINK("https://klasma.github.io/Logging_1446/artfynd/A 9337-2025 artfynd.xlsx", "A 9337-2025")</f>
        <v/>
      </c>
      <c r="X27">
        <f>HYPERLINK("https://klasma.github.io/Logging_1446/kartor/A 9337-2025 karta.png", "A 9337-2025")</f>
        <v/>
      </c>
      <c r="Y27">
        <f>HYPERLINK("https://klasma.github.io/Logging_1446/kartor_geotiff/A 9337-2025 georefererad karta.tif", "A 9337-2025")</f>
        <v/>
      </c>
      <c r="AA27">
        <f>HYPERLINK("https://klasma.github.io/Logging_1446/klagomål/A 9337-2025 FSC-klagomål.docx", "A 9337-2025")</f>
        <v/>
      </c>
      <c r="AB27">
        <f>HYPERLINK("https://klasma.github.io/Logging_1446/klagomålsmail/A 9337-2025 FSC-klagomål mail.docx", "A 9337-2025")</f>
        <v/>
      </c>
      <c r="AC27">
        <f>HYPERLINK("https://klasma.github.io/Logging_1446/tillsyn/A 9337-2025 tillsynsbegäran.docx", "A 9337-2025")</f>
        <v/>
      </c>
      <c r="AD27">
        <f>HYPERLINK("https://klasma.github.io/Logging_1446/tillsynsmail/A 9337-2025 tillsynsbegäran mail.docx", "A 9337-2025")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46269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4448-2026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46269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HYPERLINK("https://klasma.github.io/Logging_1446/artfynd/A 4448-2026 artfynd.xlsx", "A 4448-2026")</f>
        <v/>
      </c>
      <c r="X29">
        <f>HYPERLINK("https://klasma.github.io/Logging_1446/kartor/A 4448-2026 karta.png", "A 4448-2026")</f>
        <v/>
      </c>
      <c r="Y29">
        <f>HYPERLINK("https://klasma.github.io/Logging_1446/kartor_geotiff/A 4448-2026 georefererad karta.tif", "A 4448-2026")</f>
        <v/>
      </c>
      <c r="AA29">
        <f>HYPERLINK("https://klasma.github.io/Logging_1446/klagomål/A 4448-2026 FSC-klagomål.docx", "A 4448-2026")</f>
        <v/>
      </c>
      <c r="AB29">
        <f>HYPERLINK("https://klasma.github.io/Logging_1446/klagomålsmail/A 4448-2026 FSC-klagomål mail.docx", "A 4448-2026")</f>
        <v/>
      </c>
      <c r="AC29">
        <f>HYPERLINK("https://klasma.github.io/Logging_1446/tillsyn/A 4448-2026 tillsynsbegäran.docx", "A 4448-2026")</f>
        <v/>
      </c>
      <c r="AD29">
        <f>HYPERLINK("https://klasma.github.io/Logging_1446/tillsynsmail/A 4448-2026 tillsynsbegäran mail.docx", "A 4448-2026")</f>
        <v/>
      </c>
    </row>
    <row r="30" ht="15" customHeight="1">
      <c r="A30" t="inlineStr">
        <is>
          <t>A 29156-2026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46269</v>
      </c>
      <c r="F30" t="inlineStr">
        <is>
          <t>VÄSTRA GÖTALANDS LÄN</t>
        </is>
      </c>
      <c r="G30" t="inlineStr">
        <is>
          <t>KARLSBORG</t>
        </is>
      </c>
      <c r="H30" t="inlineStr">
        <is>
          <t>Sveaskog</t>
        </is>
      </c>
      <c r="I30" t="n">
        <v>1.2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Spindelblomster</t>
        </is>
      </c>
      <c r="W30">
        <f>HYPERLINK("https://klasma.github.io/Logging_1446/artfynd/A 29156-2026 artfynd.xlsx", "A 29156-2026")</f>
        <v/>
      </c>
      <c r="X30">
        <f>HYPERLINK("https://klasma.github.io/Logging_1446/kartor/A 29156-2026 karta.png", "A 29156-2026")</f>
        <v/>
      </c>
      <c r="Y30">
        <f>HYPERLINK("https://klasma.github.io/Logging_1446/kartor_geotiff/A 29156-2026 georefererad karta.tif", "A 29156-2026")</f>
        <v/>
      </c>
      <c r="AA30">
        <f>HYPERLINK("https://klasma.github.io/Logging_1446/klagomål/A 29156-2026 FSC-klagomål.docx", "A 29156-2026")</f>
        <v/>
      </c>
      <c r="AB30">
        <f>HYPERLINK("https://klasma.github.io/Logging_1446/klagomålsmail/A 29156-2026 FSC-klagomål mail.docx", "A 29156-2026")</f>
        <v/>
      </c>
      <c r="AC30">
        <f>HYPERLINK("https://klasma.github.io/Logging_1446/tillsyn/A 29156-2026 tillsynsbegäran.docx", "A 29156-2026")</f>
        <v/>
      </c>
      <c r="AD30">
        <f>HYPERLINK("https://klasma.github.io/Logging_1446/tillsynsmail/A 29156-2026 tillsynsbegäran mail.docx", "A 29156-2026")</f>
        <v/>
      </c>
    </row>
    <row r="31" ht="15" customHeight="1">
      <c r="A31" t="inlineStr">
        <is>
          <t>A 18567-2026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46269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2.6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18567-2026 artfynd.xlsx", "A 18567-2026")</f>
        <v/>
      </c>
      <c r="X31">
        <f>HYPERLINK("https://klasma.github.io/Logging_1446/kartor/A 18567-2026 karta.png", "A 18567-2026")</f>
        <v/>
      </c>
      <c r="Y31">
        <f>HYPERLINK("https://klasma.github.io/Logging_1446/kartor_geotiff/A 18567-2026 georefererad karta.tif", "A 18567-2026")</f>
        <v/>
      </c>
      <c r="AA31">
        <f>HYPERLINK("https://klasma.github.io/Logging_1446/klagomål/A 18567-2026 FSC-klagomål.docx", "A 18567-2026")</f>
        <v/>
      </c>
      <c r="AB31">
        <f>HYPERLINK("https://klasma.github.io/Logging_1446/klagomålsmail/A 18567-2026 FSC-klagomål mail.docx", "A 18567-2026")</f>
        <v/>
      </c>
      <c r="AC31">
        <f>HYPERLINK("https://klasma.github.io/Logging_1446/tillsyn/A 18567-2026 tillsynsbegäran.docx", "A 18567-2026")</f>
        <v/>
      </c>
      <c r="AD31">
        <f>HYPERLINK("https://klasma.github.io/Logging_1446/tillsynsmail/A 18567-2026 tillsynsbegäran mail.docx", "A 18567-2026")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46269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46269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46269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46269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46269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46269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46269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46269</v>
      </c>
      <c r="F40" t="inlineStr">
        <is>
          <t>VÄSTRA GÖTALANDS LÄN</t>
        </is>
      </c>
      <c r="G40" t="inlineStr">
        <is>
          <t>KARLSBORG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46269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44687</v>
      </c>
      <c r="E42" s="1" t="n">
        <v>46269</v>
      </c>
      <c r="F42" t="inlineStr">
        <is>
          <t>VÄSTRA GÖTALANDS LÄN</t>
        </is>
      </c>
      <c r="G42" t="inlineStr">
        <is>
          <t>KARLSBORG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46269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Övriga Aktiebolag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46269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46269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46269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45575</v>
      </c>
      <c r="E47" s="1" t="n">
        <v>46269</v>
      </c>
      <c r="F47" t="inlineStr">
        <is>
          <t>VÄSTRA GÖTALANDS LÄN</t>
        </is>
      </c>
      <c r="G47" t="inlineStr">
        <is>
          <t>KARLSBORG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59401-2022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44906</v>
      </c>
      <c r="E48" s="1" t="n">
        <v>46269</v>
      </c>
      <c r="F48" t="inlineStr">
        <is>
          <t>VÄSTRA GÖTALANDS LÄN</t>
        </is>
      </c>
      <c r="G48" t="inlineStr">
        <is>
          <t>KARLSBORG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46269</v>
      </c>
      <c r="F49" t="inlineStr">
        <is>
          <t>VÄSTRA GÖTALANDS LÄN</t>
        </is>
      </c>
      <c r="G49" t="inlineStr">
        <is>
          <t>KARLSBORG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48888-2023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45209</v>
      </c>
      <c r="E50" s="1" t="n">
        <v>46269</v>
      </c>
      <c r="F50" t="inlineStr">
        <is>
          <t>VÄSTRA GÖTALANDS LÄN</t>
        </is>
      </c>
      <c r="G50" t="inlineStr">
        <is>
          <t>KARLSBORG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22435-2025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45786</v>
      </c>
      <c r="E51" s="1" t="n">
        <v>46269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45589</v>
      </c>
      <c r="E52" s="1" t="n">
        <v>46269</v>
      </c>
      <c r="F52" t="inlineStr">
        <is>
          <t>VÄSTRA GÖTALANDS LÄN</t>
        </is>
      </c>
      <c r="G52" t="inlineStr">
        <is>
          <t>KARLSBORG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45524</v>
      </c>
      <c r="E53" s="1" t="n">
        <v>46269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46269</v>
      </c>
      <c r="F54" t="inlineStr">
        <is>
          <t>VÄSTRA GÖTALANDS LÄN</t>
        </is>
      </c>
      <c r="G54" t="inlineStr">
        <is>
          <t>KARLSBORG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45090</v>
      </c>
      <c r="E55" s="1" t="n">
        <v>46269</v>
      </c>
      <c r="F55" t="inlineStr">
        <is>
          <t>VÄSTRA GÖTALANDS LÄN</t>
        </is>
      </c>
      <c r="G55" t="inlineStr">
        <is>
          <t>KARLSBORG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46269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45721</v>
      </c>
      <c r="E57" s="1" t="n">
        <v>46269</v>
      </c>
      <c r="F57" t="inlineStr">
        <is>
          <t>VÄSTRA GÖTALANDS LÄN</t>
        </is>
      </c>
      <c r="G57" t="inlineStr">
        <is>
          <t>KARLSBORG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45680</v>
      </c>
      <c r="E58" s="1" t="n">
        <v>46269</v>
      </c>
      <c r="F58" t="inlineStr">
        <is>
          <t>VÄSTRA GÖTALANDS LÄN</t>
        </is>
      </c>
      <c r="G58" t="inlineStr">
        <is>
          <t>KARLSBORG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44929</v>
      </c>
      <c r="E59" s="1" t="n">
        <v>46269</v>
      </c>
      <c r="F59" t="inlineStr">
        <is>
          <t>VÄSTRA GÖTALANDS LÄN</t>
        </is>
      </c>
      <c r="G59" t="inlineStr">
        <is>
          <t>KARLSBORG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  <c r="X59">
        <f>HYPERLINK("https://klasma.github.io/Logging_1446/kartor/A 412-2023 karta.png", "A 412-2023")</f>
        <v/>
      </c>
      <c r="Y59">
        <f>HYPERLINK("https://klasma.github.io/Logging_1446/kartor_geotiff/A 412-2023 georefererad karta.tif", "A 412-2023")</f>
        <v/>
      </c>
      <c r="AA59">
        <f>HYPERLINK("https://klasma.github.io/Logging_1446/klagomål/A 412-2023 FSC-klagomål.docx", "A 412-2023")</f>
        <v/>
      </c>
      <c r="AB59">
        <f>HYPERLINK("https://klasma.github.io/Logging_1446/klagomålsmail/A 412-2023 FSC-klagomål mail.docx", "A 412-2023")</f>
        <v/>
      </c>
      <c r="AC59">
        <f>HYPERLINK("https://klasma.github.io/Logging_1446/tillsyn/A 412-2023 tillsynsbegäran.docx", "A 412-2023")</f>
        <v/>
      </c>
      <c r="AD59">
        <f>HYPERLINK("https://klasma.github.io/Logging_1446/tillsynsmail/A 412-2023 tillsynsbegäran mail.docx", "A 412-2023")</f>
        <v/>
      </c>
    </row>
    <row r="60" ht="15" customHeight="1">
      <c r="A60" t="inlineStr">
        <is>
          <t>A 35040-2024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46269</v>
      </c>
      <c r="F60" t="inlineStr">
        <is>
          <t>VÄSTRA GÖTALANDS LÄN</t>
        </is>
      </c>
      <c r="G60" t="inlineStr">
        <is>
          <t>KARLSBORG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45630</v>
      </c>
      <c r="E61" s="1" t="n">
        <v>46269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46269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Sveaskog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46269</v>
      </c>
      <c r="F63" t="inlineStr">
        <is>
          <t>VÄSTRA GÖTALANDS LÄN</t>
        </is>
      </c>
      <c r="G63" t="inlineStr">
        <is>
          <t>KARLSBORG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45394</v>
      </c>
      <c r="E64" s="1" t="n">
        <v>46269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45614</v>
      </c>
      <c r="E65" s="1" t="n">
        <v>46269</v>
      </c>
      <c r="F65" t="inlineStr">
        <is>
          <t>VÄSTRA GÖTALANDS LÄN</t>
        </is>
      </c>
      <c r="G65" t="inlineStr">
        <is>
          <t>KARLSBORG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45804</v>
      </c>
      <c r="E66" s="1" t="n">
        <v>46269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46269</v>
      </c>
      <c r="F67" t="inlineStr">
        <is>
          <t>VÄSTRA GÖTALANDS LÄN</t>
        </is>
      </c>
      <c r="G67" t="inlineStr">
        <is>
          <t>KARLSBORG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46269</v>
      </c>
      <c r="F68" t="inlineStr">
        <is>
          <t>VÄSTRA GÖTALANDS LÄN</t>
        </is>
      </c>
      <c r="G68" t="inlineStr">
        <is>
          <t>KARLSBORG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46269</v>
      </c>
      <c r="F69" t="inlineStr">
        <is>
          <t>VÄSTRA GÖTALANDS LÄN</t>
        </is>
      </c>
      <c r="G69" t="inlineStr">
        <is>
          <t>KARLSBORG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46269</v>
      </c>
      <c r="F70" t="inlineStr">
        <is>
          <t>VÄSTRA GÖTALANDS LÄN</t>
        </is>
      </c>
      <c r="G70" t="inlineStr">
        <is>
          <t>KARLSBORG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46269</v>
      </c>
      <c r="F71" t="inlineStr">
        <is>
          <t>VÄSTRA GÖTALANDS LÄN</t>
        </is>
      </c>
      <c r="G71" t="inlineStr">
        <is>
          <t>KARLSBORG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46269</v>
      </c>
      <c r="F72" t="inlineStr">
        <is>
          <t>VÄSTRA GÖTALANDS LÄN</t>
        </is>
      </c>
      <c r="G72" t="inlineStr">
        <is>
          <t>KARLSBORG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46269</v>
      </c>
      <c r="F73" t="inlineStr">
        <is>
          <t>VÄSTRA GÖTALANDS LÄN</t>
        </is>
      </c>
      <c r="G73" t="inlineStr">
        <is>
          <t>KARLSBORG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46269</v>
      </c>
      <c r="F74" t="inlineStr">
        <is>
          <t>VÄSTRA GÖTALANDS LÄN</t>
        </is>
      </c>
      <c r="G74" t="inlineStr">
        <is>
          <t>KARLSBORG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46269</v>
      </c>
      <c r="F75" t="inlineStr">
        <is>
          <t>VÄSTRA GÖTALANDS LÄN</t>
        </is>
      </c>
      <c r="G75" t="inlineStr">
        <is>
          <t>KARLSBORG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46269</v>
      </c>
      <c r="F76" t="inlineStr">
        <is>
          <t>VÄSTRA GÖTALANDS LÄN</t>
        </is>
      </c>
      <c r="G76" t="inlineStr">
        <is>
          <t>KARLSBORG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45470</v>
      </c>
      <c r="E77" s="1" t="n">
        <v>46269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46269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45483</v>
      </c>
      <c r="E79" s="1" t="n">
        <v>46269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46269</v>
      </c>
      <c r="F80" t="inlineStr">
        <is>
          <t>VÄSTRA GÖTALANDS LÄN</t>
        </is>
      </c>
      <c r="G80" t="inlineStr">
        <is>
          <t>KARLSBORG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46269</v>
      </c>
      <c r="F81" t="inlineStr">
        <is>
          <t>VÄSTRA GÖTALANDS LÄN</t>
        </is>
      </c>
      <c r="G81" t="inlineStr">
        <is>
          <t>KARLSBORG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46269</v>
      </c>
      <c r="F82" t="inlineStr">
        <is>
          <t>VÄSTRA GÖTALANDS LÄN</t>
        </is>
      </c>
      <c r="G82" t="inlineStr">
        <is>
          <t>KARLSBORG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31701-2025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45834</v>
      </c>
      <c r="E83" s="1" t="n">
        <v>46269</v>
      </c>
      <c r="F83" t="inlineStr">
        <is>
          <t>VÄSTRA GÖTALANDS LÄN</t>
        </is>
      </c>
      <c r="G83" t="inlineStr">
        <is>
          <t>KARLSBORG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65313-2021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46269</v>
      </c>
      <c r="F84" t="inlineStr">
        <is>
          <t>VÄSTRA GÖTALANDS LÄN</t>
        </is>
      </c>
      <c r="G84" t="inlineStr">
        <is>
          <t>KARLSBORG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46269</v>
      </c>
      <c r="F85" t="inlineStr">
        <is>
          <t>VÄSTRA GÖTALANDS LÄN</t>
        </is>
      </c>
      <c r="G85" t="inlineStr">
        <is>
          <t>KARLSBORG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46269</v>
      </c>
      <c r="F86" t="inlineStr">
        <is>
          <t>VÄSTRA GÖTALANDS LÄN</t>
        </is>
      </c>
      <c r="G86" t="inlineStr">
        <is>
          <t>KARLSBORG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32128-2025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45835</v>
      </c>
      <c r="E87" s="1" t="n">
        <v>46269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46269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58129-2024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45632</v>
      </c>
      <c r="E89" s="1" t="n">
        <v>46269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46269</v>
      </c>
      <c r="F90" t="inlineStr">
        <is>
          <t>VÄSTRA GÖTALANDS LÄN</t>
        </is>
      </c>
      <c r="G90" t="inlineStr">
        <is>
          <t>KARLSBORG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46269</v>
      </c>
      <c r="F91" t="inlineStr">
        <is>
          <t>VÄSTRA GÖTALANDS LÄN</t>
        </is>
      </c>
      <c r="G91" t="inlineStr">
        <is>
          <t>KARLSBORG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46269</v>
      </c>
      <c r="F92" t="inlineStr">
        <is>
          <t>VÄSTRA GÖTALANDS LÄN</t>
        </is>
      </c>
      <c r="G92" t="inlineStr">
        <is>
          <t>KARLSBORG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46269</v>
      </c>
      <c r="F93" t="inlineStr">
        <is>
          <t>VÄSTRA GÖTALANDS LÄN</t>
        </is>
      </c>
      <c r="G93" t="inlineStr">
        <is>
          <t>KARLSBORG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45862</v>
      </c>
      <c r="E94" s="1" t="n">
        <v>46269</v>
      </c>
      <c r="F94" t="inlineStr">
        <is>
          <t>VÄSTRA GÖTALANDS LÄN</t>
        </is>
      </c>
      <c r="G94" t="inlineStr">
        <is>
          <t>KARLSBORG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46269</v>
      </c>
      <c r="F95" t="inlineStr">
        <is>
          <t>VÄSTRA GÖTALANDS LÄN</t>
        </is>
      </c>
      <c r="G95" t="inlineStr">
        <is>
          <t>KARLSBORG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70945-2021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46269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Övriga Aktiebolag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45566</v>
      </c>
      <c r="E97" s="1" t="n">
        <v>46269</v>
      </c>
      <c r="F97" t="inlineStr">
        <is>
          <t>VÄSTRA GÖTALANDS LÄN</t>
        </is>
      </c>
      <c r="G97" t="inlineStr">
        <is>
          <t>KARLSBORG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14703-2025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46269</v>
      </c>
      <c r="F98" t="inlineStr">
        <is>
          <t>VÄSTRA GÖTALANDS LÄN</t>
        </is>
      </c>
      <c r="G98" t="inlineStr">
        <is>
          <t>KARLSBORG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46269</v>
      </c>
      <c r="F99" t="inlineStr">
        <is>
          <t>VÄSTRA GÖTALANDS LÄN</t>
        </is>
      </c>
      <c r="G99" t="inlineStr">
        <is>
          <t>KARLSBORG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44595</v>
      </c>
      <c r="E100" s="1" t="n">
        <v>46269</v>
      </c>
      <c r="F100" t="inlineStr">
        <is>
          <t>VÄSTRA GÖTALANDS LÄN</t>
        </is>
      </c>
      <c r="G100" t="inlineStr">
        <is>
          <t>KARLSBORG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45566</v>
      </c>
      <c r="E101" s="1" t="n">
        <v>46269</v>
      </c>
      <c r="F101" t="inlineStr">
        <is>
          <t>VÄSTRA GÖTALANDS LÄN</t>
        </is>
      </c>
      <c r="G101" t="inlineStr">
        <is>
          <t>KARLSBORG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45565</v>
      </c>
      <c r="E102" s="1" t="n">
        <v>46269</v>
      </c>
      <c r="F102" t="inlineStr">
        <is>
          <t>VÄSTRA GÖTALANDS LÄN</t>
        </is>
      </c>
      <c r="G102" t="inlineStr">
        <is>
          <t>KARLSBORG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13076-2023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45002</v>
      </c>
      <c r="E103" s="1" t="n">
        <v>46269</v>
      </c>
      <c r="F103" t="inlineStr">
        <is>
          <t>VÄSTRA GÖTALANDS LÄN</t>
        </is>
      </c>
      <c r="G103" t="inlineStr">
        <is>
          <t>KARLSBORG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46269</v>
      </c>
      <c r="F104" t="inlineStr">
        <is>
          <t>VÄSTRA GÖTALANDS LÄN</t>
        </is>
      </c>
      <c r="G104" t="inlineStr">
        <is>
          <t>KARLSBORG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45566</v>
      </c>
      <c r="E105" s="1" t="n">
        <v>46269</v>
      </c>
      <c r="F105" t="inlineStr">
        <is>
          <t>VÄSTRA GÖTALANDS LÄN</t>
        </is>
      </c>
      <c r="G105" t="inlineStr">
        <is>
          <t>KARLSBORG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44944</v>
      </c>
      <c r="E106" s="1" t="n">
        <v>46269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Aktiebolag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45243</v>
      </c>
      <c r="E107" s="1" t="n">
        <v>46269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46269</v>
      </c>
      <c r="F108" t="inlineStr">
        <is>
          <t>VÄSTRA GÖTALANDS LÄN</t>
        </is>
      </c>
      <c r="G108" t="inlineStr">
        <is>
          <t>KARLSBORG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45169</v>
      </c>
      <c r="E109" s="1" t="n">
        <v>46269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45394</v>
      </c>
      <c r="E110" s="1" t="n">
        <v>46269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46269</v>
      </c>
      <c r="F111" t="inlineStr">
        <is>
          <t>VÄSTRA GÖTALANDS LÄN</t>
        </is>
      </c>
      <c r="G111" t="inlineStr">
        <is>
          <t>KARLSBORG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70783-2021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46269</v>
      </c>
      <c r="F112" t="inlineStr">
        <is>
          <t>VÄSTRA GÖTALANDS LÄN</t>
        </is>
      </c>
      <c r="G112" t="inlineStr">
        <is>
          <t>KARLSBORG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45183</v>
      </c>
      <c r="E113" s="1" t="n">
        <v>46269</v>
      </c>
      <c r="F113" t="inlineStr">
        <is>
          <t>VÄSTRA GÖTALANDS LÄN</t>
        </is>
      </c>
      <c r="G113" t="inlineStr">
        <is>
          <t>KARLSBORG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46269</v>
      </c>
      <c r="F114" t="inlineStr">
        <is>
          <t>VÄSTRA GÖTALANDS LÄN</t>
        </is>
      </c>
      <c r="G114" t="inlineStr">
        <is>
          <t>KARLSBORG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46269</v>
      </c>
      <c r="F115" t="inlineStr">
        <is>
          <t>VÄSTRA GÖTALANDS LÄN</t>
        </is>
      </c>
      <c r="G115" t="inlineStr">
        <is>
          <t>KARLSBORG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45252</v>
      </c>
      <c r="E116" s="1" t="n">
        <v>46269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37383-2022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46269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44944</v>
      </c>
      <c r="E118" s="1" t="n">
        <v>46269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46269</v>
      </c>
      <c r="F119" t="inlineStr">
        <is>
          <t>VÄSTRA GÖTALANDS LÄN</t>
        </is>
      </c>
      <c r="G119" t="inlineStr">
        <is>
          <t>KARLSBORG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46269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46269</v>
      </c>
      <c r="F121" t="inlineStr">
        <is>
          <t>VÄSTRA GÖTALANDS LÄN</t>
        </is>
      </c>
      <c r="G121" t="inlineStr">
        <is>
          <t>KARLSBORG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48385-2025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46269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45524</v>
      </c>
      <c r="E123" s="1" t="n">
        <v>46269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46269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46269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45899</v>
      </c>
      <c r="E126" s="1" t="n">
        <v>46269</v>
      </c>
      <c r="F126" t="inlineStr">
        <is>
          <t>VÄSTRA GÖTALANDS LÄN</t>
        </is>
      </c>
      <c r="G126" t="inlineStr">
        <is>
          <t>KARLSBORG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59887-2021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46269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statliga verk och myndigheter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46269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statliga verk och myndigheter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46269</v>
      </c>
      <c r="F129" t="inlineStr">
        <is>
          <t>VÄSTRA GÖTALANDS LÄN</t>
        </is>
      </c>
      <c r="G129" t="inlineStr">
        <is>
          <t>KARLSBORG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46269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Kyrkan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46269</v>
      </c>
      <c r="F131" t="inlineStr">
        <is>
          <t>VÄSTRA GÖTALANDS LÄN</t>
        </is>
      </c>
      <c r="G131" t="inlineStr">
        <is>
          <t>KARLSBORG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44785</v>
      </c>
      <c r="E132" s="1" t="n">
        <v>46269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46269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Kyrkan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46269</v>
      </c>
      <c r="F134" t="inlineStr">
        <is>
          <t>VÄSTRA GÖTALANDS LÄN</t>
        </is>
      </c>
      <c r="G134" t="inlineStr">
        <is>
          <t>KARLSBORG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46269</v>
      </c>
      <c r="F135" t="inlineStr">
        <is>
          <t>VÄSTRA GÖTALANDS LÄN</t>
        </is>
      </c>
      <c r="G135" t="inlineStr">
        <is>
          <t>KARLSBORG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69341-2021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44531</v>
      </c>
      <c r="E136" s="1" t="n">
        <v>46269</v>
      </c>
      <c r="F136" t="inlineStr">
        <is>
          <t>VÄSTRA GÖTALANDS LÄN</t>
        </is>
      </c>
      <c r="G136" t="inlineStr">
        <is>
          <t>KARLSBORG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35441-2024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45531</v>
      </c>
      <c r="E137" s="1" t="n">
        <v>46269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47265-2025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46269</v>
      </c>
      <c r="F138" t="inlineStr">
        <is>
          <t>VÄSTRA GÖTALANDS LÄN</t>
        </is>
      </c>
      <c r="G138" t="inlineStr">
        <is>
          <t>KARLSBORG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57913-2024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45631</v>
      </c>
      <c r="E139" s="1" t="n">
        <v>46269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45742</v>
      </c>
      <c r="E140" s="1" t="n">
        <v>46269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46269</v>
      </c>
      <c r="F141" t="inlineStr">
        <is>
          <t>VÄSTRA GÖTALANDS LÄN</t>
        </is>
      </c>
      <c r="G141" t="inlineStr">
        <is>
          <t>KARLSBORG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46142</v>
      </c>
      <c r="E142" s="1" t="n">
        <v>46269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45566</v>
      </c>
      <c r="E143" s="1" t="n">
        <v>46269</v>
      </c>
      <c r="F143" t="inlineStr">
        <is>
          <t>VÄSTRA GÖTALANDS LÄN</t>
        </is>
      </c>
      <c r="G143" t="inlineStr">
        <is>
          <t>KARLSBORG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45252</v>
      </c>
      <c r="E144" s="1" t="n">
        <v>46269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23500-2023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45076</v>
      </c>
      <c r="E145" s="1" t="n">
        <v>46269</v>
      </c>
      <c r="F145" t="inlineStr">
        <is>
          <t>VÄSTRA GÖTALANDS LÄN</t>
        </is>
      </c>
      <c r="G145" t="inlineStr">
        <is>
          <t>KARLSBORG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45933</v>
      </c>
      <c r="E146" s="1" t="n">
        <v>46269</v>
      </c>
      <c r="F146" t="inlineStr">
        <is>
          <t>VÄSTRA GÖTALANDS LÄN</t>
        </is>
      </c>
      <c r="G146" t="inlineStr">
        <is>
          <t>KARLSBORG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46143</v>
      </c>
      <c r="E147" s="1" t="n">
        <v>46269</v>
      </c>
      <c r="F147" t="inlineStr">
        <is>
          <t>VÄSTRA GÖTALANDS LÄN</t>
        </is>
      </c>
      <c r="G147" t="inlineStr">
        <is>
          <t>KARLSBORG</t>
        </is>
      </c>
      <c r="I147" t="n">
        <v>14.6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46269</v>
      </c>
      <c r="F148" t="inlineStr">
        <is>
          <t>VÄSTRA GÖTALANDS LÄN</t>
        </is>
      </c>
      <c r="G148" t="inlineStr">
        <is>
          <t>KARLSBORG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46269</v>
      </c>
      <c r="F149" t="inlineStr">
        <is>
          <t>VÄSTRA GÖTALANDS LÄN</t>
        </is>
      </c>
      <c r="G149" t="inlineStr">
        <is>
          <t>KARLSBORG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45233</v>
      </c>
      <c r="E150" s="1" t="n">
        <v>46269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46269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45942</v>
      </c>
      <c r="E152" s="1" t="n">
        <v>46269</v>
      </c>
      <c r="F152" t="inlineStr">
        <is>
          <t>VÄSTRA GÖTALANDS LÄN</t>
        </is>
      </c>
      <c r="G152" t="inlineStr">
        <is>
          <t>KARLSBORG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46269</v>
      </c>
      <c r="F153" t="inlineStr">
        <is>
          <t>VÄSTRA GÖTALANDS LÄN</t>
        </is>
      </c>
      <c r="G153" t="inlineStr">
        <is>
          <t>KARLSBORG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46269</v>
      </c>
      <c r="F154" t="inlineStr">
        <is>
          <t>VÄSTRA GÖTALANDS LÄN</t>
        </is>
      </c>
      <c r="G154" t="inlineStr">
        <is>
          <t>KARLSBORG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46269</v>
      </c>
      <c r="F155" t="inlineStr">
        <is>
          <t>VÄSTRA GÖTALANDS LÄN</t>
        </is>
      </c>
      <c r="G155" t="inlineStr">
        <is>
          <t>KARLSBORG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44906</v>
      </c>
      <c r="E156" s="1" t="n">
        <v>46269</v>
      </c>
      <c r="F156" t="inlineStr">
        <is>
          <t>VÄSTRA GÖTALANDS LÄN</t>
        </is>
      </c>
      <c r="G156" t="inlineStr">
        <is>
          <t>KARLSBORG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46269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46269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Aktiebolag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46269</v>
      </c>
      <c r="F159" t="inlineStr">
        <is>
          <t>VÄSTRA GÖTALANDS LÄN</t>
        </is>
      </c>
      <c r="G159" t="inlineStr">
        <is>
          <t>KARLSBORG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15396-2024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45401</v>
      </c>
      <c r="E160" s="1" t="n">
        <v>46269</v>
      </c>
      <c r="F160" t="inlineStr">
        <is>
          <t>VÄSTRA GÖTALANDS LÄN</t>
        </is>
      </c>
      <c r="G160" t="inlineStr">
        <is>
          <t>KARLSBORG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46269</v>
      </c>
      <c r="F161" t="inlineStr">
        <is>
          <t>VÄSTRA GÖTALANDS LÄN</t>
        </is>
      </c>
      <c r="G161" t="inlineStr">
        <is>
          <t>KARLSBORG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46269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statliga verk och myndigheter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46269</v>
      </c>
      <c r="F163" t="inlineStr">
        <is>
          <t>VÄSTRA GÖTALANDS LÄN</t>
        </is>
      </c>
      <c r="G163" t="inlineStr">
        <is>
          <t>KARLSBORG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46269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45436</v>
      </c>
      <c r="E165" s="1" t="n">
        <v>46269</v>
      </c>
      <c r="F165" t="inlineStr">
        <is>
          <t>VÄSTRA GÖTALANDS LÄN</t>
        </is>
      </c>
      <c r="G165" t="inlineStr">
        <is>
          <t>KARLSBORG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46171</v>
      </c>
      <c r="E166" s="1" t="n">
        <v>46269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46269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46269</v>
      </c>
      <c r="F168" t="inlineStr">
        <is>
          <t>VÄSTRA GÖTALANDS LÄN</t>
        </is>
      </c>
      <c r="G168" t="inlineStr">
        <is>
          <t>KARLSBORG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45992</v>
      </c>
      <c r="E169" s="1" t="n">
        <v>46269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44939</v>
      </c>
      <c r="E170" s="1" t="n">
        <v>46269</v>
      </c>
      <c r="F170" t="inlineStr">
        <is>
          <t>VÄSTRA GÖTALANDS LÄN</t>
        </is>
      </c>
      <c r="G170" t="inlineStr">
        <is>
          <t>KARLSBORG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46269</v>
      </c>
      <c r="F171" t="inlineStr">
        <is>
          <t>VÄSTRA GÖTALANDS LÄN</t>
        </is>
      </c>
      <c r="G171" t="inlineStr">
        <is>
          <t>KARLSBORG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46269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46269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45089</v>
      </c>
      <c r="E174" s="1" t="n">
        <v>46269</v>
      </c>
      <c r="F174" t="inlineStr">
        <is>
          <t>VÄSTRA GÖTALANDS LÄN</t>
        </is>
      </c>
      <c r="G174" t="inlineStr">
        <is>
          <t>KARLSBORG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46230</v>
      </c>
      <c r="E175" s="1" t="n">
        <v>46269</v>
      </c>
      <c r="F175" t="inlineStr">
        <is>
          <t>VÄSTRA GÖTALANDS LÄN</t>
        </is>
      </c>
      <c r="G175" t="inlineStr">
        <is>
          <t>KARLSBORG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46269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26017-2023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46269</v>
      </c>
      <c r="F177" t="inlineStr">
        <is>
          <t>VÄSTRA GÖTALANDS LÄN</t>
        </is>
      </c>
      <c r="G177" t="inlineStr">
        <is>
          <t>KARLSBORG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46269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46188</v>
      </c>
      <c r="E179" s="1" t="n">
        <v>46269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44687</v>
      </c>
      <c r="E180" s="1" t="n">
        <v>46269</v>
      </c>
      <c r="F180" t="inlineStr">
        <is>
          <t>VÄSTRA GÖTALANDS LÄN</t>
        </is>
      </c>
      <c r="G180" t="inlineStr">
        <is>
          <t>KARLSBORG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46021</v>
      </c>
      <c r="E181" s="1" t="n">
        <v>46269</v>
      </c>
      <c r="F181" t="inlineStr">
        <is>
          <t>VÄSTRA GÖTALANDS LÄN</t>
        </is>
      </c>
      <c r="G181" t="inlineStr">
        <is>
          <t>KARLSBORG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46021</v>
      </c>
      <c r="E182" s="1" t="n">
        <v>46269</v>
      </c>
      <c r="F182" t="inlineStr">
        <is>
          <t>VÄSTRA GÖTALANDS LÄN</t>
        </is>
      </c>
      <c r="G182" t="inlineStr">
        <is>
          <t>KARLSBORG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46269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46269</v>
      </c>
      <c r="F184" t="inlineStr">
        <is>
          <t>VÄSTRA GÖTALANDS LÄN</t>
        </is>
      </c>
      <c r="G184" t="inlineStr">
        <is>
          <t>KARLSBORG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46269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46045</v>
      </c>
      <c r="E186" s="1" t="n">
        <v>46269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46269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44809</v>
      </c>
      <c r="E188" s="1" t="n">
        <v>46269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44972</v>
      </c>
      <c r="E189" s="1" t="n">
        <v>46269</v>
      </c>
      <c r="F189" t="inlineStr">
        <is>
          <t>VÄSTRA GÖTALANDS LÄN</t>
        </is>
      </c>
      <c r="G189" t="inlineStr">
        <is>
          <t>KARLSBORG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46269</v>
      </c>
      <c r="F190" t="inlineStr">
        <is>
          <t>VÄSTRA GÖTALANDS LÄN</t>
        </is>
      </c>
      <c r="G190" t="inlineStr">
        <is>
          <t>KARLSBORG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46269</v>
      </c>
      <c r="F191" t="inlineStr">
        <is>
          <t>VÄSTRA GÖTALANDS LÄN</t>
        </is>
      </c>
      <c r="G191" t="inlineStr">
        <is>
          <t>KARLSBORG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46269</v>
      </c>
      <c r="F192" t="inlineStr">
        <is>
          <t>VÄSTRA GÖTALANDS LÄN</t>
        </is>
      </c>
      <c r="G192" t="inlineStr">
        <is>
          <t>KARLSBORG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46269</v>
      </c>
      <c r="F193" t="inlineStr">
        <is>
          <t>VÄSTRA GÖTALANDS LÄN</t>
        </is>
      </c>
      <c r="G193" t="inlineStr">
        <is>
          <t>KARLSBORG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46269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statliga verk och myndigheter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46269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46062</v>
      </c>
      <c r="E196" s="1" t="n">
        <v>46269</v>
      </c>
      <c r="F196" t="inlineStr">
        <is>
          <t>VÄSTRA GÖTALANDS LÄN</t>
        </is>
      </c>
      <c r="G196" t="inlineStr">
        <is>
          <t>KARLSBORG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46010</v>
      </c>
      <c r="E197" s="1" t="n">
        <v>46269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statliga verk och myndigheter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46269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46269</v>
      </c>
      <c r="F199" t="inlineStr">
        <is>
          <t>VÄSTRA GÖTALANDS LÄN</t>
        </is>
      </c>
      <c r="G199" t="inlineStr">
        <is>
          <t>KARLSBORG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45394</v>
      </c>
      <c r="E200" s="1" t="n">
        <v>46269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44795</v>
      </c>
      <c r="E201" s="1" t="n">
        <v>46269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46269</v>
      </c>
      <c r="F202" t="inlineStr">
        <is>
          <t>VÄSTRA GÖTALANDS LÄN</t>
        </is>
      </c>
      <c r="G202" t="inlineStr">
        <is>
          <t>KARLSBORG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46160</v>
      </c>
      <c r="E203" s="1" t="n">
        <v>46269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46269</v>
      </c>
      <c r="F204" t="inlineStr">
        <is>
          <t>VÄSTRA GÖTALANDS LÄN</t>
        </is>
      </c>
      <c r="G204" t="inlineStr">
        <is>
          <t>KARLSBORG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58127-2024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45632</v>
      </c>
      <c r="E205" s="1" t="n">
        <v>46269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46210</v>
      </c>
      <c r="E206" s="1" t="n">
        <v>46269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30609-2026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46269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45019</v>
      </c>
      <c r="E208" s="1" t="n">
        <v>46269</v>
      </c>
      <c r="F208" t="inlineStr">
        <is>
          <t>VÄSTRA GÖTALANDS LÄN</t>
        </is>
      </c>
      <c r="G208" t="inlineStr">
        <is>
          <t>KARLSBORG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44944</v>
      </c>
      <c r="E209" s="1" t="n">
        <v>46269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46260</v>
      </c>
      <c r="E210" s="1" t="n">
        <v>46269</v>
      </c>
      <c r="F210" t="inlineStr">
        <is>
          <t>VÄSTRA GÖTALANDS LÄN</t>
        </is>
      </c>
      <c r="G210" t="inlineStr">
        <is>
          <t>KARLSBORG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57454-2024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45630</v>
      </c>
      <c r="E211" s="1" t="n">
        <v>46269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46269</v>
      </c>
      <c r="F212" t="inlineStr">
        <is>
          <t>VÄSTRA GÖTALANDS LÄN</t>
        </is>
      </c>
      <c r="G212" t="inlineStr">
        <is>
          <t>KARLSBORG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46269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45209</v>
      </c>
      <c r="E214" s="1" t="n">
        <v>46269</v>
      </c>
      <c r="F214" t="inlineStr">
        <is>
          <t>VÄSTRA GÖTALANDS LÄN</t>
        </is>
      </c>
      <c r="G214" t="inlineStr">
        <is>
          <t>KARLSBORG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46269</v>
      </c>
      <c r="F215" t="inlineStr">
        <is>
          <t>VÄSTRA GÖTALANDS LÄN</t>
        </is>
      </c>
      <c r="G215" t="inlineStr">
        <is>
          <t>KARLSBORG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51111-2024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46269</v>
      </c>
      <c r="F216" t="inlineStr">
        <is>
          <t>VÄSTRA GÖTALANDS LÄN</t>
        </is>
      </c>
      <c r="G216" t="inlineStr">
        <is>
          <t>KARLSBORG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45160</v>
      </c>
      <c r="E217" s="1" t="n">
        <v>46269</v>
      </c>
      <c r="F217" t="inlineStr">
        <is>
          <t>VÄSTRA GÖTALANDS LÄN</t>
        </is>
      </c>
      <c r="G217" t="inlineStr">
        <is>
          <t>KARLSBORG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46269</v>
      </c>
      <c r="F218" t="inlineStr">
        <is>
          <t>VÄSTRA GÖTALANDS LÄN</t>
        </is>
      </c>
      <c r="G218" t="inlineStr">
        <is>
          <t>KARLSBORG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45386</v>
      </c>
      <c r="E219" s="1" t="n">
        <v>46269</v>
      </c>
      <c r="F219" t="inlineStr">
        <is>
          <t>VÄSTRA GÖTALANDS LÄN</t>
        </is>
      </c>
      <c r="G219" t="inlineStr">
        <is>
          <t>KARLSBORG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46269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46269</v>
      </c>
      <c r="F221" t="inlineStr">
        <is>
          <t>VÄSTRA GÖTALANDS LÄN</t>
        </is>
      </c>
      <c r="G221" t="inlineStr">
        <is>
          <t>KARLSBORG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57915-2024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45631</v>
      </c>
      <c r="E222" s="1" t="n">
        <v>46269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53898-2021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44469</v>
      </c>
      <c r="E223" s="1" t="n">
        <v>46269</v>
      </c>
      <c r="F223" t="inlineStr">
        <is>
          <t>VÄSTRA GÖTALANDS LÄN</t>
        </is>
      </c>
      <c r="G223" t="inlineStr">
        <is>
          <t>KARLSBORG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46269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46269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2026-09-04T02:05:51Z</dcterms:created>
  <dcterms:modified xmlns:dcterms="http://purl.org/dc/terms/" xmlns:xsi="http://www.w3.org/2001/XMLSchema-instance" xsi:type="dcterms:W3CDTF">2026-09-04T02:05:52Z</dcterms:modified>
</cp:coreProperties>
</file>