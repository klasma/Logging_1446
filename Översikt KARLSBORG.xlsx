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31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412-2023</t>
        </is>
      </c>
      <c r="B2" s="1" t="n">
        <v>44929</v>
      </c>
      <c r="C2" s="1" t="n">
        <v>45258</v>
      </c>
      <c r="D2" t="inlineStr">
        <is>
          <t>VÄSTRA GÖTALANDS LÄN</t>
        </is>
      </c>
      <c r="E2" t="inlineStr">
        <is>
          <t>KARLSBORG</t>
        </is>
      </c>
      <c r="G2" t="n">
        <v>9.9</v>
      </c>
      <c r="H2" t="n">
        <v>0</v>
      </c>
      <c r="I2" t="n">
        <v>2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5</v>
      </c>
      <c r="R2" s="2" t="inlineStr">
        <is>
          <t>Lakritsmusseron
Dofttaggsvamp
Motaggsvamp
Dropptaggsvamp
Zontaggsvamp</t>
        </is>
      </c>
      <c r="S2">
        <f>HYPERLINK("https://klasma.github.io/Logging_1446/artfynd/A 412-2023 artfynd.xlsx", "A 412-2023")</f>
        <v/>
      </c>
      <c r="T2">
        <f>HYPERLINK("https://klasma.github.io/Logging_1446/kartor/A 412-2023 karta.png", "A 412-2023")</f>
        <v/>
      </c>
      <c r="V2">
        <f>HYPERLINK("https://klasma.github.io/Logging_1446/klagomål/A 412-2023 FSC-klagomål.docx", "A 412-2023")</f>
        <v/>
      </c>
      <c r="W2">
        <f>HYPERLINK("https://klasma.github.io/Logging_1446/klagomålsmail/A 412-2023 FSC-klagomål mail.docx", "A 412-2023")</f>
        <v/>
      </c>
      <c r="X2">
        <f>HYPERLINK("https://klasma.github.io/Logging_1446/tillsyn/A 412-2023 tillsynsbegäran.docx", "A 412-2023")</f>
        <v/>
      </c>
      <c r="Y2">
        <f>HYPERLINK("https://klasma.github.io/Logging_1446/tillsynsmail/A 412-2023 tillsynsbegäran mail.docx", "A 412-2023")</f>
        <v/>
      </c>
    </row>
    <row r="3" ht="15" customHeight="1">
      <c r="A3" t="inlineStr">
        <is>
          <t>A 65473-2019</t>
        </is>
      </c>
      <c r="B3" s="1" t="n">
        <v>43803</v>
      </c>
      <c r="C3" s="1" t="n">
        <v>45258</v>
      </c>
      <c r="D3" t="inlineStr">
        <is>
          <t>VÄSTRA GÖTALANDS LÄN</t>
        </is>
      </c>
      <c r="E3" t="inlineStr">
        <is>
          <t>KARLSBORG</t>
        </is>
      </c>
      <c r="G3" t="n">
        <v>4.3</v>
      </c>
      <c r="H3" t="n">
        <v>0</v>
      </c>
      <c r="I3" t="n">
        <v>1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4</v>
      </c>
      <c r="R3" s="2" t="inlineStr">
        <is>
          <t>Lakritsmusseron
Motaggsvamp
Skrovlig taggsvamp
Dropptaggsvamp</t>
        </is>
      </c>
      <c r="S3">
        <f>HYPERLINK("https://klasma.github.io/Logging_1446/artfynd/A 65473-2019 artfynd.xlsx", "A 65473-2019")</f>
        <v/>
      </c>
      <c r="T3">
        <f>HYPERLINK("https://klasma.github.io/Logging_1446/kartor/A 65473-2019 karta.png", "A 65473-2019")</f>
        <v/>
      </c>
      <c r="V3">
        <f>HYPERLINK("https://klasma.github.io/Logging_1446/klagomål/A 65473-2019 FSC-klagomål.docx", "A 65473-2019")</f>
        <v/>
      </c>
      <c r="W3">
        <f>HYPERLINK("https://klasma.github.io/Logging_1446/klagomålsmail/A 65473-2019 FSC-klagomål mail.docx", "A 65473-2019")</f>
        <v/>
      </c>
      <c r="X3">
        <f>HYPERLINK("https://klasma.github.io/Logging_1446/tillsyn/A 65473-2019 tillsynsbegäran.docx", "A 65473-2019")</f>
        <v/>
      </c>
      <c r="Y3">
        <f>HYPERLINK("https://klasma.github.io/Logging_1446/tillsynsmail/A 65473-2019 tillsynsbegäran mail.docx", "A 65473-2019")</f>
        <v/>
      </c>
    </row>
    <row r="4" ht="15" customHeight="1">
      <c r="A4" t="inlineStr">
        <is>
          <t>A 65650-2019</t>
        </is>
      </c>
      <c r="B4" s="1" t="n">
        <v>43804</v>
      </c>
      <c r="C4" s="1" t="n">
        <v>45258</v>
      </c>
      <c r="D4" t="inlineStr">
        <is>
          <t>VÄSTRA GÖTALANDS LÄN</t>
        </is>
      </c>
      <c r="E4" t="inlineStr">
        <is>
          <t>KARLSBORG</t>
        </is>
      </c>
      <c r="G4" t="n">
        <v>11.9</v>
      </c>
      <c r="H4" t="n">
        <v>1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4</v>
      </c>
      <c r="R4" s="2" t="inlineStr">
        <is>
          <t>Dofttaggsvamp
Svart taggsvamp
Dropptaggsvamp
Vanlig padda</t>
        </is>
      </c>
      <c r="S4">
        <f>HYPERLINK("https://klasma.github.io/Logging_1446/artfynd/A 65650-2019 artfynd.xlsx", "A 65650-2019")</f>
        <v/>
      </c>
      <c r="T4">
        <f>HYPERLINK("https://klasma.github.io/Logging_1446/kartor/A 65650-2019 karta.png", "A 65650-2019")</f>
        <v/>
      </c>
      <c r="V4">
        <f>HYPERLINK("https://klasma.github.io/Logging_1446/klagomål/A 65650-2019 FSC-klagomål.docx", "A 65650-2019")</f>
        <v/>
      </c>
      <c r="W4">
        <f>HYPERLINK("https://klasma.github.io/Logging_1446/klagomålsmail/A 65650-2019 FSC-klagomål mail.docx", "A 65650-2019")</f>
        <v/>
      </c>
      <c r="X4">
        <f>HYPERLINK("https://klasma.github.io/Logging_1446/tillsyn/A 65650-2019 tillsynsbegäran.docx", "A 65650-2019")</f>
        <v/>
      </c>
      <c r="Y4">
        <f>HYPERLINK("https://klasma.github.io/Logging_1446/tillsynsmail/A 65650-2019 tillsynsbegäran mail.docx", "A 65650-2019")</f>
        <v/>
      </c>
    </row>
    <row r="5" ht="15" customHeight="1">
      <c r="A5" t="inlineStr">
        <is>
          <t>A 41180-2020</t>
        </is>
      </c>
      <c r="B5" s="1" t="n">
        <v>44069</v>
      </c>
      <c r="C5" s="1" t="n">
        <v>45258</v>
      </c>
      <c r="D5" t="inlineStr">
        <is>
          <t>VÄSTRA GÖTALANDS LÄN</t>
        </is>
      </c>
      <c r="E5" t="inlineStr">
        <is>
          <t>KARLSBORG</t>
        </is>
      </c>
      <c r="G5" t="n">
        <v>14.4</v>
      </c>
      <c r="H5" t="n">
        <v>1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4</v>
      </c>
      <c r="R5" s="2" t="inlineStr">
        <is>
          <t>Skogsklocka
Slåtterfibbla
Vårärt
Blåsippa</t>
        </is>
      </c>
      <c r="S5">
        <f>HYPERLINK("https://klasma.github.io/Logging_1446/artfynd/A 41180-2020 artfynd.xlsx", "A 41180-2020")</f>
        <v/>
      </c>
      <c r="T5">
        <f>HYPERLINK("https://klasma.github.io/Logging_1446/kartor/A 41180-2020 karta.png", "A 41180-2020")</f>
        <v/>
      </c>
      <c r="V5">
        <f>HYPERLINK("https://klasma.github.io/Logging_1446/klagomål/A 41180-2020 FSC-klagomål.docx", "A 41180-2020")</f>
        <v/>
      </c>
      <c r="W5">
        <f>HYPERLINK("https://klasma.github.io/Logging_1446/klagomålsmail/A 41180-2020 FSC-klagomål mail.docx", "A 41180-2020")</f>
        <v/>
      </c>
      <c r="X5">
        <f>HYPERLINK("https://klasma.github.io/Logging_1446/tillsyn/A 41180-2020 tillsynsbegäran.docx", "A 41180-2020")</f>
        <v/>
      </c>
      <c r="Y5">
        <f>HYPERLINK("https://klasma.github.io/Logging_1446/tillsynsmail/A 41180-2020 tillsynsbegäran mail.docx", "A 41180-2020")</f>
        <v/>
      </c>
    </row>
    <row r="6" ht="15" customHeight="1">
      <c r="A6" t="inlineStr">
        <is>
          <t>A 44500-2019</t>
        </is>
      </c>
      <c r="B6" s="1" t="n">
        <v>43711</v>
      </c>
      <c r="C6" s="1" t="n">
        <v>45258</v>
      </c>
      <c r="D6" t="inlineStr">
        <is>
          <t>VÄSTRA GÖTALANDS LÄN</t>
        </is>
      </c>
      <c r="E6" t="inlineStr">
        <is>
          <t>KARLSBORG</t>
        </is>
      </c>
      <c r="G6" t="n">
        <v>3.3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Mattlummer</t>
        </is>
      </c>
      <c r="S6">
        <f>HYPERLINK("https://klasma.github.io/Logging_1446/artfynd/A 44500-2019 artfynd.xlsx", "A 44500-2019")</f>
        <v/>
      </c>
      <c r="T6">
        <f>HYPERLINK("https://klasma.github.io/Logging_1446/kartor/A 44500-2019 karta.png", "A 44500-2019")</f>
        <v/>
      </c>
      <c r="V6">
        <f>HYPERLINK("https://klasma.github.io/Logging_1446/klagomål/A 44500-2019 FSC-klagomål.docx", "A 44500-2019")</f>
        <v/>
      </c>
      <c r="W6">
        <f>HYPERLINK("https://klasma.github.io/Logging_1446/klagomålsmail/A 44500-2019 FSC-klagomål mail.docx", "A 44500-2019")</f>
        <v/>
      </c>
      <c r="X6">
        <f>HYPERLINK("https://klasma.github.io/Logging_1446/tillsyn/A 44500-2019 tillsynsbegäran.docx", "A 44500-2019")</f>
        <v/>
      </c>
      <c r="Y6">
        <f>HYPERLINK("https://klasma.github.io/Logging_1446/tillsynsmail/A 44500-2019 tillsynsbegäran mail.docx", "A 44500-2019")</f>
        <v/>
      </c>
    </row>
    <row r="7" ht="15" customHeight="1">
      <c r="A7" t="inlineStr">
        <is>
          <t>A 51531-2023</t>
        </is>
      </c>
      <c r="B7" s="1" t="n">
        <v>45222</v>
      </c>
      <c r="C7" s="1" t="n">
        <v>45258</v>
      </c>
      <c r="D7" t="inlineStr">
        <is>
          <t>VÄSTRA GÖTALANDS LÄN</t>
        </is>
      </c>
      <c r="E7" t="inlineStr">
        <is>
          <t>KARLSBORG</t>
        </is>
      </c>
      <c r="F7" t="inlineStr">
        <is>
          <t>Kommuner</t>
        </is>
      </c>
      <c r="G7" t="n">
        <v>11.2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Revlummer</t>
        </is>
      </c>
      <c r="S7">
        <f>HYPERLINK("https://klasma.github.io/Logging_1446/artfynd/A 51531-2023 artfynd.xlsx", "A 51531-2023")</f>
        <v/>
      </c>
      <c r="T7">
        <f>HYPERLINK("https://klasma.github.io/Logging_1446/kartor/A 51531-2023 karta.png", "A 51531-2023")</f>
        <v/>
      </c>
      <c r="V7">
        <f>HYPERLINK("https://klasma.github.io/Logging_1446/klagomål/A 51531-2023 FSC-klagomål.docx", "A 51531-2023")</f>
        <v/>
      </c>
      <c r="W7">
        <f>HYPERLINK("https://klasma.github.io/Logging_1446/klagomålsmail/A 51531-2023 FSC-klagomål mail.docx", "A 51531-2023")</f>
        <v/>
      </c>
      <c r="X7">
        <f>HYPERLINK("https://klasma.github.io/Logging_1446/tillsyn/A 51531-2023 tillsynsbegäran.docx", "A 51531-2023")</f>
        <v/>
      </c>
      <c r="Y7">
        <f>HYPERLINK("https://klasma.github.io/Logging_1446/tillsynsmail/A 51531-2023 tillsynsbegäran mail.docx", "A 51531-2023")</f>
        <v/>
      </c>
    </row>
    <row r="8" ht="15" customHeight="1">
      <c r="A8" t="inlineStr">
        <is>
          <t>A 35413-2018</t>
        </is>
      </c>
      <c r="B8" s="1" t="n">
        <v>43325</v>
      </c>
      <c r="C8" s="1" t="n">
        <v>45258</v>
      </c>
      <c r="D8" t="inlineStr">
        <is>
          <t>VÄSTRA GÖTALANDS LÄN</t>
        </is>
      </c>
      <c r="E8" t="inlineStr">
        <is>
          <t>KARLSBORG</t>
        </is>
      </c>
      <c r="G8" t="n">
        <v>6.6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72682-2018</t>
        </is>
      </c>
      <c r="B9" s="1" t="n">
        <v>43340</v>
      </c>
      <c r="C9" s="1" t="n">
        <v>45258</v>
      </c>
      <c r="D9" t="inlineStr">
        <is>
          <t>VÄSTRA GÖTALANDS LÄN</t>
        </is>
      </c>
      <c r="E9" t="inlineStr">
        <is>
          <t>KARLSBORG</t>
        </is>
      </c>
      <c r="G9" t="n">
        <v>1.3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44906-2018</t>
        </is>
      </c>
      <c r="B10" s="1" t="n">
        <v>43360</v>
      </c>
      <c r="C10" s="1" t="n">
        <v>45258</v>
      </c>
      <c r="D10" t="inlineStr">
        <is>
          <t>VÄSTRA GÖTALANDS LÄN</t>
        </is>
      </c>
      <c r="E10" t="inlineStr">
        <is>
          <t>KARLSBORG</t>
        </is>
      </c>
      <c r="G10" t="n">
        <v>2.3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44891-2018</t>
        </is>
      </c>
      <c r="B11" s="1" t="n">
        <v>43360</v>
      </c>
      <c r="C11" s="1" t="n">
        <v>45258</v>
      </c>
      <c r="D11" t="inlineStr">
        <is>
          <t>VÄSTRA GÖTALANDS LÄN</t>
        </is>
      </c>
      <c r="E11" t="inlineStr">
        <is>
          <t>KARLSBORG</t>
        </is>
      </c>
      <c r="G11" t="n">
        <v>1.3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54401-2018</t>
        </is>
      </c>
      <c r="B12" s="1" t="n">
        <v>43389</v>
      </c>
      <c r="C12" s="1" t="n">
        <v>45258</v>
      </c>
      <c r="D12" t="inlineStr">
        <is>
          <t>VÄSTRA GÖTALANDS LÄN</t>
        </is>
      </c>
      <c r="E12" t="inlineStr">
        <is>
          <t>KARLSBORG</t>
        </is>
      </c>
      <c r="F12" t="inlineStr">
        <is>
          <t>Kommuner</t>
        </is>
      </c>
      <c r="G12" t="n">
        <v>6.3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59069-2018</t>
        </is>
      </c>
      <c r="B13" s="1" t="n">
        <v>43403</v>
      </c>
      <c r="C13" s="1" t="n">
        <v>45258</v>
      </c>
      <c r="D13" t="inlineStr">
        <is>
          <t>VÄSTRA GÖTALANDS LÄN</t>
        </is>
      </c>
      <c r="E13" t="inlineStr">
        <is>
          <t>KARLSBORG</t>
        </is>
      </c>
      <c r="G13" t="n">
        <v>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59073-2018</t>
        </is>
      </c>
      <c r="B14" s="1" t="n">
        <v>43403</v>
      </c>
      <c r="C14" s="1" t="n">
        <v>45258</v>
      </c>
      <c r="D14" t="inlineStr">
        <is>
          <t>VÄSTRA GÖTALANDS LÄN</t>
        </is>
      </c>
      <c r="E14" t="inlineStr">
        <is>
          <t>KARLSBORG</t>
        </is>
      </c>
      <c r="G14" t="n">
        <v>0.6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60098-2018</t>
        </is>
      </c>
      <c r="B15" s="1" t="n">
        <v>43412</v>
      </c>
      <c r="C15" s="1" t="n">
        <v>45258</v>
      </c>
      <c r="D15" t="inlineStr">
        <is>
          <t>VÄSTRA GÖTALANDS LÄN</t>
        </is>
      </c>
      <c r="E15" t="inlineStr">
        <is>
          <t>KARLSBORG</t>
        </is>
      </c>
      <c r="G15" t="n">
        <v>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61946-2018</t>
        </is>
      </c>
      <c r="B16" s="1" t="n">
        <v>43413</v>
      </c>
      <c r="C16" s="1" t="n">
        <v>45258</v>
      </c>
      <c r="D16" t="inlineStr">
        <is>
          <t>VÄSTRA GÖTALANDS LÄN</t>
        </is>
      </c>
      <c r="E16" t="inlineStr">
        <is>
          <t>KARLSBORG</t>
        </is>
      </c>
      <c r="G16" t="n">
        <v>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64627-2018</t>
        </is>
      </c>
      <c r="B17" s="1" t="n">
        <v>43431</v>
      </c>
      <c r="C17" s="1" t="n">
        <v>45258</v>
      </c>
      <c r="D17" t="inlineStr">
        <is>
          <t>VÄSTRA GÖTALANDS LÄN</t>
        </is>
      </c>
      <c r="E17" t="inlineStr">
        <is>
          <t>KARLSBORG</t>
        </is>
      </c>
      <c r="G17" t="n">
        <v>1.4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67279-2018</t>
        </is>
      </c>
      <c r="B18" s="1" t="n">
        <v>43431</v>
      </c>
      <c r="C18" s="1" t="n">
        <v>45258</v>
      </c>
      <c r="D18" t="inlineStr">
        <is>
          <t>VÄSTRA GÖTALANDS LÄN</t>
        </is>
      </c>
      <c r="E18" t="inlineStr">
        <is>
          <t>KARLSBORG</t>
        </is>
      </c>
      <c r="G18" t="n">
        <v>1.7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67858-2018</t>
        </is>
      </c>
      <c r="B19" s="1" t="n">
        <v>43434</v>
      </c>
      <c r="C19" s="1" t="n">
        <v>45258</v>
      </c>
      <c r="D19" t="inlineStr">
        <is>
          <t>VÄSTRA GÖTALANDS LÄN</t>
        </is>
      </c>
      <c r="E19" t="inlineStr">
        <is>
          <t>KARLSBORG</t>
        </is>
      </c>
      <c r="G19" t="n">
        <v>1.5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67864-2018</t>
        </is>
      </c>
      <c r="B20" s="1" t="n">
        <v>43434</v>
      </c>
      <c r="C20" s="1" t="n">
        <v>45258</v>
      </c>
      <c r="D20" t="inlineStr">
        <is>
          <t>VÄSTRA GÖTALANDS LÄN</t>
        </is>
      </c>
      <c r="E20" t="inlineStr">
        <is>
          <t>KARLSBORG</t>
        </is>
      </c>
      <c r="G20" t="n">
        <v>1.5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66457-2018</t>
        </is>
      </c>
      <c r="B21" s="1" t="n">
        <v>43437</v>
      </c>
      <c r="C21" s="1" t="n">
        <v>45258</v>
      </c>
      <c r="D21" t="inlineStr">
        <is>
          <t>VÄSTRA GÖTALANDS LÄN</t>
        </is>
      </c>
      <c r="E21" t="inlineStr">
        <is>
          <t>KARLSBORG</t>
        </is>
      </c>
      <c r="F21" t="inlineStr">
        <is>
          <t>Övriga Aktiebolag</t>
        </is>
      </c>
      <c r="G21" t="n">
        <v>1.1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69789-2018</t>
        </is>
      </c>
      <c r="B22" s="1" t="n">
        <v>43445</v>
      </c>
      <c r="C22" s="1" t="n">
        <v>45258</v>
      </c>
      <c r="D22" t="inlineStr">
        <is>
          <t>VÄSTRA GÖTALANDS LÄN</t>
        </is>
      </c>
      <c r="E22" t="inlineStr">
        <is>
          <t>KARLSBORG</t>
        </is>
      </c>
      <c r="G22" t="n">
        <v>1.5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2622-2019</t>
        </is>
      </c>
      <c r="B23" s="1" t="n">
        <v>43477</v>
      </c>
      <c r="C23" s="1" t="n">
        <v>45258</v>
      </c>
      <c r="D23" t="inlineStr">
        <is>
          <t>VÄSTRA GÖTALANDS LÄN</t>
        </is>
      </c>
      <c r="E23" t="inlineStr">
        <is>
          <t>KARLSBORG</t>
        </is>
      </c>
      <c r="G23" t="n">
        <v>2.2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7489-2019</t>
        </is>
      </c>
      <c r="B24" s="1" t="n">
        <v>43493</v>
      </c>
      <c r="C24" s="1" t="n">
        <v>45258</v>
      </c>
      <c r="D24" t="inlineStr">
        <is>
          <t>VÄSTRA GÖTALANDS LÄN</t>
        </is>
      </c>
      <c r="E24" t="inlineStr">
        <is>
          <t>KARLSBORG</t>
        </is>
      </c>
      <c r="G24" t="n">
        <v>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9443-2019</t>
        </is>
      </c>
      <c r="B25" s="1" t="n">
        <v>43507</v>
      </c>
      <c r="C25" s="1" t="n">
        <v>45258</v>
      </c>
      <c r="D25" t="inlineStr">
        <is>
          <t>VÄSTRA GÖTALANDS LÄN</t>
        </is>
      </c>
      <c r="E25" t="inlineStr">
        <is>
          <t>KARLSBORG</t>
        </is>
      </c>
      <c r="G25" t="n">
        <v>1.5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9810-2019</t>
        </is>
      </c>
      <c r="B26" s="1" t="n">
        <v>43509</v>
      </c>
      <c r="C26" s="1" t="n">
        <v>45258</v>
      </c>
      <c r="D26" t="inlineStr">
        <is>
          <t>VÄSTRA GÖTALANDS LÄN</t>
        </is>
      </c>
      <c r="E26" t="inlineStr">
        <is>
          <t>KARLSBORG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9775-2019</t>
        </is>
      </c>
      <c r="B27" s="1" t="n">
        <v>43509</v>
      </c>
      <c r="C27" s="1" t="n">
        <v>45258</v>
      </c>
      <c r="D27" t="inlineStr">
        <is>
          <t>VÄSTRA GÖTALANDS LÄN</t>
        </is>
      </c>
      <c r="E27" t="inlineStr">
        <is>
          <t>KARLSBORG</t>
        </is>
      </c>
      <c r="G27" t="n">
        <v>7.5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11185-2019</t>
        </is>
      </c>
      <c r="B28" s="1" t="n">
        <v>43516</v>
      </c>
      <c r="C28" s="1" t="n">
        <v>45258</v>
      </c>
      <c r="D28" t="inlineStr">
        <is>
          <t>VÄSTRA GÖTALANDS LÄN</t>
        </is>
      </c>
      <c r="E28" t="inlineStr">
        <is>
          <t>KARLSBORG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11528-2019</t>
        </is>
      </c>
      <c r="B29" s="1" t="n">
        <v>43517</v>
      </c>
      <c r="C29" s="1" t="n">
        <v>45258</v>
      </c>
      <c r="D29" t="inlineStr">
        <is>
          <t>VÄSTRA GÖTALANDS LÄN</t>
        </is>
      </c>
      <c r="E29" t="inlineStr">
        <is>
          <t>KARLSBORG</t>
        </is>
      </c>
      <c r="G29" t="n">
        <v>2.9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12110-2019</t>
        </is>
      </c>
      <c r="B30" s="1" t="n">
        <v>43522</v>
      </c>
      <c r="C30" s="1" t="n">
        <v>45258</v>
      </c>
      <c r="D30" t="inlineStr">
        <is>
          <t>VÄSTRA GÖTALANDS LÄN</t>
        </is>
      </c>
      <c r="E30" t="inlineStr">
        <is>
          <t>KARLSBORG</t>
        </is>
      </c>
      <c r="G30" t="n">
        <v>2.3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13023-2019</t>
        </is>
      </c>
      <c r="B31" s="1" t="n">
        <v>43528</v>
      </c>
      <c r="C31" s="1" t="n">
        <v>45258</v>
      </c>
      <c r="D31" t="inlineStr">
        <is>
          <t>VÄSTRA GÖTALANDS LÄN</t>
        </is>
      </c>
      <c r="E31" t="inlineStr">
        <is>
          <t>KARLSBORG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14770-2019</t>
        </is>
      </c>
      <c r="B32" s="1" t="n">
        <v>43537</v>
      </c>
      <c r="C32" s="1" t="n">
        <v>45258</v>
      </c>
      <c r="D32" t="inlineStr">
        <is>
          <t>VÄSTRA GÖTALANDS LÄN</t>
        </is>
      </c>
      <c r="E32" t="inlineStr">
        <is>
          <t>KARLSBORG</t>
        </is>
      </c>
      <c r="G32" t="n">
        <v>5.1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17920-2019</t>
        </is>
      </c>
      <c r="B33" s="1" t="n">
        <v>43557</v>
      </c>
      <c r="C33" s="1" t="n">
        <v>45258</v>
      </c>
      <c r="D33" t="inlineStr">
        <is>
          <t>VÄSTRA GÖTALANDS LÄN</t>
        </is>
      </c>
      <c r="E33" t="inlineStr">
        <is>
          <t>KARLSBORG</t>
        </is>
      </c>
      <c r="G33" t="n">
        <v>3.8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20557-2019</t>
        </is>
      </c>
      <c r="B34" s="1" t="n">
        <v>43572</v>
      </c>
      <c r="C34" s="1" t="n">
        <v>45258</v>
      </c>
      <c r="D34" t="inlineStr">
        <is>
          <t>VÄSTRA GÖTALANDS LÄN</t>
        </is>
      </c>
      <c r="E34" t="inlineStr">
        <is>
          <t>KARLSBORG</t>
        </is>
      </c>
      <c r="G34" t="n">
        <v>10.1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20622-2019</t>
        </is>
      </c>
      <c r="B35" s="1" t="n">
        <v>43572</v>
      </c>
      <c r="C35" s="1" t="n">
        <v>45258</v>
      </c>
      <c r="D35" t="inlineStr">
        <is>
          <t>VÄSTRA GÖTALANDS LÄN</t>
        </is>
      </c>
      <c r="E35" t="inlineStr">
        <is>
          <t>KARLSBORG</t>
        </is>
      </c>
      <c r="G35" t="n">
        <v>14.5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21845-2019</t>
        </is>
      </c>
      <c r="B36" s="1" t="n">
        <v>43584</v>
      </c>
      <c r="C36" s="1" t="n">
        <v>45258</v>
      </c>
      <c r="D36" t="inlineStr">
        <is>
          <t>VÄSTRA GÖTALANDS LÄN</t>
        </is>
      </c>
      <c r="E36" t="inlineStr">
        <is>
          <t>KARLSBORG</t>
        </is>
      </c>
      <c r="F36" t="inlineStr">
        <is>
          <t>Sveaskog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22784-2019</t>
        </is>
      </c>
      <c r="B37" s="1" t="n">
        <v>43589</v>
      </c>
      <c r="C37" s="1" t="n">
        <v>45258</v>
      </c>
      <c r="D37" t="inlineStr">
        <is>
          <t>VÄSTRA GÖTALANDS LÄN</t>
        </is>
      </c>
      <c r="E37" t="inlineStr">
        <is>
          <t>KARLSBORG</t>
        </is>
      </c>
      <c r="F37" t="inlineStr">
        <is>
          <t>Sveaskog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22786-2019</t>
        </is>
      </c>
      <c r="B38" s="1" t="n">
        <v>43589</v>
      </c>
      <c r="C38" s="1" t="n">
        <v>45258</v>
      </c>
      <c r="D38" t="inlineStr">
        <is>
          <t>VÄSTRA GÖTALANDS LÄN</t>
        </is>
      </c>
      <c r="E38" t="inlineStr">
        <is>
          <t>KARLSBORG</t>
        </is>
      </c>
      <c r="F38" t="inlineStr">
        <is>
          <t>Sveaskog</t>
        </is>
      </c>
      <c r="G38" t="n">
        <v>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26143-2019</t>
        </is>
      </c>
      <c r="B39" s="1" t="n">
        <v>43609</v>
      </c>
      <c r="C39" s="1" t="n">
        <v>45258</v>
      </c>
      <c r="D39" t="inlineStr">
        <is>
          <t>VÄSTRA GÖTALANDS LÄN</t>
        </is>
      </c>
      <c r="E39" t="inlineStr">
        <is>
          <t>KARLSBORG</t>
        </is>
      </c>
      <c r="F39" t="inlineStr">
        <is>
          <t>Övriga statliga verk och myndigheter</t>
        </is>
      </c>
      <c r="G39" t="n">
        <v>3.4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28033-2019</t>
        </is>
      </c>
      <c r="B40" s="1" t="n">
        <v>43613</v>
      </c>
      <c r="C40" s="1" t="n">
        <v>45258</v>
      </c>
      <c r="D40" t="inlineStr">
        <is>
          <t>VÄSTRA GÖTALANDS LÄN</t>
        </is>
      </c>
      <c r="E40" t="inlineStr">
        <is>
          <t>KARLSBORG</t>
        </is>
      </c>
      <c r="G40" t="n">
        <v>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27996-2019</t>
        </is>
      </c>
      <c r="B41" s="1" t="n">
        <v>43621</v>
      </c>
      <c r="C41" s="1" t="n">
        <v>45258</v>
      </c>
      <c r="D41" t="inlineStr">
        <is>
          <t>VÄSTRA GÖTALANDS LÄN</t>
        </is>
      </c>
      <c r="E41" t="inlineStr">
        <is>
          <t>KARLSBORG</t>
        </is>
      </c>
      <c r="F41" t="inlineStr">
        <is>
          <t>Sveaskog</t>
        </is>
      </c>
      <c r="G41" t="n">
        <v>1.8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28084-2019</t>
        </is>
      </c>
      <c r="B42" s="1" t="n">
        <v>43621</v>
      </c>
      <c r="C42" s="1" t="n">
        <v>45258</v>
      </c>
      <c r="D42" t="inlineStr">
        <is>
          <t>VÄSTRA GÖTALANDS LÄN</t>
        </is>
      </c>
      <c r="E42" t="inlineStr">
        <is>
          <t>KARLSBORG</t>
        </is>
      </c>
      <c r="F42" t="inlineStr">
        <is>
          <t>Sveaskog</t>
        </is>
      </c>
      <c r="G42" t="n">
        <v>3.7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28054-2019</t>
        </is>
      </c>
      <c r="B43" s="1" t="n">
        <v>43621</v>
      </c>
      <c r="C43" s="1" t="n">
        <v>45258</v>
      </c>
      <c r="D43" t="inlineStr">
        <is>
          <t>VÄSTRA GÖTALANDS LÄN</t>
        </is>
      </c>
      <c r="E43" t="inlineStr">
        <is>
          <t>KARLSBORG</t>
        </is>
      </c>
      <c r="F43" t="inlineStr">
        <is>
          <t>Sveaskog</t>
        </is>
      </c>
      <c r="G43" t="n">
        <v>1.8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28080-2019</t>
        </is>
      </c>
      <c r="B44" s="1" t="n">
        <v>43621</v>
      </c>
      <c r="C44" s="1" t="n">
        <v>45258</v>
      </c>
      <c r="D44" t="inlineStr">
        <is>
          <t>VÄSTRA GÖTALANDS LÄN</t>
        </is>
      </c>
      <c r="E44" t="inlineStr">
        <is>
          <t>KARLSBORG</t>
        </is>
      </c>
      <c r="F44" t="inlineStr">
        <is>
          <t>Sveaskog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28087-2019</t>
        </is>
      </c>
      <c r="B45" s="1" t="n">
        <v>43621</v>
      </c>
      <c r="C45" s="1" t="n">
        <v>45258</v>
      </c>
      <c r="D45" t="inlineStr">
        <is>
          <t>VÄSTRA GÖTALANDS LÄN</t>
        </is>
      </c>
      <c r="E45" t="inlineStr">
        <is>
          <t>KARLSBORG</t>
        </is>
      </c>
      <c r="F45" t="inlineStr">
        <is>
          <t>Sveaskog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27997-2019</t>
        </is>
      </c>
      <c r="B46" s="1" t="n">
        <v>43621</v>
      </c>
      <c r="C46" s="1" t="n">
        <v>45258</v>
      </c>
      <c r="D46" t="inlineStr">
        <is>
          <t>VÄSTRA GÖTALANDS LÄN</t>
        </is>
      </c>
      <c r="E46" t="inlineStr">
        <is>
          <t>KARLSBORG</t>
        </is>
      </c>
      <c r="F46" t="inlineStr">
        <is>
          <t>Sveaskog</t>
        </is>
      </c>
      <c r="G46" t="n">
        <v>11.9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29556-2019</t>
        </is>
      </c>
      <c r="B47" s="1" t="n">
        <v>43630</v>
      </c>
      <c r="C47" s="1" t="n">
        <v>45258</v>
      </c>
      <c r="D47" t="inlineStr">
        <is>
          <t>VÄSTRA GÖTALANDS LÄN</t>
        </is>
      </c>
      <c r="E47" t="inlineStr">
        <is>
          <t>KARLSBORG</t>
        </is>
      </c>
      <c r="F47" t="inlineStr">
        <is>
          <t>Övriga Aktiebolag</t>
        </is>
      </c>
      <c r="G47" t="n">
        <v>1.9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29584-2019</t>
        </is>
      </c>
      <c r="B48" s="1" t="n">
        <v>43630</v>
      </c>
      <c r="C48" s="1" t="n">
        <v>45258</v>
      </c>
      <c r="D48" t="inlineStr">
        <is>
          <t>VÄSTRA GÖTALANDS LÄN</t>
        </is>
      </c>
      <c r="E48" t="inlineStr">
        <is>
          <t>KARLSBORG</t>
        </is>
      </c>
      <c r="F48" t="inlineStr">
        <is>
          <t>Övriga Aktiebolag</t>
        </is>
      </c>
      <c r="G48" t="n">
        <v>2.3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29571-2019</t>
        </is>
      </c>
      <c r="B49" s="1" t="n">
        <v>43630</v>
      </c>
      <c r="C49" s="1" t="n">
        <v>45258</v>
      </c>
      <c r="D49" t="inlineStr">
        <is>
          <t>VÄSTRA GÖTALANDS LÄN</t>
        </is>
      </c>
      <c r="E49" t="inlineStr">
        <is>
          <t>KARLSBORG</t>
        </is>
      </c>
      <c r="F49" t="inlineStr">
        <is>
          <t>Övriga Aktiebolag</t>
        </is>
      </c>
      <c r="G49" t="n">
        <v>4.8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29617-2019</t>
        </is>
      </c>
      <c r="B50" s="1" t="n">
        <v>43630</v>
      </c>
      <c r="C50" s="1" t="n">
        <v>45258</v>
      </c>
      <c r="D50" t="inlineStr">
        <is>
          <t>VÄSTRA GÖTALANDS LÄN</t>
        </is>
      </c>
      <c r="E50" t="inlineStr">
        <is>
          <t>KARLSBORG</t>
        </is>
      </c>
      <c r="F50" t="inlineStr">
        <is>
          <t>Övriga Aktiebolag</t>
        </is>
      </c>
      <c r="G50" t="n">
        <v>1.9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30210-2019</t>
        </is>
      </c>
      <c r="B51" s="1" t="n">
        <v>43634</v>
      </c>
      <c r="C51" s="1" t="n">
        <v>45258</v>
      </c>
      <c r="D51" t="inlineStr">
        <is>
          <t>VÄSTRA GÖTALANDS LÄN</t>
        </is>
      </c>
      <c r="E51" t="inlineStr">
        <is>
          <t>KARLSBORG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30320-2019</t>
        </is>
      </c>
      <c r="B52" s="1" t="n">
        <v>43634</v>
      </c>
      <c r="C52" s="1" t="n">
        <v>45258</v>
      </c>
      <c r="D52" t="inlineStr">
        <is>
          <t>VÄSTRA GÖTALANDS LÄN</t>
        </is>
      </c>
      <c r="E52" t="inlineStr">
        <is>
          <t>KARLSBORG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30318-2019</t>
        </is>
      </c>
      <c r="B53" s="1" t="n">
        <v>43634</v>
      </c>
      <c r="C53" s="1" t="n">
        <v>45258</v>
      </c>
      <c r="D53" t="inlineStr">
        <is>
          <t>VÄSTRA GÖTALANDS LÄN</t>
        </is>
      </c>
      <c r="E53" t="inlineStr">
        <is>
          <t>KARLSBORG</t>
        </is>
      </c>
      <c r="G53" t="n">
        <v>2.6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30311-2019</t>
        </is>
      </c>
      <c r="B54" s="1" t="n">
        <v>43634</v>
      </c>
      <c r="C54" s="1" t="n">
        <v>45258</v>
      </c>
      <c r="D54" t="inlineStr">
        <is>
          <t>VÄSTRA GÖTALANDS LÄN</t>
        </is>
      </c>
      <c r="E54" t="inlineStr">
        <is>
          <t>KARLSBORG</t>
        </is>
      </c>
      <c r="G54" t="n">
        <v>3.1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30675-2019</t>
        </is>
      </c>
      <c r="B55" s="1" t="n">
        <v>43635</v>
      </c>
      <c r="C55" s="1" t="n">
        <v>45258</v>
      </c>
      <c r="D55" t="inlineStr">
        <is>
          <t>VÄSTRA GÖTALANDS LÄN</t>
        </is>
      </c>
      <c r="E55" t="inlineStr">
        <is>
          <t>KARLSBORG</t>
        </is>
      </c>
      <c r="G55" t="n">
        <v>3.3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33149-2019</t>
        </is>
      </c>
      <c r="B56" s="1" t="n">
        <v>43644</v>
      </c>
      <c r="C56" s="1" t="n">
        <v>45258</v>
      </c>
      <c r="D56" t="inlineStr">
        <is>
          <t>VÄSTRA GÖTALANDS LÄN</t>
        </is>
      </c>
      <c r="E56" t="inlineStr">
        <is>
          <t>KARLSBORG</t>
        </is>
      </c>
      <c r="G56" t="n">
        <v>3.8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37949-2019</t>
        </is>
      </c>
      <c r="B57" s="1" t="n">
        <v>43683</v>
      </c>
      <c r="C57" s="1" t="n">
        <v>45258</v>
      </c>
      <c r="D57" t="inlineStr">
        <is>
          <t>VÄSTRA GÖTALANDS LÄN</t>
        </is>
      </c>
      <c r="E57" t="inlineStr">
        <is>
          <t>KARLSBORG</t>
        </is>
      </c>
      <c r="F57" t="inlineStr">
        <is>
          <t>Sveaskog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37942-2019</t>
        </is>
      </c>
      <c r="B58" s="1" t="n">
        <v>43683</v>
      </c>
      <c r="C58" s="1" t="n">
        <v>45258</v>
      </c>
      <c r="D58" t="inlineStr">
        <is>
          <t>VÄSTRA GÖTALANDS LÄN</t>
        </is>
      </c>
      <c r="E58" t="inlineStr">
        <is>
          <t>KARLSBORG</t>
        </is>
      </c>
      <c r="F58" t="inlineStr">
        <is>
          <t>Sveaskog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37941-2019</t>
        </is>
      </c>
      <c r="B59" s="1" t="n">
        <v>43683</v>
      </c>
      <c r="C59" s="1" t="n">
        <v>45258</v>
      </c>
      <c r="D59" t="inlineStr">
        <is>
          <t>VÄSTRA GÖTALANDS LÄN</t>
        </is>
      </c>
      <c r="E59" t="inlineStr">
        <is>
          <t>KARLSBORG</t>
        </is>
      </c>
      <c r="F59" t="inlineStr">
        <is>
          <t>Sveaskog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38503-2019</t>
        </is>
      </c>
      <c r="B60" s="1" t="n">
        <v>43685</v>
      </c>
      <c r="C60" s="1" t="n">
        <v>45258</v>
      </c>
      <c r="D60" t="inlineStr">
        <is>
          <t>VÄSTRA GÖTALANDS LÄN</t>
        </is>
      </c>
      <c r="E60" t="inlineStr">
        <is>
          <t>KARLSBORG</t>
        </is>
      </c>
      <c r="G60" t="n">
        <v>2.3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38536-2019</t>
        </is>
      </c>
      <c r="B61" s="1" t="n">
        <v>43685</v>
      </c>
      <c r="C61" s="1" t="n">
        <v>45258</v>
      </c>
      <c r="D61" t="inlineStr">
        <is>
          <t>VÄSTRA GÖTALANDS LÄN</t>
        </is>
      </c>
      <c r="E61" t="inlineStr">
        <is>
          <t>KARLSBORG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38496-2019</t>
        </is>
      </c>
      <c r="B62" s="1" t="n">
        <v>43685</v>
      </c>
      <c r="C62" s="1" t="n">
        <v>45258</v>
      </c>
      <c r="D62" t="inlineStr">
        <is>
          <t>VÄSTRA GÖTALANDS LÄN</t>
        </is>
      </c>
      <c r="E62" t="inlineStr">
        <is>
          <t>KARLSBORG</t>
        </is>
      </c>
      <c r="G62" t="n">
        <v>5.7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38501-2019</t>
        </is>
      </c>
      <c r="B63" s="1" t="n">
        <v>43685</v>
      </c>
      <c r="C63" s="1" t="n">
        <v>45258</v>
      </c>
      <c r="D63" t="inlineStr">
        <is>
          <t>VÄSTRA GÖTALANDS LÄN</t>
        </is>
      </c>
      <c r="E63" t="inlineStr">
        <is>
          <t>KARLSBORG</t>
        </is>
      </c>
      <c r="G63" t="n">
        <v>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39975-2019</t>
        </is>
      </c>
      <c r="B64" s="1" t="n">
        <v>43692</v>
      </c>
      <c r="C64" s="1" t="n">
        <v>45258</v>
      </c>
      <c r="D64" t="inlineStr">
        <is>
          <t>VÄSTRA GÖTALANDS LÄN</t>
        </is>
      </c>
      <c r="E64" t="inlineStr">
        <is>
          <t>KARLSBORG</t>
        </is>
      </c>
      <c r="F64" t="inlineStr">
        <is>
          <t>Sveaskog</t>
        </is>
      </c>
      <c r="G64" t="n">
        <v>2.6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42176-2019</t>
        </is>
      </c>
      <c r="B65" s="1" t="n">
        <v>43703</v>
      </c>
      <c r="C65" s="1" t="n">
        <v>45258</v>
      </c>
      <c r="D65" t="inlineStr">
        <is>
          <t>VÄSTRA GÖTALANDS LÄN</t>
        </is>
      </c>
      <c r="E65" t="inlineStr">
        <is>
          <t>KARLSBORG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42964-2019</t>
        </is>
      </c>
      <c r="B66" s="1" t="n">
        <v>43705</v>
      </c>
      <c r="C66" s="1" t="n">
        <v>45258</v>
      </c>
      <c r="D66" t="inlineStr">
        <is>
          <t>VÄSTRA GÖTALANDS LÄN</t>
        </is>
      </c>
      <c r="E66" t="inlineStr">
        <is>
          <t>KARLSBORG</t>
        </is>
      </c>
      <c r="F66" t="inlineStr">
        <is>
          <t>Övriga statliga verk och myndigheter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42965-2019</t>
        </is>
      </c>
      <c r="B67" s="1" t="n">
        <v>43705</v>
      </c>
      <c r="C67" s="1" t="n">
        <v>45258</v>
      </c>
      <c r="D67" t="inlineStr">
        <is>
          <t>VÄSTRA GÖTALANDS LÄN</t>
        </is>
      </c>
      <c r="E67" t="inlineStr">
        <is>
          <t>KARLSBORG</t>
        </is>
      </c>
      <c r="F67" t="inlineStr">
        <is>
          <t>Övriga statliga verk och myndigheter</t>
        </is>
      </c>
      <c r="G67" t="n">
        <v>3.3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45366-2019</t>
        </is>
      </c>
      <c r="B68" s="1" t="n">
        <v>43714</v>
      </c>
      <c r="C68" s="1" t="n">
        <v>45258</v>
      </c>
      <c r="D68" t="inlineStr">
        <is>
          <t>VÄSTRA GÖTALANDS LÄN</t>
        </is>
      </c>
      <c r="E68" t="inlineStr">
        <is>
          <t>KARLSBORG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47577-2019</t>
        </is>
      </c>
      <c r="B69" s="1" t="n">
        <v>43724</v>
      </c>
      <c r="C69" s="1" t="n">
        <v>45258</v>
      </c>
      <c r="D69" t="inlineStr">
        <is>
          <t>VÄSTRA GÖTALANDS LÄN</t>
        </is>
      </c>
      <c r="E69" t="inlineStr">
        <is>
          <t>KARLSBORG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49773-2019</t>
        </is>
      </c>
      <c r="B70" s="1" t="n">
        <v>43733</v>
      </c>
      <c r="C70" s="1" t="n">
        <v>45258</v>
      </c>
      <c r="D70" t="inlineStr">
        <is>
          <t>VÄSTRA GÖTALANDS LÄN</t>
        </is>
      </c>
      <c r="E70" t="inlineStr">
        <is>
          <t>KARLSBORG</t>
        </is>
      </c>
      <c r="F70" t="inlineStr">
        <is>
          <t>Sveaskog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51447-2019</t>
        </is>
      </c>
      <c r="B71" s="1" t="n">
        <v>43740</v>
      </c>
      <c r="C71" s="1" t="n">
        <v>45258</v>
      </c>
      <c r="D71" t="inlineStr">
        <is>
          <t>VÄSTRA GÖTALANDS LÄN</t>
        </is>
      </c>
      <c r="E71" t="inlineStr">
        <is>
          <t>KARLSBORG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54647-2019</t>
        </is>
      </c>
      <c r="B72" s="1" t="n">
        <v>43748</v>
      </c>
      <c r="C72" s="1" t="n">
        <v>45258</v>
      </c>
      <c r="D72" t="inlineStr">
        <is>
          <t>VÄSTRA GÖTALANDS LÄN</t>
        </is>
      </c>
      <c r="E72" t="inlineStr">
        <is>
          <t>KARLSBORG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58065-2019</t>
        </is>
      </c>
      <c r="B73" s="1" t="n">
        <v>43762</v>
      </c>
      <c r="C73" s="1" t="n">
        <v>45258</v>
      </c>
      <c r="D73" t="inlineStr">
        <is>
          <t>VÄSTRA GÖTALANDS LÄN</t>
        </is>
      </c>
      <c r="E73" t="inlineStr">
        <is>
          <t>KARLSBORG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56294-2019</t>
        </is>
      </c>
      <c r="B74" s="1" t="n">
        <v>43762</v>
      </c>
      <c r="C74" s="1" t="n">
        <v>45258</v>
      </c>
      <c r="D74" t="inlineStr">
        <is>
          <t>VÄSTRA GÖTALANDS LÄN</t>
        </is>
      </c>
      <c r="E74" t="inlineStr">
        <is>
          <t>KARLSBORG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58069-2019</t>
        </is>
      </c>
      <c r="B75" s="1" t="n">
        <v>43762</v>
      </c>
      <c r="C75" s="1" t="n">
        <v>45258</v>
      </c>
      <c r="D75" t="inlineStr">
        <is>
          <t>VÄSTRA GÖTALANDS LÄN</t>
        </is>
      </c>
      <c r="E75" t="inlineStr">
        <is>
          <t>KARLSBORG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60779-2019</t>
        </is>
      </c>
      <c r="B76" s="1" t="n">
        <v>43781</v>
      </c>
      <c r="C76" s="1" t="n">
        <v>45258</v>
      </c>
      <c r="D76" t="inlineStr">
        <is>
          <t>VÄSTRA GÖTALANDS LÄN</t>
        </is>
      </c>
      <c r="E76" t="inlineStr">
        <is>
          <t>KARLSBORG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61846-2019</t>
        </is>
      </c>
      <c r="B77" s="1" t="n">
        <v>43786</v>
      </c>
      <c r="C77" s="1" t="n">
        <v>45258</v>
      </c>
      <c r="D77" t="inlineStr">
        <is>
          <t>VÄSTRA GÖTALANDS LÄN</t>
        </is>
      </c>
      <c r="E77" t="inlineStr">
        <is>
          <t>KARLSBORG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63364-2019</t>
        </is>
      </c>
      <c r="B78" s="1" t="n">
        <v>43794</v>
      </c>
      <c r="C78" s="1" t="n">
        <v>45258</v>
      </c>
      <c r="D78" t="inlineStr">
        <is>
          <t>VÄSTRA GÖTALANDS LÄN</t>
        </is>
      </c>
      <c r="E78" t="inlineStr">
        <is>
          <t>KARLSBORG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63363-2019</t>
        </is>
      </c>
      <c r="B79" s="1" t="n">
        <v>43794</v>
      </c>
      <c r="C79" s="1" t="n">
        <v>45258</v>
      </c>
      <c r="D79" t="inlineStr">
        <is>
          <t>VÄSTRA GÖTALANDS LÄN</t>
        </is>
      </c>
      <c r="E79" t="inlineStr">
        <is>
          <t>KARLSBORG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63365-2019</t>
        </is>
      </c>
      <c r="B80" s="1" t="n">
        <v>43794</v>
      </c>
      <c r="C80" s="1" t="n">
        <v>45258</v>
      </c>
      <c r="D80" t="inlineStr">
        <is>
          <t>VÄSTRA GÖTALANDS LÄN</t>
        </is>
      </c>
      <c r="E80" t="inlineStr">
        <is>
          <t>KARLSBORG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63367-2019</t>
        </is>
      </c>
      <c r="B81" s="1" t="n">
        <v>43794</v>
      </c>
      <c r="C81" s="1" t="n">
        <v>45258</v>
      </c>
      <c r="D81" t="inlineStr">
        <is>
          <t>VÄSTRA GÖTALANDS LÄN</t>
        </is>
      </c>
      <c r="E81" t="inlineStr">
        <is>
          <t>KARLSBORG</t>
        </is>
      </c>
      <c r="G81" t="n">
        <v>3.5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64108-2019</t>
        </is>
      </c>
      <c r="B82" s="1" t="n">
        <v>43796</v>
      </c>
      <c r="C82" s="1" t="n">
        <v>45258</v>
      </c>
      <c r="D82" t="inlineStr">
        <is>
          <t>VÄSTRA GÖTALANDS LÄN</t>
        </is>
      </c>
      <c r="E82" t="inlineStr">
        <is>
          <t>KARLSBORG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65610-2019</t>
        </is>
      </c>
      <c r="B83" s="1" t="n">
        <v>43804</v>
      </c>
      <c r="C83" s="1" t="n">
        <v>45258</v>
      </c>
      <c r="D83" t="inlineStr">
        <is>
          <t>VÄSTRA GÖTALANDS LÄN</t>
        </is>
      </c>
      <c r="E83" t="inlineStr">
        <is>
          <t>KARLSBORG</t>
        </is>
      </c>
      <c r="G83" t="n">
        <v>2.6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65600-2019</t>
        </is>
      </c>
      <c r="B84" s="1" t="n">
        <v>43804</v>
      </c>
      <c r="C84" s="1" t="n">
        <v>45258</v>
      </c>
      <c r="D84" t="inlineStr">
        <is>
          <t>VÄSTRA GÖTALANDS LÄN</t>
        </is>
      </c>
      <c r="E84" t="inlineStr">
        <is>
          <t>KARLSBORG</t>
        </is>
      </c>
      <c r="G84" t="n">
        <v>9.4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65616-2019</t>
        </is>
      </c>
      <c r="B85" s="1" t="n">
        <v>43804</v>
      </c>
      <c r="C85" s="1" t="n">
        <v>45258</v>
      </c>
      <c r="D85" t="inlineStr">
        <is>
          <t>VÄSTRA GÖTALANDS LÄN</t>
        </is>
      </c>
      <c r="E85" t="inlineStr">
        <is>
          <t>KARLSBORG</t>
        </is>
      </c>
      <c r="G85" t="n">
        <v>3.6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65617-2019</t>
        </is>
      </c>
      <c r="B86" s="1" t="n">
        <v>43804</v>
      </c>
      <c r="C86" s="1" t="n">
        <v>45258</v>
      </c>
      <c r="D86" t="inlineStr">
        <is>
          <t>VÄSTRA GÖTALANDS LÄN</t>
        </is>
      </c>
      <c r="E86" t="inlineStr">
        <is>
          <t>KARLSBORG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67760-2019</t>
        </is>
      </c>
      <c r="B87" s="1" t="n">
        <v>43810</v>
      </c>
      <c r="C87" s="1" t="n">
        <v>45258</v>
      </c>
      <c r="D87" t="inlineStr">
        <is>
          <t>VÄSTRA GÖTALANDS LÄN</t>
        </is>
      </c>
      <c r="E87" t="inlineStr">
        <is>
          <t>KARLSBORG</t>
        </is>
      </c>
      <c r="G87" t="n">
        <v>6.4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67771-2019</t>
        </is>
      </c>
      <c r="B88" s="1" t="n">
        <v>43815</v>
      </c>
      <c r="C88" s="1" t="n">
        <v>45258</v>
      </c>
      <c r="D88" t="inlineStr">
        <is>
          <t>VÄSTRA GÖTALANDS LÄN</t>
        </is>
      </c>
      <c r="E88" t="inlineStr">
        <is>
          <t>KARLSBORG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67767-2019</t>
        </is>
      </c>
      <c r="B89" s="1" t="n">
        <v>43815</v>
      </c>
      <c r="C89" s="1" t="n">
        <v>45258</v>
      </c>
      <c r="D89" t="inlineStr">
        <is>
          <t>VÄSTRA GÖTALANDS LÄN</t>
        </is>
      </c>
      <c r="E89" t="inlineStr">
        <is>
          <t>KARLSBORG</t>
        </is>
      </c>
      <c r="G89" t="n">
        <v>2.6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1950-2020</t>
        </is>
      </c>
      <c r="B90" s="1" t="n">
        <v>43838</v>
      </c>
      <c r="C90" s="1" t="n">
        <v>45258</v>
      </c>
      <c r="D90" t="inlineStr">
        <is>
          <t>VÄSTRA GÖTALANDS LÄN</t>
        </is>
      </c>
      <c r="E90" t="inlineStr">
        <is>
          <t>KARLSBORG</t>
        </is>
      </c>
      <c r="G90" t="n">
        <v>22.8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3650-2020</t>
        </is>
      </c>
      <c r="B91" s="1" t="n">
        <v>43853</v>
      </c>
      <c r="C91" s="1" t="n">
        <v>45258</v>
      </c>
      <c r="D91" t="inlineStr">
        <is>
          <t>VÄSTRA GÖTALANDS LÄN</t>
        </is>
      </c>
      <c r="E91" t="inlineStr">
        <is>
          <t>KARLSBORG</t>
        </is>
      </c>
      <c r="G91" t="n">
        <v>2.2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6596-2020</t>
        </is>
      </c>
      <c r="B92" s="1" t="n">
        <v>43865</v>
      </c>
      <c r="C92" s="1" t="n">
        <v>45258</v>
      </c>
      <c r="D92" t="inlineStr">
        <is>
          <t>VÄSTRA GÖTALANDS LÄN</t>
        </is>
      </c>
      <c r="E92" t="inlineStr">
        <is>
          <t>KARLSBORG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8021-2020</t>
        </is>
      </c>
      <c r="B93" s="1" t="n">
        <v>43873</v>
      </c>
      <c r="C93" s="1" t="n">
        <v>45258</v>
      </c>
      <c r="D93" t="inlineStr">
        <is>
          <t>VÄSTRA GÖTALANDS LÄN</t>
        </is>
      </c>
      <c r="E93" t="inlineStr">
        <is>
          <t>KARLSBORG</t>
        </is>
      </c>
      <c r="F93" t="inlineStr">
        <is>
          <t>Övriga Aktiebolag</t>
        </is>
      </c>
      <c r="G93" t="n">
        <v>3.4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8018-2020</t>
        </is>
      </c>
      <c r="B94" s="1" t="n">
        <v>43873</v>
      </c>
      <c r="C94" s="1" t="n">
        <v>45258</v>
      </c>
      <c r="D94" t="inlineStr">
        <is>
          <t>VÄSTRA GÖTALANDS LÄN</t>
        </is>
      </c>
      <c r="E94" t="inlineStr">
        <is>
          <t>KARLSBORG</t>
        </is>
      </c>
      <c r="F94" t="inlineStr">
        <is>
          <t>Övriga Aktiebolag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8161-2020</t>
        </is>
      </c>
      <c r="B95" s="1" t="n">
        <v>43874</v>
      </c>
      <c r="C95" s="1" t="n">
        <v>45258</v>
      </c>
      <c r="D95" t="inlineStr">
        <is>
          <t>VÄSTRA GÖTALANDS LÄN</t>
        </is>
      </c>
      <c r="E95" t="inlineStr">
        <is>
          <t>KARLSBORG</t>
        </is>
      </c>
      <c r="F95" t="inlineStr">
        <is>
          <t>Övriga Aktiebolag</t>
        </is>
      </c>
      <c r="G95" t="n">
        <v>3.7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8069-2020</t>
        </is>
      </c>
      <c r="B96" s="1" t="n">
        <v>43874</v>
      </c>
      <c r="C96" s="1" t="n">
        <v>45258</v>
      </c>
      <c r="D96" t="inlineStr">
        <is>
          <t>VÄSTRA GÖTALANDS LÄN</t>
        </is>
      </c>
      <c r="E96" t="inlineStr">
        <is>
          <t>KARLSBORG</t>
        </is>
      </c>
      <c r="F96" t="inlineStr">
        <is>
          <t>Övriga Aktiebolag</t>
        </is>
      </c>
      <c r="G96" t="n">
        <v>2.4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8167-2020</t>
        </is>
      </c>
      <c r="B97" s="1" t="n">
        <v>43874</v>
      </c>
      <c r="C97" s="1" t="n">
        <v>45258</v>
      </c>
      <c r="D97" t="inlineStr">
        <is>
          <t>VÄSTRA GÖTALANDS LÄN</t>
        </is>
      </c>
      <c r="E97" t="inlineStr">
        <is>
          <t>KARLSBORG</t>
        </is>
      </c>
      <c r="F97" t="inlineStr">
        <is>
          <t>Övriga Aktiebolag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8172-2020</t>
        </is>
      </c>
      <c r="B98" s="1" t="n">
        <v>43874</v>
      </c>
      <c r="C98" s="1" t="n">
        <v>45258</v>
      </c>
      <c r="D98" t="inlineStr">
        <is>
          <t>VÄSTRA GÖTALANDS LÄN</t>
        </is>
      </c>
      <c r="E98" t="inlineStr">
        <is>
          <t>KARLSBORG</t>
        </is>
      </c>
      <c r="F98" t="inlineStr">
        <is>
          <t>Övriga Aktiebolag</t>
        </is>
      </c>
      <c r="G98" t="n">
        <v>12.5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8155-2020</t>
        </is>
      </c>
      <c r="B99" s="1" t="n">
        <v>43874</v>
      </c>
      <c r="C99" s="1" t="n">
        <v>45258</v>
      </c>
      <c r="D99" t="inlineStr">
        <is>
          <t>VÄSTRA GÖTALANDS LÄN</t>
        </is>
      </c>
      <c r="E99" t="inlineStr">
        <is>
          <t>KARLSBORG</t>
        </is>
      </c>
      <c r="F99" t="inlineStr">
        <is>
          <t>Övriga Aktiebolag</t>
        </is>
      </c>
      <c r="G99" t="n">
        <v>12.8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14666-2020</t>
        </is>
      </c>
      <c r="B100" s="1" t="n">
        <v>43902</v>
      </c>
      <c r="C100" s="1" t="n">
        <v>45258</v>
      </c>
      <c r="D100" t="inlineStr">
        <is>
          <t>VÄSTRA GÖTALANDS LÄN</t>
        </is>
      </c>
      <c r="E100" t="inlineStr">
        <is>
          <t>KARLSBORG</t>
        </is>
      </c>
      <c r="G100" t="n">
        <v>2.1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14784-2020</t>
        </is>
      </c>
      <c r="B101" s="1" t="n">
        <v>43909</v>
      </c>
      <c r="C101" s="1" t="n">
        <v>45258</v>
      </c>
      <c r="D101" t="inlineStr">
        <is>
          <t>VÄSTRA GÖTALANDS LÄN</t>
        </is>
      </c>
      <c r="E101" t="inlineStr">
        <is>
          <t>KARLSBORG</t>
        </is>
      </c>
      <c r="G101" t="n">
        <v>3.2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14808-2020</t>
        </is>
      </c>
      <c r="B102" s="1" t="n">
        <v>43909</v>
      </c>
      <c r="C102" s="1" t="n">
        <v>45258</v>
      </c>
      <c r="D102" t="inlineStr">
        <is>
          <t>VÄSTRA GÖTALANDS LÄN</t>
        </is>
      </c>
      <c r="E102" t="inlineStr">
        <is>
          <t>KARLSBORG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19012-2020</t>
        </is>
      </c>
      <c r="B103" s="1" t="n">
        <v>43936</v>
      </c>
      <c r="C103" s="1" t="n">
        <v>45258</v>
      </c>
      <c r="D103" t="inlineStr">
        <is>
          <t>VÄSTRA GÖTALANDS LÄN</t>
        </is>
      </c>
      <c r="E103" t="inlineStr">
        <is>
          <t>KARLSBORG</t>
        </is>
      </c>
      <c r="G103" t="n">
        <v>2.8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21147-2020</t>
        </is>
      </c>
      <c r="B104" s="1" t="n">
        <v>43951</v>
      </c>
      <c r="C104" s="1" t="n">
        <v>45258</v>
      </c>
      <c r="D104" t="inlineStr">
        <is>
          <t>VÄSTRA GÖTALANDS LÄN</t>
        </is>
      </c>
      <c r="E104" t="inlineStr">
        <is>
          <t>KARLSBORG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21719-2020</t>
        </is>
      </c>
      <c r="B105" s="1" t="n">
        <v>43957</v>
      </c>
      <c r="C105" s="1" t="n">
        <v>45258</v>
      </c>
      <c r="D105" t="inlineStr">
        <is>
          <t>VÄSTRA GÖTALANDS LÄN</t>
        </is>
      </c>
      <c r="E105" t="inlineStr">
        <is>
          <t>KARLSBORG</t>
        </is>
      </c>
      <c r="G105" t="n">
        <v>9.9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24106-2020</t>
        </is>
      </c>
      <c r="B106" s="1" t="n">
        <v>43973</v>
      </c>
      <c r="C106" s="1" t="n">
        <v>45258</v>
      </c>
      <c r="D106" t="inlineStr">
        <is>
          <t>VÄSTRA GÖTALANDS LÄN</t>
        </is>
      </c>
      <c r="E106" t="inlineStr">
        <is>
          <t>KARLSBORG</t>
        </is>
      </c>
      <c r="F106" t="inlineStr">
        <is>
          <t>Sveaskog</t>
        </is>
      </c>
      <c r="G106" t="n">
        <v>5.4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24109-2020</t>
        </is>
      </c>
      <c r="B107" s="1" t="n">
        <v>43973</v>
      </c>
      <c r="C107" s="1" t="n">
        <v>45258</v>
      </c>
      <c r="D107" t="inlineStr">
        <is>
          <t>VÄSTRA GÖTALANDS LÄN</t>
        </is>
      </c>
      <c r="E107" t="inlineStr">
        <is>
          <t>KARLSBORG</t>
        </is>
      </c>
      <c r="F107" t="inlineStr">
        <is>
          <t>Sveaskog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24110-2020</t>
        </is>
      </c>
      <c r="B108" s="1" t="n">
        <v>43973</v>
      </c>
      <c r="C108" s="1" t="n">
        <v>45258</v>
      </c>
      <c r="D108" t="inlineStr">
        <is>
          <t>VÄSTRA GÖTALANDS LÄN</t>
        </is>
      </c>
      <c r="E108" t="inlineStr">
        <is>
          <t>KARLSBORG</t>
        </is>
      </c>
      <c r="F108" t="inlineStr">
        <is>
          <t>Sveaskog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24841-2020</t>
        </is>
      </c>
      <c r="B109" s="1" t="n">
        <v>43978</v>
      </c>
      <c r="C109" s="1" t="n">
        <v>45258</v>
      </c>
      <c r="D109" t="inlineStr">
        <is>
          <t>VÄSTRA GÖTALANDS LÄN</t>
        </is>
      </c>
      <c r="E109" t="inlineStr">
        <is>
          <t>KARLSBORG</t>
        </is>
      </c>
      <c r="F109" t="inlineStr">
        <is>
          <t>Sveaskog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25740-2020</t>
        </is>
      </c>
      <c r="B110" s="1" t="n">
        <v>43984</v>
      </c>
      <c r="C110" s="1" t="n">
        <v>45258</v>
      </c>
      <c r="D110" t="inlineStr">
        <is>
          <t>VÄSTRA GÖTALANDS LÄN</t>
        </is>
      </c>
      <c r="E110" t="inlineStr">
        <is>
          <t>KARLSBORG</t>
        </is>
      </c>
      <c r="G110" t="n">
        <v>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26753-2020</t>
        </is>
      </c>
      <c r="B111" s="1" t="n">
        <v>43990</v>
      </c>
      <c r="C111" s="1" t="n">
        <v>45258</v>
      </c>
      <c r="D111" t="inlineStr">
        <is>
          <t>VÄSTRA GÖTALANDS LÄN</t>
        </is>
      </c>
      <c r="E111" t="inlineStr">
        <is>
          <t>KARLSBORG</t>
        </is>
      </c>
      <c r="G111" t="n">
        <v>2.7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34624-2020</t>
        </is>
      </c>
      <c r="B112" s="1" t="n">
        <v>44034</v>
      </c>
      <c r="C112" s="1" t="n">
        <v>45258</v>
      </c>
      <c r="D112" t="inlineStr">
        <is>
          <t>VÄSTRA GÖTALANDS LÄN</t>
        </is>
      </c>
      <c r="E112" t="inlineStr">
        <is>
          <t>KARLSBORG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41215-2020</t>
        </is>
      </c>
      <c r="B113" s="1" t="n">
        <v>44069</v>
      </c>
      <c r="C113" s="1" t="n">
        <v>45258</v>
      </c>
      <c r="D113" t="inlineStr">
        <is>
          <t>VÄSTRA GÖTALANDS LÄN</t>
        </is>
      </c>
      <c r="E113" t="inlineStr">
        <is>
          <t>KARLSBORG</t>
        </is>
      </c>
      <c r="G113" t="n">
        <v>6.7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41385-2020</t>
        </is>
      </c>
      <c r="B114" s="1" t="n">
        <v>44072</v>
      </c>
      <c r="C114" s="1" t="n">
        <v>45258</v>
      </c>
      <c r="D114" t="inlineStr">
        <is>
          <t>VÄSTRA GÖTALANDS LÄN</t>
        </is>
      </c>
      <c r="E114" t="inlineStr">
        <is>
          <t>KARLSBORG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45472-2020</t>
        </is>
      </c>
      <c r="B115" s="1" t="n">
        <v>44089</v>
      </c>
      <c r="C115" s="1" t="n">
        <v>45258</v>
      </c>
      <c r="D115" t="inlineStr">
        <is>
          <t>VÄSTRA GÖTALANDS LÄN</t>
        </is>
      </c>
      <c r="E115" t="inlineStr">
        <is>
          <t>KARLSBORG</t>
        </is>
      </c>
      <c r="F115" t="inlineStr">
        <is>
          <t>Övriga Aktiebolag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45475-2020</t>
        </is>
      </c>
      <c r="B116" s="1" t="n">
        <v>44089</v>
      </c>
      <c r="C116" s="1" t="n">
        <v>45258</v>
      </c>
      <c r="D116" t="inlineStr">
        <is>
          <t>VÄSTRA GÖTALANDS LÄN</t>
        </is>
      </c>
      <c r="E116" t="inlineStr">
        <is>
          <t>KARLSBORG</t>
        </is>
      </c>
      <c r="F116" t="inlineStr">
        <is>
          <t>Övriga Aktiebolag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49416-2020</t>
        </is>
      </c>
      <c r="B117" s="1" t="n">
        <v>44105</v>
      </c>
      <c r="C117" s="1" t="n">
        <v>45258</v>
      </c>
      <c r="D117" t="inlineStr">
        <is>
          <t>VÄSTRA GÖTALANDS LÄN</t>
        </is>
      </c>
      <c r="E117" t="inlineStr">
        <is>
          <t>KARLSBORG</t>
        </is>
      </c>
      <c r="G117" t="n">
        <v>2.4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51253-2020</t>
        </is>
      </c>
      <c r="B118" s="1" t="n">
        <v>44112</v>
      </c>
      <c r="C118" s="1" t="n">
        <v>45258</v>
      </c>
      <c r="D118" t="inlineStr">
        <is>
          <t>VÄSTRA GÖTALANDS LÄN</t>
        </is>
      </c>
      <c r="E118" t="inlineStr">
        <is>
          <t>KARLSBORG</t>
        </is>
      </c>
      <c r="G118" t="n">
        <v>1.9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52353-2020</t>
        </is>
      </c>
      <c r="B119" s="1" t="n">
        <v>44118</v>
      </c>
      <c r="C119" s="1" t="n">
        <v>45258</v>
      </c>
      <c r="D119" t="inlineStr">
        <is>
          <t>VÄSTRA GÖTALANDS LÄN</t>
        </is>
      </c>
      <c r="E119" t="inlineStr">
        <is>
          <t>KARLSBORG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58167-2020</t>
        </is>
      </c>
      <c r="B120" s="1" t="n">
        <v>44144</v>
      </c>
      <c r="C120" s="1" t="n">
        <v>45258</v>
      </c>
      <c r="D120" t="inlineStr">
        <is>
          <t>VÄSTRA GÖTALANDS LÄN</t>
        </is>
      </c>
      <c r="E120" t="inlineStr">
        <is>
          <t>KARLSBORG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58181-2020</t>
        </is>
      </c>
      <c r="B121" s="1" t="n">
        <v>44144</v>
      </c>
      <c r="C121" s="1" t="n">
        <v>45258</v>
      </c>
      <c r="D121" t="inlineStr">
        <is>
          <t>VÄSTRA GÖTALANDS LÄN</t>
        </is>
      </c>
      <c r="E121" t="inlineStr">
        <is>
          <t>KARLSBORG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66530-2020</t>
        </is>
      </c>
      <c r="B122" s="1" t="n">
        <v>44179</v>
      </c>
      <c r="C122" s="1" t="n">
        <v>45258</v>
      </c>
      <c r="D122" t="inlineStr">
        <is>
          <t>VÄSTRA GÖTALANDS LÄN</t>
        </is>
      </c>
      <c r="E122" t="inlineStr">
        <is>
          <t>KARLSBORG</t>
        </is>
      </c>
      <c r="F122" t="inlineStr">
        <is>
          <t>Övriga Aktiebolag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67443-2020</t>
        </is>
      </c>
      <c r="B123" s="1" t="n">
        <v>44181</v>
      </c>
      <c r="C123" s="1" t="n">
        <v>45258</v>
      </c>
      <c r="D123" t="inlineStr">
        <is>
          <t>VÄSTRA GÖTALANDS LÄN</t>
        </is>
      </c>
      <c r="E123" t="inlineStr">
        <is>
          <t>KARLSBORG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67554-2020</t>
        </is>
      </c>
      <c r="B124" s="1" t="n">
        <v>44181</v>
      </c>
      <c r="C124" s="1" t="n">
        <v>45258</v>
      </c>
      <c r="D124" t="inlineStr">
        <is>
          <t>VÄSTRA GÖTALANDS LÄN</t>
        </is>
      </c>
      <c r="E124" t="inlineStr">
        <is>
          <t>KARLSBORG</t>
        </is>
      </c>
      <c r="G124" t="n">
        <v>3.3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67970-2020</t>
        </is>
      </c>
      <c r="B125" s="1" t="n">
        <v>44182</v>
      </c>
      <c r="C125" s="1" t="n">
        <v>45258</v>
      </c>
      <c r="D125" t="inlineStr">
        <is>
          <t>VÄSTRA GÖTALANDS LÄN</t>
        </is>
      </c>
      <c r="E125" t="inlineStr">
        <is>
          <t>KARLSBORG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69483-2020</t>
        </is>
      </c>
      <c r="B126" s="1" t="n">
        <v>44194</v>
      </c>
      <c r="C126" s="1" t="n">
        <v>45258</v>
      </c>
      <c r="D126" t="inlineStr">
        <is>
          <t>VÄSTRA GÖTALANDS LÄN</t>
        </is>
      </c>
      <c r="E126" t="inlineStr">
        <is>
          <t>KARLSBORG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30-2021</t>
        </is>
      </c>
      <c r="B127" s="1" t="n">
        <v>44198</v>
      </c>
      <c r="C127" s="1" t="n">
        <v>45258</v>
      </c>
      <c r="D127" t="inlineStr">
        <is>
          <t>VÄSTRA GÖTALANDS LÄN</t>
        </is>
      </c>
      <c r="E127" t="inlineStr">
        <is>
          <t>KARLSBORG</t>
        </is>
      </c>
      <c r="G127" t="n">
        <v>3.8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1519-2021</t>
        </is>
      </c>
      <c r="B128" s="1" t="n">
        <v>44209</v>
      </c>
      <c r="C128" s="1" t="n">
        <v>45258</v>
      </c>
      <c r="D128" t="inlineStr">
        <is>
          <t>VÄSTRA GÖTALANDS LÄN</t>
        </is>
      </c>
      <c r="E128" t="inlineStr">
        <is>
          <t>KARLSBORG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3294-2021</t>
        </is>
      </c>
      <c r="B129" s="1" t="n">
        <v>44217</v>
      </c>
      <c r="C129" s="1" t="n">
        <v>45258</v>
      </c>
      <c r="D129" t="inlineStr">
        <is>
          <t>VÄSTRA GÖTALANDS LÄN</t>
        </is>
      </c>
      <c r="E129" t="inlineStr">
        <is>
          <t>KARLSBORG</t>
        </is>
      </c>
      <c r="F129" t="inlineStr">
        <is>
          <t>Övriga Aktiebolag</t>
        </is>
      </c>
      <c r="G129" t="n">
        <v>3.4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3708-2021</t>
        </is>
      </c>
      <c r="B130" s="1" t="n">
        <v>44221</v>
      </c>
      <c r="C130" s="1" t="n">
        <v>45258</v>
      </c>
      <c r="D130" t="inlineStr">
        <is>
          <t>VÄSTRA GÖTALANDS LÄN</t>
        </is>
      </c>
      <c r="E130" t="inlineStr">
        <is>
          <t>KARLSBORG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4092-2021</t>
        </is>
      </c>
      <c r="B131" s="1" t="n">
        <v>44222</v>
      </c>
      <c r="C131" s="1" t="n">
        <v>45258</v>
      </c>
      <c r="D131" t="inlineStr">
        <is>
          <t>VÄSTRA GÖTALANDS LÄN</t>
        </is>
      </c>
      <c r="E131" t="inlineStr">
        <is>
          <t>KARLSBORG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4780-2021</t>
        </is>
      </c>
      <c r="B132" s="1" t="n">
        <v>44225</v>
      </c>
      <c r="C132" s="1" t="n">
        <v>45258</v>
      </c>
      <c r="D132" t="inlineStr">
        <is>
          <t>VÄSTRA GÖTALANDS LÄN</t>
        </is>
      </c>
      <c r="E132" t="inlineStr">
        <is>
          <t>KARLSBORG</t>
        </is>
      </c>
      <c r="G132" t="n">
        <v>5.6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9191-2021</t>
        </is>
      </c>
      <c r="B133" s="1" t="n">
        <v>44250</v>
      </c>
      <c r="C133" s="1" t="n">
        <v>45258</v>
      </c>
      <c r="D133" t="inlineStr">
        <is>
          <t>VÄSTRA GÖTALANDS LÄN</t>
        </is>
      </c>
      <c r="E133" t="inlineStr">
        <is>
          <t>KARLSBORG</t>
        </is>
      </c>
      <c r="G133" t="n">
        <v>2.7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12206-2021</t>
        </is>
      </c>
      <c r="B134" s="1" t="n">
        <v>44266</v>
      </c>
      <c r="C134" s="1" t="n">
        <v>45258</v>
      </c>
      <c r="D134" t="inlineStr">
        <is>
          <t>VÄSTRA GÖTALANDS LÄN</t>
        </is>
      </c>
      <c r="E134" t="inlineStr">
        <is>
          <t>KARLSBORG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12208-2021</t>
        </is>
      </c>
      <c r="B135" s="1" t="n">
        <v>44266</v>
      </c>
      <c r="C135" s="1" t="n">
        <v>45258</v>
      </c>
      <c r="D135" t="inlineStr">
        <is>
          <t>VÄSTRA GÖTALANDS LÄN</t>
        </is>
      </c>
      <c r="E135" t="inlineStr">
        <is>
          <t>KARLSBORG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12204-2021</t>
        </is>
      </c>
      <c r="B136" s="1" t="n">
        <v>44266</v>
      </c>
      <c r="C136" s="1" t="n">
        <v>45258</v>
      </c>
      <c r="D136" t="inlineStr">
        <is>
          <t>VÄSTRA GÖTALANDS LÄN</t>
        </is>
      </c>
      <c r="E136" t="inlineStr">
        <is>
          <t>KARLSBORG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12219-2021</t>
        </is>
      </c>
      <c r="B137" s="1" t="n">
        <v>44266</v>
      </c>
      <c r="C137" s="1" t="n">
        <v>45258</v>
      </c>
      <c r="D137" t="inlineStr">
        <is>
          <t>VÄSTRA GÖTALANDS LÄN</t>
        </is>
      </c>
      <c r="E137" t="inlineStr">
        <is>
          <t>KARLSBORG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15620-2021</t>
        </is>
      </c>
      <c r="B138" s="1" t="n">
        <v>44285</v>
      </c>
      <c r="C138" s="1" t="n">
        <v>45258</v>
      </c>
      <c r="D138" t="inlineStr">
        <is>
          <t>VÄSTRA GÖTALANDS LÄN</t>
        </is>
      </c>
      <c r="E138" t="inlineStr">
        <is>
          <t>KARLSBORG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16179-2021</t>
        </is>
      </c>
      <c r="B139" s="1" t="n">
        <v>44292</v>
      </c>
      <c r="C139" s="1" t="n">
        <v>45258</v>
      </c>
      <c r="D139" t="inlineStr">
        <is>
          <t>VÄSTRA GÖTALANDS LÄN</t>
        </is>
      </c>
      <c r="E139" t="inlineStr">
        <is>
          <t>KARLSBORG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16796-2021</t>
        </is>
      </c>
      <c r="B140" s="1" t="n">
        <v>44295</v>
      </c>
      <c r="C140" s="1" t="n">
        <v>45258</v>
      </c>
      <c r="D140" t="inlineStr">
        <is>
          <t>VÄSTRA GÖTALANDS LÄN</t>
        </is>
      </c>
      <c r="E140" t="inlineStr">
        <is>
          <t>KARLSBORG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19739-2021</t>
        </is>
      </c>
      <c r="B141" s="1" t="n">
        <v>44313</v>
      </c>
      <c r="C141" s="1" t="n">
        <v>45258</v>
      </c>
      <c r="D141" t="inlineStr">
        <is>
          <t>VÄSTRA GÖTALANDS LÄN</t>
        </is>
      </c>
      <c r="E141" t="inlineStr">
        <is>
          <t>KARLSBORG</t>
        </is>
      </c>
      <c r="F141" t="inlineStr">
        <is>
          <t>Sveaskog</t>
        </is>
      </c>
      <c r="G141" t="n">
        <v>4.4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20372-2021</t>
        </is>
      </c>
      <c r="B142" s="1" t="n">
        <v>44315</v>
      </c>
      <c r="C142" s="1" t="n">
        <v>45258</v>
      </c>
      <c r="D142" t="inlineStr">
        <is>
          <t>VÄSTRA GÖTALANDS LÄN</t>
        </is>
      </c>
      <c r="E142" t="inlineStr">
        <is>
          <t>KARLSBORG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20455-2021</t>
        </is>
      </c>
      <c r="B143" s="1" t="n">
        <v>44315</v>
      </c>
      <c r="C143" s="1" t="n">
        <v>45258</v>
      </c>
      <c r="D143" t="inlineStr">
        <is>
          <t>VÄSTRA GÖTALANDS LÄN</t>
        </is>
      </c>
      <c r="E143" t="inlineStr">
        <is>
          <t>KARLSBORG</t>
        </is>
      </c>
      <c r="F143" t="inlineStr">
        <is>
          <t>Övriga Aktiebolag</t>
        </is>
      </c>
      <c r="G143" t="n">
        <v>7.6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20467-2021</t>
        </is>
      </c>
      <c r="B144" s="1" t="n">
        <v>44315</v>
      </c>
      <c r="C144" s="1" t="n">
        <v>45258</v>
      </c>
      <c r="D144" t="inlineStr">
        <is>
          <t>VÄSTRA GÖTALANDS LÄN</t>
        </is>
      </c>
      <c r="E144" t="inlineStr">
        <is>
          <t>KARLSBORG</t>
        </is>
      </c>
      <c r="F144" t="inlineStr">
        <is>
          <t>Övriga Aktiebolag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21978-2021</t>
        </is>
      </c>
      <c r="B145" s="1" t="n">
        <v>44323</v>
      </c>
      <c r="C145" s="1" t="n">
        <v>45258</v>
      </c>
      <c r="D145" t="inlineStr">
        <is>
          <t>VÄSTRA GÖTALANDS LÄN</t>
        </is>
      </c>
      <c r="E145" t="inlineStr">
        <is>
          <t>KARLSBORG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25782-2021</t>
        </is>
      </c>
      <c r="B146" s="1" t="n">
        <v>44343</v>
      </c>
      <c r="C146" s="1" t="n">
        <v>45258</v>
      </c>
      <c r="D146" t="inlineStr">
        <is>
          <t>VÄSTRA GÖTALANDS LÄN</t>
        </is>
      </c>
      <c r="E146" t="inlineStr">
        <is>
          <t>KARLSBORG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26467-2021</t>
        </is>
      </c>
      <c r="B147" s="1" t="n">
        <v>44348</v>
      </c>
      <c r="C147" s="1" t="n">
        <v>45258</v>
      </c>
      <c r="D147" t="inlineStr">
        <is>
          <t>VÄSTRA GÖTALANDS LÄN</t>
        </is>
      </c>
      <c r="E147" t="inlineStr">
        <is>
          <t>KARLSBORG</t>
        </is>
      </c>
      <c r="F147" t="inlineStr">
        <is>
          <t>Kommuner</t>
        </is>
      </c>
      <c r="G147" t="n">
        <v>2.1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29386-2021</t>
        </is>
      </c>
      <c r="B148" s="1" t="n">
        <v>44361</v>
      </c>
      <c r="C148" s="1" t="n">
        <v>45258</v>
      </c>
      <c r="D148" t="inlineStr">
        <is>
          <t>VÄSTRA GÖTALANDS LÄN</t>
        </is>
      </c>
      <c r="E148" t="inlineStr">
        <is>
          <t>KARLSBORG</t>
        </is>
      </c>
      <c r="G148" t="n">
        <v>2.1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32314-2021</t>
        </is>
      </c>
      <c r="B149" s="1" t="n">
        <v>44371</v>
      </c>
      <c r="C149" s="1" t="n">
        <v>45258</v>
      </c>
      <c r="D149" t="inlineStr">
        <is>
          <t>VÄSTRA GÖTALANDS LÄN</t>
        </is>
      </c>
      <c r="E149" t="inlineStr">
        <is>
          <t>KARLSBORG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32737-2021</t>
        </is>
      </c>
      <c r="B150" s="1" t="n">
        <v>44375</v>
      </c>
      <c r="C150" s="1" t="n">
        <v>45258</v>
      </c>
      <c r="D150" t="inlineStr">
        <is>
          <t>VÄSTRA GÖTALANDS LÄN</t>
        </is>
      </c>
      <c r="E150" t="inlineStr">
        <is>
          <t>KARLSBORG</t>
        </is>
      </c>
      <c r="G150" t="n">
        <v>7.4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41954-2021</t>
        </is>
      </c>
      <c r="B151" s="1" t="n">
        <v>44426</v>
      </c>
      <c r="C151" s="1" t="n">
        <v>45258</v>
      </c>
      <c r="D151" t="inlineStr">
        <is>
          <t>VÄSTRA GÖTALANDS LÄN</t>
        </is>
      </c>
      <c r="E151" t="inlineStr">
        <is>
          <t>KARLSBORG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42501-2021</t>
        </is>
      </c>
      <c r="B152" s="1" t="n">
        <v>44427</v>
      </c>
      <c r="C152" s="1" t="n">
        <v>45258</v>
      </c>
      <c r="D152" t="inlineStr">
        <is>
          <t>VÄSTRA GÖTALANDS LÄN</t>
        </is>
      </c>
      <c r="E152" t="inlineStr">
        <is>
          <t>KARLSBORG</t>
        </is>
      </c>
      <c r="F152" t="inlineStr">
        <is>
          <t>Övriga Aktiebolag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42661-2021</t>
        </is>
      </c>
      <c r="B153" s="1" t="n">
        <v>44428</v>
      </c>
      <c r="C153" s="1" t="n">
        <v>45258</v>
      </c>
      <c r="D153" t="inlineStr">
        <is>
          <t>VÄSTRA GÖTALANDS LÄN</t>
        </is>
      </c>
      <c r="E153" t="inlineStr">
        <is>
          <t>KARLSBORG</t>
        </is>
      </c>
      <c r="F153" t="inlineStr">
        <is>
          <t>Kyrkan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43021-2021</t>
        </is>
      </c>
      <c r="B154" s="1" t="n">
        <v>44431</v>
      </c>
      <c r="C154" s="1" t="n">
        <v>45258</v>
      </c>
      <c r="D154" t="inlineStr">
        <is>
          <t>VÄSTRA GÖTALANDS LÄN</t>
        </is>
      </c>
      <c r="E154" t="inlineStr">
        <is>
          <t>KARLSBORG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45224-2021</t>
        </is>
      </c>
      <c r="B155" s="1" t="n">
        <v>44439</v>
      </c>
      <c r="C155" s="1" t="n">
        <v>45258</v>
      </c>
      <c r="D155" t="inlineStr">
        <is>
          <t>VÄSTRA GÖTALANDS LÄN</t>
        </is>
      </c>
      <c r="E155" t="inlineStr">
        <is>
          <t>KARLSBORG</t>
        </is>
      </c>
      <c r="G155" t="n">
        <v>2.2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47692-2021</t>
        </is>
      </c>
      <c r="B156" s="1" t="n">
        <v>44448</v>
      </c>
      <c r="C156" s="1" t="n">
        <v>45258</v>
      </c>
      <c r="D156" t="inlineStr">
        <is>
          <t>VÄSTRA GÖTALANDS LÄN</t>
        </is>
      </c>
      <c r="E156" t="inlineStr">
        <is>
          <t>KARLSBORG</t>
        </is>
      </c>
      <c r="G156" t="n">
        <v>2.7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47698-2021</t>
        </is>
      </c>
      <c r="B157" s="1" t="n">
        <v>44448</v>
      </c>
      <c r="C157" s="1" t="n">
        <v>45258</v>
      </c>
      <c r="D157" t="inlineStr">
        <is>
          <t>VÄSTRA GÖTALANDS LÄN</t>
        </is>
      </c>
      <c r="E157" t="inlineStr">
        <is>
          <t>KARLSBORG</t>
        </is>
      </c>
      <c r="G157" t="n">
        <v>9.699999999999999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47703-2021</t>
        </is>
      </c>
      <c r="B158" s="1" t="n">
        <v>44448</v>
      </c>
      <c r="C158" s="1" t="n">
        <v>45258</v>
      </c>
      <c r="D158" t="inlineStr">
        <is>
          <t>VÄSTRA GÖTALANDS LÄN</t>
        </is>
      </c>
      <c r="E158" t="inlineStr">
        <is>
          <t>KARLSBORG</t>
        </is>
      </c>
      <c r="G158" t="n">
        <v>12.9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53700-2021</t>
        </is>
      </c>
      <c r="B159" s="1" t="n">
        <v>44469</v>
      </c>
      <c r="C159" s="1" t="n">
        <v>45258</v>
      </c>
      <c r="D159" t="inlineStr">
        <is>
          <t>VÄSTRA GÖTALANDS LÄN</t>
        </is>
      </c>
      <c r="E159" t="inlineStr">
        <is>
          <t>KARLSBORG</t>
        </is>
      </c>
      <c r="G159" t="n">
        <v>2.4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53898-2021</t>
        </is>
      </c>
      <c r="B160" s="1" t="n">
        <v>44469</v>
      </c>
      <c r="C160" s="1" t="n">
        <v>45258</v>
      </c>
      <c r="D160" t="inlineStr">
        <is>
          <t>VÄSTRA GÖTALANDS LÄN</t>
        </is>
      </c>
      <c r="E160" t="inlineStr">
        <is>
          <t>KARLSBORG</t>
        </is>
      </c>
      <c r="G160" t="n">
        <v>2.2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55831-2021</t>
        </is>
      </c>
      <c r="B161" s="1" t="n">
        <v>44476</v>
      </c>
      <c r="C161" s="1" t="n">
        <v>45258</v>
      </c>
      <c r="D161" t="inlineStr">
        <is>
          <t>VÄSTRA GÖTALANDS LÄN</t>
        </is>
      </c>
      <c r="E161" t="inlineStr">
        <is>
          <t>KARLSBORG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59248-2021</t>
        </is>
      </c>
      <c r="B162" s="1" t="n">
        <v>44490</v>
      </c>
      <c r="C162" s="1" t="n">
        <v>45258</v>
      </c>
      <c r="D162" t="inlineStr">
        <is>
          <t>VÄSTRA GÖTALANDS LÄN</t>
        </is>
      </c>
      <c r="E162" t="inlineStr">
        <is>
          <t>KARLSBORG</t>
        </is>
      </c>
      <c r="G162" t="n">
        <v>2.7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59712-2021</t>
        </is>
      </c>
      <c r="B163" s="1" t="n">
        <v>44494</v>
      </c>
      <c r="C163" s="1" t="n">
        <v>45258</v>
      </c>
      <c r="D163" t="inlineStr">
        <is>
          <t>VÄSTRA GÖTALANDS LÄN</t>
        </is>
      </c>
      <c r="E163" t="inlineStr">
        <is>
          <t>KARLSBORG</t>
        </is>
      </c>
      <c r="F163" t="inlineStr">
        <is>
          <t>Sveaskog</t>
        </is>
      </c>
      <c r="G163" t="n">
        <v>3.8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59877-2021</t>
        </is>
      </c>
      <c r="B164" s="1" t="n">
        <v>44494</v>
      </c>
      <c r="C164" s="1" t="n">
        <v>45258</v>
      </c>
      <c r="D164" t="inlineStr">
        <is>
          <t>VÄSTRA GÖTALANDS LÄN</t>
        </is>
      </c>
      <c r="E164" t="inlineStr">
        <is>
          <t>KARLSBORG</t>
        </is>
      </c>
      <c r="F164" t="inlineStr">
        <is>
          <t>Övriga statliga verk och myndigheter</t>
        </is>
      </c>
      <c r="G164" t="n">
        <v>3.6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59883-2021</t>
        </is>
      </c>
      <c r="B165" s="1" t="n">
        <v>44494</v>
      </c>
      <c r="C165" s="1" t="n">
        <v>45258</v>
      </c>
      <c r="D165" t="inlineStr">
        <is>
          <t>VÄSTRA GÖTALANDS LÄN</t>
        </is>
      </c>
      <c r="E165" t="inlineStr">
        <is>
          <t>KARLSBORG</t>
        </is>
      </c>
      <c r="F165" t="inlineStr">
        <is>
          <t>Övriga statliga verk och myndigheter</t>
        </is>
      </c>
      <c r="G165" t="n">
        <v>3.6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59890-2021</t>
        </is>
      </c>
      <c r="B166" s="1" t="n">
        <v>44494</v>
      </c>
      <c r="C166" s="1" t="n">
        <v>45258</v>
      </c>
      <c r="D166" t="inlineStr">
        <is>
          <t>VÄSTRA GÖTALANDS LÄN</t>
        </is>
      </c>
      <c r="E166" t="inlineStr">
        <is>
          <t>KARLSBORG</t>
        </is>
      </c>
      <c r="F166" t="inlineStr">
        <is>
          <t>Övriga statliga verk och myndigheter</t>
        </is>
      </c>
      <c r="G166" t="n">
        <v>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59884-2021</t>
        </is>
      </c>
      <c r="B167" s="1" t="n">
        <v>44494</v>
      </c>
      <c r="C167" s="1" t="n">
        <v>45258</v>
      </c>
      <c r="D167" t="inlineStr">
        <is>
          <t>VÄSTRA GÖTALANDS LÄN</t>
        </is>
      </c>
      <c r="E167" t="inlineStr">
        <is>
          <t>KARLSBORG</t>
        </is>
      </c>
      <c r="F167" t="inlineStr">
        <is>
          <t>Övriga statliga verk och myndigheter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59887-2021</t>
        </is>
      </c>
      <c r="B168" s="1" t="n">
        <v>44494</v>
      </c>
      <c r="C168" s="1" t="n">
        <v>45258</v>
      </c>
      <c r="D168" t="inlineStr">
        <is>
          <t>VÄSTRA GÖTALANDS LÄN</t>
        </is>
      </c>
      <c r="E168" t="inlineStr">
        <is>
          <t>KARLSBORG</t>
        </is>
      </c>
      <c r="F168" t="inlineStr">
        <is>
          <t>Övriga statliga verk och myndigheter</t>
        </is>
      </c>
      <c r="G168" t="n">
        <v>4.4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61223-2021</t>
        </is>
      </c>
      <c r="B169" s="1" t="n">
        <v>44496</v>
      </c>
      <c r="C169" s="1" t="n">
        <v>45258</v>
      </c>
      <c r="D169" t="inlineStr">
        <is>
          <t>VÄSTRA GÖTALANDS LÄN</t>
        </is>
      </c>
      <c r="E169" t="inlineStr">
        <is>
          <t>KARLSBORG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62301-2021</t>
        </is>
      </c>
      <c r="B170" s="1" t="n">
        <v>44503</v>
      </c>
      <c r="C170" s="1" t="n">
        <v>45258</v>
      </c>
      <c r="D170" t="inlineStr">
        <is>
          <t>VÄSTRA GÖTALANDS LÄN</t>
        </is>
      </c>
      <c r="E170" t="inlineStr">
        <is>
          <t>KARLSBORG</t>
        </is>
      </c>
      <c r="F170" t="inlineStr">
        <is>
          <t>Sveaskog</t>
        </is>
      </c>
      <c r="G170" t="n">
        <v>2.9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62307-2021</t>
        </is>
      </c>
      <c r="B171" s="1" t="n">
        <v>44503</v>
      </c>
      <c r="C171" s="1" t="n">
        <v>45258</v>
      </c>
      <c r="D171" t="inlineStr">
        <is>
          <t>VÄSTRA GÖTALANDS LÄN</t>
        </is>
      </c>
      <c r="E171" t="inlineStr">
        <is>
          <t>KARLSBORG</t>
        </is>
      </c>
      <c r="F171" t="inlineStr">
        <is>
          <t>Sveaskog</t>
        </is>
      </c>
      <c r="G171" t="n">
        <v>2.3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62304-2021</t>
        </is>
      </c>
      <c r="B172" s="1" t="n">
        <v>44503</v>
      </c>
      <c r="C172" s="1" t="n">
        <v>45258</v>
      </c>
      <c r="D172" t="inlineStr">
        <is>
          <t>VÄSTRA GÖTALANDS LÄN</t>
        </is>
      </c>
      <c r="E172" t="inlineStr">
        <is>
          <t>KARLSBORG</t>
        </is>
      </c>
      <c r="F172" t="inlineStr">
        <is>
          <t>Sveaskog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65313-2021</t>
        </is>
      </c>
      <c r="B173" s="1" t="n">
        <v>44515</v>
      </c>
      <c r="C173" s="1" t="n">
        <v>45258</v>
      </c>
      <c r="D173" t="inlineStr">
        <is>
          <t>VÄSTRA GÖTALANDS LÄN</t>
        </is>
      </c>
      <c r="E173" t="inlineStr">
        <is>
          <t>KARLSBORG</t>
        </is>
      </c>
      <c r="G173" t="n">
        <v>1.8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66556-2021</t>
        </is>
      </c>
      <c r="B174" s="1" t="n">
        <v>44519</v>
      </c>
      <c r="C174" s="1" t="n">
        <v>45258</v>
      </c>
      <c r="D174" t="inlineStr">
        <is>
          <t>VÄSTRA GÖTALANDS LÄN</t>
        </is>
      </c>
      <c r="E174" t="inlineStr">
        <is>
          <t>KARLSBORG</t>
        </is>
      </c>
      <c r="G174" t="n">
        <v>3.5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68802-2021</t>
        </is>
      </c>
      <c r="B175" s="1" t="n">
        <v>44529</v>
      </c>
      <c r="C175" s="1" t="n">
        <v>45258</v>
      </c>
      <c r="D175" t="inlineStr">
        <is>
          <t>VÄSTRA GÖTALANDS LÄN</t>
        </is>
      </c>
      <c r="E175" t="inlineStr">
        <is>
          <t>KARLSBORG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69341-2021</t>
        </is>
      </c>
      <c r="B176" s="1" t="n">
        <v>44531</v>
      </c>
      <c r="C176" s="1" t="n">
        <v>45258</v>
      </c>
      <c r="D176" t="inlineStr">
        <is>
          <t>VÄSTRA GÖTALANDS LÄN</t>
        </is>
      </c>
      <c r="E176" t="inlineStr">
        <is>
          <t>KARLSBORG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70447-2021</t>
        </is>
      </c>
      <c r="B177" s="1" t="n">
        <v>44536</v>
      </c>
      <c r="C177" s="1" t="n">
        <v>45258</v>
      </c>
      <c r="D177" t="inlineStr">
        <is>
          <t>VÄSTRA GÖTALANDS LÄN</t>
        </is>
      </c>
      <c r="E177" t="inlineStr">
        <is>
          <t>KARLSBORG</t>
        </is>
      </c>
      <c r="F177" t="inlineStr">
        <is>
          <t>Övriga Aktiebolag</t>
        </is>
      </c>
      <c r="G177" t="n">
        <v>4.3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70450-2021</t>
        </is>
      </c>
      <c r="B178" s="1" t="n">
        <v>44536</v>
      </c>
      <c r="C178" s="1" t="n">
        <v>45258</v>
      </c>
      <c r="D178" t="inlineStr">
        <is>
          <t>VÄSTRA GÖTALANDS LÄN</t>
        </is>
      </c>
      <c r="E178" t="inlineStr">
        <is>
          <t>KARLSBORG</t>
        </is>
      </c>
      <c r="F178" t="inlineStr">
        <is>
          <t>Övriga Aktiebolag</t>
        </is>
      </c>
      <c r="G178" t="n">
        <v>3.5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70418-2021</t>
        </is>
      </c>
      <c r="B179" s="1" t="n">
        <v>44536</v>
      </c>
      <c r="C179" s="1" t="n">
        <v>45258</v>
      </c>
      <c r="D179" t="inlineStr">
        <is>
          <t>VÄSTRA GÖTALANDS LÄN</t>
        </is>
      </c>
      <c r="E179" t="inlineStr">
        <is>
          <t>KARLSBORG</t>
        </is>
      </c>
      <c r="F179" t="inlineStr">
        <is>
          <t>Övriga Aktiebolag</t>
        </is>
      </c>
      <c r="G179" t="n">
        <v>2.6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70783-2021</t>
        </is>
      </c>
      <c r="B180" s="1" t="n">
        <v>44537</v>
      </c>
      <c r="C180" s="1" t="n">
        <v>45258</v>
      </c>
      <c r="D180" t="inlineStr">
        <is>
          <t>VÄSTRA GÖTALANDS LÄN</t>
        </is>
      </c>
      <c r="E180" t="inlineStr">
        <is>
          <t>KARLSBORG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70939-2021</t>
        </is>
      </c>
      <c r="B181" s="1" t="n">
        <v>44538</v>
      </c>
      <c r="C181" s="1" t="n">
        <v>45258</v>
      </c>
      <c r="D181" t="inlineStr">
        <is>
          <t>VÄSTRA GÖTALANDS LÄN</t>
        </is>
      </c>
      <c r="E181" t="inlineStr">
        <is>
          <t>KARLSBORG</t>
        </is>
      </c>
      <c r="F181" t="inlineStr">
        <is>
          <t>Övriga Aktiebolag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70936-2021</t>
        </is>
      </c>
      <c r="B182" s="1" t="n">
        <v>44538</v>
      </c>
      <c r="C182" s="1" t="n">
        <v>45258</v>
      </c>
      <c r="D182" t="inlineStr">
        <is>
          <t>VÄSTRA GÖTALANDS LÄN</t>
        </is>
      </c>
      <c r="E182" t="inlineStr">
        <is>
          <t>KARLSBORG</t>
        </is>
      </c>
      <c r="F182" t="inlineStr">
        <is>
          <t>Övriga Aktiebolag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70949-2021</t>
        </is>
      </c>
      <c r="B183" s="1" t="n">
        <v>44538</v>
      </c>
      <c r="C183" s="1" t="n">
        <v>45258</v>
      </c>
      <c r="D183" t="inlineStr">
        <is>
          <t>VÄSTRA GÖTALANDS LÄN</t>
        </is>
      </c>
      <c r="E183" t="inlineStr">
        <is>
          <t>KARLSBORG</t>
        </is>
      </c>
      <c r="F183" t="inlineStr">
        <is>
          <t>Övriga Aktiebolag</t>
        </is>
      </c>
      <c r="G183" t="n">
        <v>3.4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70945-2021</t>
        </is>
      </c>
      <c r="B184" s="1" t="n">
        <v>44538</v>
      </c>
      <c r="C184" s="1" t="n">
        <v>45258</v>
      </c>
      <c r="D184" t="inlineStr">
        <is>
          <t>VÄSTRA GÖTALANDS LÄN</t>
        </is>
      </c>
      <c r="E184" t="inlineStr">
        <is>
          <t>KARLSBORG</t>
        </is>
      </c>
      <c r="F184" t="inlineStr">
        <is>
          <t>Övriga Aktiebolag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3290-2022</t>
        </is>
      </c>
      <c r="B185" s="1" t="n">
        <v>44584</v>
      </c>
      <c r="C185" s="1" t="n">
        <v>45258</v>
      </c>
      <c r="D185" t="inlineStr">
        <is>
          <t>VÄSTRA GÖTALANDS LÄN</t>
        </is>
      </c>
      <c r="E185" t="inlineStr">
        <is>
          <t>KARLSBORG</t>
        </is>
      </c>
      <c r="G185" t="n">
        <v>1.7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4348-2022</t>
        </is>
      </c>
      <c r="B186" s="1" t="n">
        <v>44589</v>
      </c>
      <c r="C186" s="1" t="n">
        <v>45258</v>
      </c>
      <c r="D186" t="inlineStr">
        <is>
          <t>VÄSTRA GÖTALANDS LÄN</t>
        </is>
      </c>
      <c r="E186" t="inlineStr">
        <is>
          <t>KARLSBORG</t>
        </is>
      </c>
      <c r="F186" t="inlineStr">
        <is>
          <t>Kommuner</t>
        </is>
      </c>
      <c r="G186" t="n">
        <v>6.7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5402-2022</t>
        </is>
      </c>
      <c r="B187" s="1" t="n">
        <v>44595</v>
      </c>
      <c r="C187" s="1" t="n">
        <v>45258</v>
      </c>
      <c r="D187" t="inlineStr">
        <is>
          <t>VÄSTRA GÖTALANDS LÄN</t>
        </is>
      </c>
      <c r="E187" t="inlineStr">
        <is>
          <t>KARLSBORG</t>
        </is>
      </c>
      <c r="F187" t="inlineStr">
        <is>
          <t>Övriga Aktiebolag</t>
        </is>
      </c>
      <c r="G187" t="n">
        <v>5.6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6068-2022</t>
        </is>
      </c>
      <c r="B188" s="1" t="n">
        <v>44599</v>
      </c>
      <c r="C188" s="1" t="n">
        <v>45258</v>
      </c>
      <c r="D188" t="inlineStr">
        <is>
          <t>VÄSTRA GÖTALANDS LÄN</t>
        </is>
      </c>
      <c r="E188" t="inlineStr">
        <is>
          <t>KARLSBORG</t>
        </is>
      </c>
      <c r="G188" t="n">
        <v>0.4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8827-2022</t>
        </is>
      </c>
      <c r="B189" s="1" t="n">
        <v>44614</v>
      </c>
      <c r="C189" s="1" t="n">
        <v>45258</v>
      </c>
      <c r="D189" t="inlineStr">
        <is>
          <t>VÄSTRA GÖTALANDS LÄN</t>
        </is>
      </c>
      <c r="E189" t="inlineStr">
        <is>
          <t>KARLSBORG</t>
        </is>
      </c>
      <c r="F189" t="inlineStr">
        <is>
          <t>Kyrkan</t>
        </is>
      </c>
      <c r="G189" t="n">
        <v>13.2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15958-2022</t>
        </is>
      </c>
      <c r="B190" s="1" t="n">
        <v>44664</v>
      </c>
      <c r="C190" s="1" t="n">
        <v>45258</v>
      </c>
      <c r="D190" t="inlineStr">
        <is>
          <t>VÄSTRA GÖTALANDS LÄN</t>
        </is>
      </c>
      <c r="E190" t="inlineStr">
        <is>
          <t>KARLSBORG</t>
        </is>
      </c>
      <c r="F190" t="inlineStr">
        <is>
          <t>Övriga Aktiebolag</t>
        </is>
      </c>
      <c r="G190" t="n">
        <v>3.4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16736-2022</t>
        </is>
      </c>
      <c r="B191" s="1" t="n">
        <v>44673</v>
      </c>
      <c r="C191" s="1" t="n">
        <v>45258</v>
      </c>
      <c r="D191" t="inlineStr">
        <is>
          <t>VÄSTRA GÖTALANDS LÄN</t>
        </is>
      </c>
      <c r="E191" t="inlineStr">
        <is>
          <t>KARLSBORG</t>
        </is>
      </c>
      <c r="F191" t="inlineStr">
        <is>
          <t>Övriga statliga verk och myndigheter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18625-2022</t>
        </is>
      </c>
      <c r="B192" s="1" t="n">
        <v>44687</v>
      </c>
      <c r="C192" s="1" t="n">
        <v>45258</v>
      </c>
      <c r="D192" t="inlineStr">
        <is>
          <t>VÄSTRA GÖTALANDS LÄN</t>
        </is>
      </c>
      <c r="E192" t="inlineStr">
        <is>
          <t>KARLSBORG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18623-2022</t>
        </is>
      </c>
      <c r="B193" s="1" t="n">
        <v>44687</v>
      </c>
      <c r="C193" s="1" t="n">
        <v>45258</v>
      </c>
      <c r="D193" t="inlineStr">
        <is>
          <t>VÄSTRA GÖTALANDS LÄN</t>
        </is>
      </c>
      <c r="E193" t="inlineStr">
        <is>
          <t>KARLSBORG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21330-2022</t>
        </is>
      </c>
      <c r="B194" s="1" t="n">
        <v>44705</v>
      </c>
      <c r="C194" s="1" t="n">
        <v>45258</v>
      </c>
      <c r="D194" t="inlineStr">
        <is>
          <t>VÄSTRA GÖTALANDS LÄN</t>
        </is>
      </c>
      <c r="E194" t="inlineStr">
        <is>
          <t>KARLSBORG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22788-2022</t>
        </is>
      </c>
      <c r="B195" s="1" t="n">
        <v>44715</v>
      </c>
      <c r="C195" s="1" t="n">
        <v>45258</v>
      </c>
      <c r="D195" t="inlineStr">
        <is>
          <t>VÄSTRA GÖTALANDS LÄN</t>
        </is>
      </c>
      <c r="E195" t="inlineStr">
        <is>
          <t>KARLSBORG</t>
        </is>
      </c>
      <c r="F195" t="inlineStr">
        <is>
          <t>Övriga Aktiebolag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23268-2022</t>
        </is>
      </c>
      <c r="B196" s="1" t="n">
        <v>44720</v>
      </c>
      <c r="C196" s="1" t="n">
        <v>45258</v>
      </c>
      <c r="D196" t="inlineStr">
        <is>
          <t>VÄSTRA GÖTALANDS LÄN</t>
        </is>
      </c>
      <c r="E196" t="inlineStr">
        <is>
          <t>KARLSBORG</t>
        </is>
      </c>
      <c r="F196" t="inlineStr">
        <is>
          <t>Sveaskog</t>
        </is>
      </c>
      <c r="G196" t="n">
        <v>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24594-2022</t>
        </is>
      </c>
      <c r="B197" s="1" t="n">
        <v>44727</v>
      </c>
      <c r="C197" s="1" t="n">
        <v>45258</v>
      </c>
      <c r="D197" t="inlineStr">
        <is>
          <t>VÄSTRA GÖTALANDS LÄN</t>
        </is>
      </c>
      <c r="E197" t="inlineStr">
        <is>
          <t>KARLSBORG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28203-2022</t>
        </is>
      </c>
      <c r="B198" s="1" t="n">
        <v>44746</v>
      </c>
      <c r="C198" s="1" t="n">
        <v>45258</v>
      </c>
      <c r="D198" t="inlineStr">
        <is>
          <t>VÄSTRA GÖTALANDS LÄN</t>
        </is>
      </c>
      <c r="E198" t="inlineStr">
        <is>
          <t>KARLSBORG</t>
        </is>
      </c>
      <c r="G198" t="n">
        <v>2.7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29685-2022</t>
        </is>
      </c>
      <c r="B199" s="1" t="n">
        <v>44755</v>
      </c>
      <c r="C199" s="1" t="n">
        <v>45258</v>
      </c>
      <c r="D199" t="inlineStr">
        <is>
          <t>VÄSTRA GÖTALANDS LÄN</t>
        </is>
      </c>
      <c r="E199" t="inlineStr">
        <is>
          <t>KARLSBORG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29686-2022</t>
        </is>
      </c>
      <c r="B200" s="1" t="n">
        <v>44755</v>
      </c>
      <c r="C200" s="1" t="n">
        <v>45258</v>
      </c>
      <c r="D200" t="inlineStr">
        <is>
          <t>VÄSTRA GÖTALANDS LÄN</t>
        </is>
      </c>
      <c r="E200" t="inlineStr">
        <is>
          <t>KARLSBORG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33114-2022</t>
        </is>
      </c>
      <c r="B201" s="1" t="n">
        <v>44785</v>
      </c>
      <c r="C201" s="1" t="n">
        <v>45258</v>
      </c>
      <c r="D201" t="inlineStr">
        <is>
          <t>VÄSTRA GÖTALANDS LÄN</t>
        </is>
      </c>
      <c r="E201" t="inlineStr">
        <is>
          <t>KARLSBORG</t>
        </is>
      </c>
      <c r="F201" t="inlineStr">
        <is>
          <t>Sveaskog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33120-2022</t>
        </is>
      </c>
      <c r="B202" s="1" t="n">
        <v>44785</v>
      </c>
      <c r="C202" s="1" t="n">
        <v>45258</v>
      </c>
      <c r="D202" t="inlineStr">
        <is>
          <t>VÄSTRA GÖTALANDS LÄN</t>
        </is>
      </c>
      <c r="E202" t="inlineStr">
        <is>
          <t>KARLSBORG</t>
        </is>
      </c>
      <c r="F202" t="inlineStr">
        <is>
          <t>Sveaskog</t>
        </is>
      </c>
      <c r="G202" t="n">
        <v>7.7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33118-2022</t>
        </is>
      </c>
      <c r="B203" s="1" t="n">
        <v>44785</v>
      </c>
      <c r="C203" s="1" t="n">
        <v>45258</v>
      </c>
      <c r="D203" t="inlineStr">
        <is>
          <t>VÄSTRA GÖTALANDS LÄN</t>
        </is>
      </c>
      <c r="E203" t="inlineStr">
        <is>
          <t>KARLSBORG</t>
        </is>
      </c>
      <c r="F203" t="inlineStr">
        <is>
          <t>Sveaskog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33122-2022</t>
        </is>
      </c>
      <c r="B204" s="1" t="n">
        <v>44785</v>
      </c>
      <c r="C204" s="1" t="n">
        <v>45258</v>
      </c>
      <c r="D204" t="inlineStr">
        <is>
          <t>VÄSTRA GÖTALANDS LÄN</t>
        </is>
      </c>
      <c r="E204" t="inlineStr">
        <is>
          <t>KARLSBORG</t>
        </is>
      </c>
      <c r="F204" t="inlineStr">
        <is>
          <t>Sveaskog</t>
        </is>
      </c>
      <c r="G204" t="n">
        <v>2.3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33117-2022</t>
        </is>
      </c>
      <c r="B205" s="1" t="n">
        <v>44785</v>
      </c>
      <c r="C205" s="1" t="n">
        <v>45258</v>
      </c>
      <c r="D205" t="inlineStr">
        <is>
          <t>VÄSTRA GÖTALANDS LÄN</t>
        </is>
      </c>
      <c r="E205" t="inlineStr">
        <is>
          <t>KARLSBORG</t>
        </is>
      </c>
      <c r="F205" t="inlineStr">
        <is>
          <t>Sveaskog</t>
        </is>
      </c>
      <c r="G205" t="n">
        <v>2.5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33113-2022</t>
        </is>
      </c>
      <c r="B206" s="1" t="n">
        <v>44785</v>
      </c>
      <c r="C206" s="1" t="n">
        <v>45258</v>
      </c>
      <c r="D206" t="inlineStr">
        <is>
          <t>VÄSTRA GÖTALANDS LÄN</t>
        </is>
      </c>
      <c r="E206" t="inlineStr">
        <is>
          <t>KARLSBORG</t>
        </is>
      </c>
      <c r="F206" t="inlineStr">
        <is>
          <t>Sveaskog</t>
        </is>
      </c>
      <c r="G206" t="n">
        <v>2.7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33121-2022</t>
        </is>
      </c>
      <c r="B207" s="1" t="n">
        <v>44785</v>
      </c>
      <c r="C207" s="1" t="n">
        <v>45258</v>
      </c>
      <c r="D207" t="inlineStr">
        <is>
          <t>VÄSTRA GÖTALANDS LÄN</t>
        </is>
      </c>
      <c r="E207" t="inlineStr">
        <is>
          <t>KARLSBORG</t>
        </is>
      </c>
      <c r="F207" t="inlineStr">
        <is>
          <t>Sveaskog</t>
        </is>
      </c>
      <c r="G207" t="n">
        <v>2.2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34673-2022</t>
        </is>
      </c>
      <c r="B208" s="1" t="n">
        <v>44795</v>
      </c>
      <c r="C208" s="1" t="n">
        <v>45258</v>
      </c>
      <c r="D208" t="inlineStr">
        <is>
          <t>VÄSTRA GÖTALANDS LÄN</t>
        </is>
      </c>
      <c r="E208" t="inlineStr">
        <is>
          <t>KARLSBORG</t>
        </is>
      </c>
      <c r="F208" t="inlineStr">
        <is>
          <t>Sveaskog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34676-2022</t>
        </is>
      </c>
      <c r="B209" s="1" t="n">
        <v>44795</v>
      </c>
      <c r="C209" s="1" t="n">
        <v>45258</v>
      </c>
      <c r="D209" t="inlineStr">
        <is>
          <t>VÄSTRA GÖTALANDS LÄN</t>
        </is>
      </c>
      <c r="E209" t="inlineStr">
        <is>
          <t>KARLSBORG</t>
        </is>
      </c>
      <c r="F209" t="inlineStr">
        <is>
          <t>Sveaskog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34670-2022</t>
        </is>
      </c>
      <c r="B210" s="1" t="n">
        <v>44795</v>
      </c>
      <c r="C210" s="1" t="n">
        <v>45258</v>
      </c>
      <c r="D210" t="inlineStr">
        <is>
          <t>VÄSTRA GÖTALANDS LÄN</t>
        </is>
      </c>
      <c r="E210" t="inlineStr">
        <is>
          <t>KARLSBORG</t>
        </is>
      </c>
      <c r="F210" t="inlineStr">
        <is>
          <t>Sveaskog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36191-2022</t>
        </is>
      </c>
      <c r="B211" s="1" t="n">
        <v>44803</v>
      </c>
      <c r="C211" s="1" t="n">
        <v>45258</v>
      </c>
      <c r="D211" t="inlineStr">
        <is>
          <t>VÄSTRA GÖTALANDS LÄN</t>
        </is>
      </c>
      <c r="E211" t="inlineStr">
        <is>
          <t>KARLSBORG</t>
        </is>
      </c>
      <c r="G211" t="n">
        <v>4.6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36820-2022</t>
        </is>
      </c>
      <c r="B212" s="1" t="n">
        <v>44805</v>
      </c>
      <c r="C212" s="1" t="n">
        <v>45258</v>
      </c>
      <c r="D212" t="inlineStr">
        <is>
          <t>VÄSTRA GÖTALANDS LÄN</t>
        </is>
      </c>
      <c r="E212" t="inlineStr">
        <is>
          <t>KARLSBORG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37363-2022</t>
        </is>
      </c>
      <c r="B213" s="1" t="n">
        <v>44809</v>
      </c>
      <c r="C213" s="1" t="n">
        <v>45258</v>
      </c>
      <c r="D213" t="inlineStr">
        <is>
          <t>VÄSTRA GÖTALANDS LÄN</t>
        </is>
      </c>
      <c r="E213" t="inlineStr">
        <is>
          <t>KARLSBORG</t>
        </is>
      </c>
      <c r="F213" t="inlineStr">
        <is>
          <t>Sveaskog</t>
        </is>
      </c>
      <c r="G213" t="n">
        <v>4.4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37383-2022</t>
        </is>
      </c>
      <c r="B214" s="1" t="n">
        <v>44809</v>
      </c>
      <c r="C214" s="1" t="n">
        <v>45258</v>
      </c>
      <c r="D214" t="inlineStr">
        <is>
          <t>VÄSTRA GÖTALANDS LÄN</t>
        </is>
      </c>
      <c r="E214" t="inlineStr">
        <is>
          <t>KARLSBORG</t>
        </is>
      </c>
      <c r="F214" t="inlineStr">
        <is>
          <t>Sveaskog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41776-2022</t>
        </is>
      </c>
      <c r="B215" s="1" t="n">
        <v>44827</v>
      </c>
      <c r="C215" s="1" t="n">
        <v>45258</v>
      </c>
      <c r="D215" t="inlineStr">
        <is>
          <t>VÄSTRA GÖTALANDS LÄN</t>
        </is>
      </c>
      <c r="E215" t="inlineStr">
        <is>
          <t>KARLSBORG</t>
        </is>
      </c>
      <c r="F215" t="inlineStr">
        <is>
          <t>Sveaskog</t>
        </is>
      </c>
      <c r="G215" t="n">
        <v>2.1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41774-2022</t>
        </is>
      </c>
      <c r="B216" s="1" t="n">
        <v>44827</v>
      </c>
      <c r="C216" s="1" t="n">
        <v>45258</v>
      </c>
      <c r="D216" t="inlineStr">
        <is>
          <t>VÄSTRA GÖTALANDS LÄN</t>
        </is>
      </c>
      <c r="E216" t="inlineStr">
        <is>
          <t>KARLSBORG</t>
        </is>
      </c>
      <c r="F216" t="inlineStr">
        <is>
          <t>Sveaskog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43700-2022</t>
        </is>
      </c>
      <c r="B217" s="1" t="n">
        <v>44837</v>
      </c>
      <c r="C217" s="1" t="n">
        <v>45258</v>
      </c>
      <c r="D217" t="inlineStr">
        <is>
          <t>VÄSTRA GÖTALANDS LÄN</t>
        </is>
      </c>
      <c r="E217" t="inlineStr">
        <is>
          <t>KARLSBORG</t>
        </is>
      </c>
      <c r="F217" t="inlineStr">
        <is>
          <t>Sveaskog</t>
        </is>
      </c>
      <c r="G217" t="n">
        <v>3.1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43697-2022</t>
        </is>
      </c>
      <c r="B218" s="1" t="n">
        <v>44837</v>
      </c>
      <c r="C218" s="1" t="n">
        <v>45258</v>
      </c>
      <c r="D218" t="inlineStr">
        <is>
          <t>VÄSTRA GÖTALANDS LÄN</t>
        </is>
      </c>
      <c r="E218" t="inlineStr">
        <is>
          <t>KARLSBORG</t>
        </is>
      </c>
      <c r="F218" t="inlineStr">
        <is>
          <t>Sveaskog</t>
        </is>
      </c>
      <c r="G218" t="n">
        <v>11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43695-2022</t>
        </is>
      </c>
      <c r="B219" s="1" t="n">
        <v>44837</v>
      </c>
      <c r="C219" s="1" t="n">
        <v>45258</v>
      </c>
      <c r="D219" t="inlineStr">
        <is>
          <t>VÄSTRA GÖTALANDS LÄN</t>
        </is>
      </c>
      <c r="E219" t="inlineStr">
        <is>
          <t>KARLSBORG</t>
        </is>
      </c>
      <c r="F219" t="inlineStr">
        <is>
          <t>Sveaskog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47485-2022</t>
        </is>
      </c>
      <c r="B220" s="1" t="n">
        <v>44853</v>
      </c>
      <c r="C220" s="1" t="n">
        <v>45258</v>
      </c>
      <c r="D220" t="inlineStr">
        <is>
          <t>VÄSTRA GÖTALANDS LÄN</t>
        </is>
      </c>
      <c r="E220" t="inlineStr">
        <is>
          <t>KARLSBORG</t>
        </is>
      </c>
      <c r="F220" t="inlineStr">
        <is>
          <t>Sveaskog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55491-2022</t>
        </is>
      </c>
      <c r="B221" s="1" t="n">
        <v>44882</v>
      </c>
      <c r="C221" s="1" t="n">
        <v>45258</v>
      </c>
      <c r="D221" t="inlineStr">
        <is>
          <t>VÄSTRA GÖTALANDS LÄN</t>
        </is>
      </c>
      <c r="E221" t="inlineStr">
        <is>
          <t>KARLSBORG</t>
        </is>
      </c>
      <c r="G221" t="n">
        <v>1.7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57235-2022</t>
        </is>
      </c>
      <c r="B222" s="1" t="n">
        <v>44895</v>
      </c>
      <c r="C222" s="1" t="n">
        <v>45258</v>
      </c>
      <c r="D222" t="inlineStr">
        <is>
          <t>VÄSTRA GÖTALANDS LÄN</t>
        </is>
      </c>
      <c r="E222" t="inlineStr">
        <is>
          <t>KARLSBORG</t>
        </is>
      </c>
      <c r="G222" t="n">
        <v>2.8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58148-2022</t>
        </is>
      </c>
      <c r="B223" s="1" t="n">
        <v>44900</v>
      </c>
      <c r="C223" s="1" t="n">
        <v>45258</v>
      </c>
      <c r="D223" t="inlineStr">
        <is>
          <t>VÄSTRA GÖTALANDS LÄN</t>
        </is>
      </c>
      <c r="E223" t="inlineStr">
        <is>
          <t>KARLSBORG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58152-2022</t>
        </is>
      </c>
      <c r="B224" s="1" t="n">
        <v>44900</v>
      </c>
      <c r="C224" s="1" t="n">
        <v>45258</v>
      </c>
      <c r="D224" t="inlineStr">
        <is>
          <t>VÄSTRA GÖTALANDS LÄN</t>
        </is>
      </c>
      <c r="E224" t="inlineStr">
        <is>
          <t>KARLSBORG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59401-2022</t>
        </is>
      </c>
      <c r="B225" s="1" t="n">
        <v>44906</v>
      </c>
      <c r="C225" s="1" t="n">
        <v>45258</v>
      </c>
      <c r="D225" t="inlineStr">
        <is>
          <t>VÄSTRA GÖTALANDS LÄN</t>
        </is>
      </c>
      <c r="E225" t="inlineStr">
        <is>
          <t>KARLSBORG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59404-2022</t>
        </is>
      </c>
      <c r="B226" s="1" t="n">
        <v>44906</v>
      </c>
      <c r="C226" s="1" t="n">
        <v>45258</v>
      </c>
      <c r="D226" t="inlineStr">
        <is>
          <t>VÄSTRA GÖTALANDS LÄN</t>
        </is>
      </c>
      <c r="E226" t="inlineStr">
        <is>
          <t>KARLSBORG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59399-2022</t>
        </is>
      </c>
      <c r="B227" s="1" t="n">
        <v>44906</v>
      </c>
      <c r="C227" s="1" t="n">
        <v>45258</v>
      </c>
      <c r="D227" t="inlineStr">
        <is>
          <t>VÄSTRA GÖTALANDS LÄN</t>
        </is>
      </c>
      <c r="E227" t="inlineStr">
        <is>
          <t>KARLSBORG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61211-2022</t>
        </is>
      </c>
      <c r="B228" s="1" t="n">
        <v>44908</v>
      </c>
      <c r="C228" s="1" t="n">
        <v>45258</v>
      </c>
      <c r="D228" t="inlineStr">
        <is>
          <t>VÄSTRA GÖTALANDS LÄN</t>
        </is>
      </c>
      <c r="E228" t="inlineStr">
        <is>
          <t>KARLSBORG</t>
        </is>
      </c>
      <c r="G228" t="n">
        <v>8.1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1454-2023</t>
        </is>
      </c>
      <c r="B229" s="1" t="n">
        <v>44937</v>
      </c>
      <c r="C229" s="1" t="n">
        <v>45258</v>
      </c>
      <c r="D229" t="inlineStr">
        <is>
          <t>VÄSTRA GÖTALANDS LÄN</t>
        </is>
      </c>
      <c r="E229" t="inlineStr">
        <is>
          <t>KARLSBORG</t>
        </is>
      </c>
      <c r="G229" t="n">
        <v>6.8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1630-2023</t>
        </is>
      </c>
      <c r="B230" s="1" t="n">
        <v>44937</v>
      </c>
      <c r="C230" s="1" t="n">
        <v>45258</v>
      </c>
      <c r="D230" t="inlineStr">
        <is>
          <t>VÄSTRA GÖTALANDS LÄN</t>
        </is>
      </c>
      <c r="E230" t="inlineStr">
        <is>
          <t>KARLSBORG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2100-2023</t>
        </is>
      </c>
      <c r="B231" s="1" t="n">
        <v>44939</v>
      </c>
      <c r="C231" s="1" t="n">
        <v>45258</v>
      </c>
      <c r="D231" t="inlineStr">
        <is>
          <t>VÄSTRA GÖTALANDS LÄN</t>
        </is>
      </c>
      <c r="E231" t="inlineStr">
        <is>
          <t>KARLSBORG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2520-2023</t>
        </is>
      </c>
      <c r="B232" s="1" t="n">
        <v>44943</v>
      </c>
      <c r="C232" s="1" t="n">
        <v>45258</v>
      </c>
      <c r="D232" t="inlineStr">
        <is>
          <t>VÄSTRA GÖTALANDS LÄN</t>
        </is>
      </c>
      <c r="E232" t="inlineStr">
        <is>
          <t>KARLSBORG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2791-2023</t>
        </is>
      </c>
      <c r="B233" s="1" t="n">
        <v>44944</v>
      </c>
      <c r="C233" s="1" t="n">
        <v>45258</v>
      </c>
      <c r="D233" t="inlineStr">
        <is>
          <t>VÄSTRA GÖTALANDS LÄN</t>
        </is>
      </c>
      <c r="E233" t="inlineStr">
        <is>
          <t>KARLSBORG</t>
        </is>
      </c>
      <c r="F233" t="inlineStr">
        <is>
          <t>Övriga Aktiebolag</t>
        </is>
      </c>
      <c r="G233" t="n">
        <v>6.4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2784-2023</t>
        </is>
      </c>
      <c r="B234" s="1" t="n">
        <v>44944</v>
      </c>
      <c r="C234" s="1" t="n">
        <v>45258</v>
      </c>
      <c r="D234" t="inlineStr">
        <is>
          <t>VÄSTRA GÖTALANDS LÄN</t>
        </is>
      </c>
      <c r="E234" t="inlineStr">
        <is>
          <t>KARLSBORG</t>
        </is>
      </c>
      <c r="F234" t="inlineStr">
        <is>
          <t>Övriga Aktiebolag</t>
        </is>
      </c>
      <c r="G234" t="n">
        <v>3.2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2796-2023</t>
        </is>
      </c>
      <c r="B235" s="1" t="n">
        <v>44944</v>
      </c>
      <c r="C235" s="1" t="n">
        <v>45258</v>
      </c>
      <c r="D235" t="inlineStr">
        <is>
          <t>VÄSTRA GÖTALANDS LÄN</t>
        </is>
      </c>
      <c r="E235" t="inlineStr">
        <is>
          <t>KARLSBORG</t>
        </is>
      </c>
      <c r="F235" t="inlineStr">
        <is>
          <t>Övriga Aktiebolag</t>
        </is>
      </c>
      <c r="G235" t="n">
        <v>8.5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7652-2023</t>
        </is>
      </c>
      <c r="B236" s="1" t="n">
        <v>44972</v>
      </c>
      <c r="C236" s="1" t="n">
        <v>45258</v>
      </c>
      <c r="D236" t="inlineStr">
        <is>
          <t>VÄSTRA GÖTALANDS LÄN</t>
        </is>
      </c>
      <c r="E236" t="inlineStr">
        <is>
          <t>KARLSBORG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7676-2023</t>
        </is>
      </c>
      <c r="B237" s="1" t="n">
        <v>44972</v>
      </c>
      <c r="C237" s="1" t="n">
        <v>45258</v>
      </c>
      <c r="D237" t="inlineStr">
        <is>
          <t>VÄSTRA GÖTALANDS LÄN</t>
        </is>
      </c>
      <c r="E237" t="inlineStr">
        <is>
          <t>KARLSBORG</t>
        </is>
      </c>
      <c r="G237" t="n">
        <v>2.6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8053-2023</t>
        </is>
      </c>
      <c r="B238" s="1" t="n">
        <v>44974</v>
      </c>
      <c r="C238" s="1" t="n">
        <v>45258</v>
      </c>
      <c r="D238" t="inlineStr">
        <is>
          <t>VÄSTRA GÖTALANDS LÄN</t>
        </is>
      </c>
      <c r="E238" t="inlineStr">
        <is>
          <t>KARLSBORG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8052-2023</t>
        </is>
      </c>
      <c r="B239" s="1" t="n">
        <v>44974</v>
      </c>
      <c r="C239" s="1" t="n">
        <v>45258</v>
      </c>
      <c r="D239" t="inlineStr">
        <is>
          <t>VÄSTRA GÖTALANDS LÄN</t>
        </is>
      </c>
      <c r="E239" t="inlineStr">
        <is>
          <t>KARLSBORG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13077-2023</t>
        </is>
      </c>
      <c r="B240" s="1" t="n">
        <v>45002</v>
      </c>
      <c r="C240" s="1" t="n">
        <v>45258</v>
      </c>
      <c r="D240" t="inlineStr">
        <is>
          <t>VÄSTRA GÖTALANDS LÄN</t>
        </is>
      </c>
      <c r="E240" t="inlineStr">
        <is>
          <t>KARLSBORG</t>
        </is>
      </c>
      <c r="G240" t="n">
        <v>6.6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13076-2023</t>
        </is>
      </c>
      <c r="B241" s="1" t="n">
        <v>45002</v>
      </c>
      <c r="C241" s="1" t="n">
        <v>45258</v>
      </c>
      <c r="D241" t="inlineStr">
        <is>
          <t>VÄSTRA GÖTALANDS LÄN</t>
        </is>
      </c>
      <c r="E241" t="inlineStr">
        <is>
          <t>KARLSBORG</t>
        </is>
      </c>
      <c r="G241" t="n">
        <v>2.2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15221-2023</t>
        </is>
      </c>
      <c r="B242" s="1" t="n">
        <v>45019</v>
      </c>
      <c r="C242" s="1" t="n">
        <v>45258</v>
      </c>
      <c r="D242" t="inlineStr">
        <is>
          <t>VÄSTRA GÖTALANDS LÄN</t>
        </is>
      </c>
      <c r="E242" t="inlineStr">
        <is>
          <t>KARLSBORG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15220-2023</t>
        </is>
      </c>
      <c r="B243" s="1" t="n">
        <v>45019</v>
      </c>
      <c r="C243" s="1" t="n">
        <v>45258</v>
      </c>
      <c r="D243" t="inlineStr">
        <is>
          <t>VÄSTRA GÖTALANDS LÄN</t>
        </is>
      </c>
      <c r="E243" t="inlineStr">
        <is>
          <t>KARLSBORG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18742-2023</t>
        </is>
      </c>
      <c r="B244" s="1" t="n">
        <v>45043</v>
      </c>
      <c r="C244" s="1" t="n">
        <v>45258</v>
      </c>
      <c r="D244" t="inlineStr">
        <is>
          <t>VÄSTRA GÖTALANDS LÄN</t>
        </is>
      </c>
      <c r="E244" t="inlineStr">
        <is>
          <t>KARLSBORG</t>
        </is>
      </c>
      <c r="G244" t="n">
        <v>1.6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19214-2023</t>
        </is>
      </c>
      <c r="B245" s="1" t="n">
        <v>45048</v>
      </c>
      <c r="C245" s="1" t="n">
        <v>45258</v>
      </c>
      <c r="D245" t="inlineStr">
        <is>
          <t>VÄSTRA GÖTALANDS LÄN</t>
        </is>
      </c>
      <c r="E245" t="inlineStr">
        <is>
          <t>KARLSBORG</t>
        </is>
      </c>
      <c r="G245" t="n">
        <v>3.9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20041-2023</t>
        </is>
      </c>
      <c r="B246" s="1" t="n">
        <v>45054</v>
      </c>
      <c r="C246" s="1" t="n">
        <v>45258</v>
      </c>
      <c r="D246" t="inlineStr">
        <is>
          <t>VÄSTRA GÖTALANDS LÄN</t>
        </is>
      </c>
      <c r="E246" t="inlineStr">
        <is>
          <t>KARLSBORG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20043-2023</t>
        </is>
      </c>
      <c r="B247" s="1" t="n">
        <v>45054</v>
      </c>
      <c r="C247" s="1" t="n">
        <v>45258</v>
      </c>
      <c r="D247" t="inlineStr">
        <is>
          <t>VÄSTRA GÖTALANDS LÄN</t>
        </is>
      </c>
      <c r="E247" t="inlineStr">
        <is>
          <t>KARLSBORG</t>
        </is>
      </c>
      <c r="G247" t="n">
        <v>4.3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21018-2023</t>
        </is>
      </c>
      <c r="B248" s="1" t="n">
        <v>45061</v>
      </c>
      <c r="C248" s="1" t="n">
        <v>45258</v>
      </c>
      <c r="D248" t="inlineStr">
        <is>
          <t>VÄSTRA GÖTALANDS LÄN</t>
        </is>
      </c>
      <c r="E248" t="inlineStr">
        <is>
          <t>KARLSBORG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23973-2023</t>
        </is>
      </c>
      <c r="B249" s="1" t="n">
        <v>45075</v>
      </c>
      <c r="C249" s="1" t="n">
        <v>45258</v>
      </c>
      <c r="D249" t="inlineStr">
        <is>
          <t>VÄSTRA GÖTALANDS LÄN</t>
        </is>
      </c>
      <c r="E249" t="inlineStr">
        <is>
          <t>KARLSBORG</t>
        </is>
      </c>
      <c r="G249" t="n">
        <v>2.2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23421-2023</t>
        </is>
      </c>
      <c r="B250" s="1" t="n">
        <v>45076</v>
      </c>
      <c r="C250" s="1" t="n">
        <v>45258</v>
      </c>
      <c r="D250" t="inlineStr">
        <is>
          <t>VÄSTRA GÖTALANDS LÄN</t>
        </is>
      </c>
      <c r="E250" t="inlineStr">
        <is>
          <t>KARLSBORG</t>
        </is>
      </c>
      <c r="G250" t="n">
        <v>4.2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23500-2023</t>
        </is>
      </c>
      <c r="B251" s="1" t="n">
        <v>45076</v>
      </c>
      <c r="C251" s="1" t="n">
        <v>45258</v>
      </c>
      <c r="D251" t="inlineStr">
        <is>
          <t>VÄSTRA GÖTALANDS LÄN</t>
        </is>
      </c>
      <c r="E251" t="inlineStr">
        <is>
          <t>KARLSBORG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23499-2023</t>
        </is>
      </c>
      <c r="B252" s="1" t="n">
        <v>45076</v>
      </c>
      <c r="C252" s="1" t="n">
        <v>45258</v>
      </c>
      <c r="D252" t="inlineStr">
        <is>
          <t>VÄSTRA GÖTALANDS LÄN</t>
        </is>
      </c>
      <c r="E252" t="inlineStr">
        <is>
          <t>KARLSBORG</t>
        </is>
      </c>
      <c r="G252" t="n">
        <v>3.3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23799-2023</t>
        </is>
      </c>
      <c r="B253" s="1" t="n">
        <v>45078</v>
      </c>
      <c r="C253" s="1" t="n">
        <v>45258</v>
      </c>
      <c r="D253" t="inlineStr">
        <is>
          <t>VÄSTRA GÖTALANDS LÄN</t>
        </is>
      </c>
      <c r="E253" t="inlineStr">
        <is>
          <t>KARLSBORG</t>
        </is>
      </c>
      <c r="G253" t="n">
        <v>5.2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24008-2023</t>
        </is>
      </c>
      <c r="B254" s="1" t="n">
        <v>45078</v>
      </c>
      <c r="C254" s="1" t="n">
        <v>45258</v>
      </c>
      <c r="D254" t="inlineStr">
        <is>
          <t>VÄSTRA GÖTALANDS LÄN</t>
        </is>
      </c>
      <c r="E254" t="inlineStr">
        <is>
          <t>KARLSBORG</t>
        </is>
      </c>
      <c r="G254" t="n">
        <v>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25697-2023</t>
        </is>
      </c>
      <c r="B255" s="1" t="n">
        <v>45090</v>
      </c>
      <c r="C255" s="1" t="n">
        <v>45258</v>
      </c>
      <c r="D255" t="inlineStr">
        <is>
          <t>VÄSTRA GÖTALANDS LÄN</t>
        </is>
      </c>
      <c r="E255" t="inlineStr">
        <is>
          <t>KARLSBORG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25696-2023</t>
        </is>
      </c>
      <c r="B256" s="1" t="n">
        <v>45090</v>
      </c>
      <c r="C256" s="1" t="n">
        <v>45258</v>
      </c>
      <c r="D256" t="inlineStr">
        <is>
          <t>VÄSTRA GÖTALANDS LÄN</t>
        </is>
      </c>
      <c r="E256" t="inlineStr">
        <is>
          <t>KARLSBORG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25999-2023</t>
        </is>
      </c>
      <c r="B257" s="1" t="n">
        <v>45091</v>
      </c>
      <c r="C257" s="1" t="n">
        <v>45258</v>
      </c>
      <c r="D257" t="inlineStr">
        <is>
          <t>VÄSTRA GÖTALANDS LÄN</t>
        </is>
      </c>
      <c r="E257" t="inlineStr">
        <is>
          <t>KARLSBORG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26016-2023</t>
        </is>
      </c>
      <c r="B258" s="1" t="n">
        <v>45091</v>
      </c>
      <c r="C258" s="1" t="n">
        <v>45258</v>
      </c>
      <c r="D258" t="inlineStr">
        <is>
          <t>VÄSTRA GÖTALANDS LÄN</t>
        </is>
      </c>
      <c r="E258" t="inlineStr">
        <is>
          <t>KARLSBORG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26017-2023</t>
        </is>
      </c>
      <c r="B259" s="1" t="n">
        <v>45091</v>
      </c>
      <c r="C259" s="1" t="n">
        <v>45258</v>
      </c>
      <c r="D259" t="inlineStr">
        <is>
          <t>VÄSTRA GÖTALANDS LÄN</t>
        </is>
      </c>
      <c r="E259" t="inlineStr">
        <is>
          <t>KARLSBORG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25998-2023</t>
        </is>
      </c>
      <c r="B260" s="1" t="n">
        <v>45091</v>
      </c>
      <c r="C260" s="1" t="n">
        <v>45258</v>
      </c>
      <c r="D260" t="inlineStr">
        <is>
          <t>VÄSTRA GÖTALANDS LÄN</t>
        </is>
      </c>
      <c r="E260" t="inlineStr">
        <is>
          <t>KARLSBORG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26873-2023</t>
        </is>
      </c>
      <c r="B261" s="1" t="n">
        <v>45093</v>
      </c>
      <c r="C261" s="1" t="n">
        <v>45258</v>
      </c>
      <c r="D261" t="inlineStr">
        <is>
          <t>VÄSTRA GÖTALANDS LÄN</t>
        </is>
      </c>
      <c r="E261" t="inlineStr">
        <is>
          <t>KARLSBORG</t>
        </is>
      </c>
      <c r="F261" t="inlineStr">
        <is>
          <t>Sveaskog</t>
        </is>
      </c>
      <c r="G261" t="n">
        <v>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27398-2023</t>
        </is>
      </c>
      <c r="B262" s="1" t="n">
        <v>45097</v>
      </c>
      <c r="C262" s="1" t="n">
        <v>45258</v>
      </c>
      <c r="D262" t="inlineStr">
        <is>
          <t>VÄSTRA GÖTALANDS LÄN</t>
        </is>
      </c>
      <c r="E262" t="inlineStr">
        <is>
          <t>KARLSBORG</t>
        </is>
      </c>
      <c r="G262" t="n">
        <v>1.9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27701-2023</t>
        </is>
      </c>
      <c r="B263" s="1" t="n">
        <v>45098</v>
      </c>
      <c r="C263" s="1" t="n">
        <v>45258</v>
      </c>
      <c r="D263" t="inlineStr">
        <is>
          <t>VÄSTRA GÖTALANDS LÄN</t>
        </is>
      </c>
      <c r="E263" t="inlineStr">
        <is>
          <t>KARLSBORG</t>
        </is>
      </c>
      <c r="G263" t="n">
        <v>10.4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27702-2023</t>
        </is>
      </c>
      <c r="B264" s="1" t="n">
        <v>45098</v>
      </c>
      <c r="C264" s="1" t="n">
        <v>45258</v>
      </c>
      <c r="D264" t="inlineStr">
        <is>
          <t>VÄSTRA GÖTALANDS LÄN</t>
        </is>
      </c>
      <c r="E264" t="inlineStr">
        <is>
          <t>KARLSBORG</t>
        </is>
      </c>
      <c r="G264" t="n">
        <v>4.9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27703-2023</t>
        </is>
      </c>
      <c r="B265" s="1" t="n">
        <v>45098</v>
      </c>
      <c r="C265" s="1" t="n">
        <v>45258</v>
      </c>
      <c r="D265" t="inlineStr">
        <is>
          <t>VÄSTRA GÖTALANDS LÄN</t>
        </is>
      </c>
      <c r="E265" t="inlineStr">
        <is>
          <t>KARLSBORG</t>
        </is>
      </c>
      <c r="G265" t="n">
        <v>2.8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27823-2023</t>
        </is>
      </c>
      <c r="B266" s="1" t="n">
        <v>45098</v>
      </c>
      <c r="C266" s="1" t="n">
        <v>45258</v>
      </c>
      <c r="D266" t="inlineStr">
        <is>
          <t>VÄSTRA GÖTALANDS LÄN</t>
        </is>
      </c>
      <c r="E266" t="inlineStr">
        <is>
          <t>KARLSBORG</t>
        </is>
      </c>
      <c r="G266" t="n">
        <v>6.5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28461-2023</t>
        </is>
      </c>
      <c r="B267" s="1" t="n">
        <v>45103</v>
      </c>
      <c r="C267" s="1" t="n">
        <v>45258</v>
      </c>
      <c r="D267" t="inlineStr">
        <is>
          <t>VÄSTRA GÖTALANDS LÄN</t>
        </is>
      </c>
      <c r="E267" t="inlineStr">
        <is>
          <t>KARLSBORG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28460-2023</t>
        </is>
      </c>
      <c r="B268" s="1" t="n">
        <v>45103</v>
      </c>
      <c r="C268" s="1" t="n">
        <v>45258</v>
      </c>
      <c r="D268" t="inlineStr">
        <is>
          <t>VÄSTRA GÖTALANDS LÄN</t>
        </is>
      </c>
      <c r="E268" t="inlineStr">
        <is>
          <t>KARLSBORG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28459-2023</t>
        </is>
      </c>
      <c r="B269" s="1" t="n">
        <v>45103</v>
      </c>
      <c r="C269" s="1" t="n">
        <v>45258</v>
      </c>
      <c r="D269" t="inlineStr">
        <is>
          <t>VÄSTRA GÖTALANDS LÄN</t>
        </is>
      </c>
      <c r="E269" t="inlineStr">
        <is>
          <t>KARLSBORG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34661-2023</t>
        </is>
      </c>
      <c r="B270" s="1" t="n">
        <v>45140</v>
      </c>
      <c r="C270" s="1" t="n">
        <v>45258</v>
      </c>
      <c r="D270" t="inlineStr">
        <is>
          <t>VÄSTRA GÖTALANDS LÄN</t>
        </is>
      </c>
      <c r="E270" t="inlineStr">
        <is>
          <t>KARLSBORG</t>
        </is>
      </c>
      <c r="G270" t="n">
        <v>3.3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36324-2023</t>
        </is>
      </c>
      <c r="B271" s="1" t="n">
        <v>45152</v>
      </c>
      <c r="C271" s="1" t="n">
        <v>45258</v>
      </c>
      <c r="D271" t="inlineStr">
        <is>
          <t>VÄSTRA GÖTALANDS LÄN</t>
        </is>
      </c>
      <c r="E271" t="inlineStr">
        <is>
          <t>KARLSBORG</t>
        </is>
      </c>
      <c r="G271" t="n">
        <v>1.4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36834-2023</t>
        </is>
      </c>
      <c r="B272" s="1" t="n">
        <v>45153</v>
      </c>
      <c r="C272" s="1" t="n">
        <v>45258</v>
      </c>
      <c r="D272" t="inlineStr">
        <is>
          <t>VÄSTRA GÖTALANDS LÄN</t>
        </is>
      </c>
      <c r="E272" t="inlineStr">
        <is>
          <t>KARLSBORG</t>
        </is>
      </c>
      <c r="G272" t="n">
        <v>2.5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36920-2023</t>
        </is>
      </c>
      <c r="B273" s="1" t="n">
        <v>45153</v>
      </c>
      <c r="C273" s="1" t="n">
        <v>45258</v>
      </c>
      <c r="D273" t="inlineStr">
        <is>
          <t>VÄSTRA GÖTALANDS LÄN</t>
        </is>
      </c>
      <c r="E273" t="inlineStr">
        <is>
          <t>KARLSBORG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38073-2023</t>
        </is>
      </c>
      <c r="B274" s="1" t="n">
        <v>45160</v>
      </c>
      <c r="C274" s="1" t="n">
        <v>45258</v>
      </c>
      <c r="D274" t="inlineStr">
        <is>
          <t>VÄSTRA GÖTALANDS LÄN</t>
        </is>
      </c>
      <c r="E274" t="inlineStr">
        <is>
          <t>KARLSBORG</t>
        </is>
      </c>
      <c r="G274" t="n">
        <v>2.9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38103-2023</t>
        </is>
      </c>
      <c r="B275" s="1" t="n">
        <v>45161</v>
      </c>
      <c r="C275" s="1" t="n">
        <v>45258</v>
      </c>
      <c r="D275" t="inlineStr">
        <is>
          <t>VÄSTRA GÖTALANDS LÄN</t>
        </is>
      </c>
      <c r="E275" t="inlineStr">
        <is>
          <t>KARLSBORG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39284-2023</t>
        </is>
      </c>
      <c r="B276" s="1" t="n">
        <v>45166</v>
      </c>
      <c r="C276" s="1" t="n">
        <v>45258</v>
      </c>
      <c r="D276" t="inlineStr">
        <is>
          <t>VÄSTRA GÖTALANDS LÄN</t>
        </is>
      </c>
      <c r="E276" t="inlineStr">
        <is>
          <t>KARLSBORG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39287-2023</t>
        </is>
      </c>
      <c r="B277" s="1" t="n">
        <v>45166</v>
      </c>
      <c r="C277" s="1" t="n">
        <v>45258</v>
      </c>
      <c r="D277" t="inlineStr">
        <is>
          <t>VÄSTRA GÖTALANDS LÄN</t>
        </is>
      </c>
      <c r="E277" t="inlineStr">
        <is>
          <t>KARLSBORG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39285-2023</t>
        </is>
      </c>
      <c r="B278" s="1" t="n">
        <v>45166</v>
      </c>
      <c r="C278" s="1" t="n">
        <v>45258</v>
      </c>
      <c r="D278" t="inlineStr">
        <is>
          <t>VÄSTRA GÖTALANDS LÄN</t>
        </is>
      </c>
      <c r="E278" t="inlineStr">
        <is>
          <t>KARLSBORG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39286-2023</t>
        </is>
      </c>
      <c r="B279" s="1" t="n">
        <v>45166</v>
      </c>
      <c r="C279" s="1" t="n">
        <v>45258</v>
      </c>
      <c r="D279" t="inlineStr">
        <is>
          <t>VÄSTRA GÖTALANDS LÄN</t>
        </is>
      </c>
      <c r="E279" t="inlineStr">
        <is>
          <t>KARLSBORG</t>
        </is>
      </c>
      <c r="G279" t="n">
        <v>2.6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39303-2023</t>
        </is>
      </c>
      <c r="B280" s="1" t="n">
        <v>45166</v>
      </c>
      <c r="C280" s="1" t="n">
        <v>45258</v>
      </c>
      <c r="D280" t="inlineStr">
        <is>
          <t>VÄSTRA GÖTALANDS LÄN</t>
        </is>
      </c>
      <c r="E280" t="inlineStr">
        <is>
          <t>KARLSBORG</t>
        </is>
      </c>
      <c r="G280" t="n">
        <v>2.5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39519-2023</t>
        </is>
      </c>
      <c r="B281" s="1" t="n">
        <v>45167</v>
      </c>
      <c r="C281" s="1" t="n">
        <v>45258</v>
      </c>
      <c r="D281" t="inlineStr">
        <is>
          <t>VÄSTRA GÖTALANDS LÄN</t>
        </is>
      </c>
      <c r="E281" t="inlineStr">
        <is>
          <t>KARLSBORG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39522-2023</t>
        </is>
      </c>
      <c r="B282" s="1" t="n">
        <v>45167</v>
      </c>
      <c r="C282" s="1" t="n">
        <v>45258</v>
      </c>
      <c r="D282" t="inlineStr">
        <is>
          <t>VÄSTRA GÖTALANDS LÄN</t>
        </is>
      </c>
      <c r="E282" t="inlineStr">
        <is>
          <t>KARLSBORG</t>
        </is>
      </c>
      <c r="G282" t="n">
        <v>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40129-2023</t>
        </is>
      </c>
      <c r="B283" s="1" t="n">
        <v>45169</v>
      </c>
      <c r="C283" s="1" t="n">
        <v>45258</v>
      </c>
      <c r="D283" t="inlineStr">
        <is>
          <t>VÄSTRA GÖTALANDS LÄN</t>
        </is>
      </c>
      <c r="E283" t="inlineStr">
        <is>
          <t>KARLSBORG</t>
        </is>
      </c>
      <c r="F283" t="inlineStr">
        <is>
          <t>Övriga Aktiebolag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40128-2023</t>
        </is>
      </c>
      <c r="B284" s="1" t="n">
        <v>45169</v>
      </c>
      <c r="C284" s="1" t="n">
        <v>45258</v>
      </c>
      <c r="D284" t="inlineStr">
        <is>
          <t>VÄSTRA GÖTALANDS LÄN</t>
        </is>
      </c>
      <c r="E284" t="inlineStr">
        <is>
          <t>KARLSBORG</t>
        </is>
      </c>
      <c r="F284" t="inlineStr">
        <is>
          <t>Övriga Aktiebolag</t>
        </is>
      </c>
      <c r="G284" t="n">
        <v>1.9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41282-2023</t>
        </is>
      </c>
      <c r="B285" s="1" t="n">
        <v>45174</v>
      </c>
      <c r="C285" s="1" t="n">
        <v>45258</v>
      </c>
      <c r="D285" t="inlineStr">
        <is>
          <t>VÄSTRA GÖTALANDS LÄN</t>
        </is>
      </c>
      <c r="E285" t="inlineStr">
        <is>
          <t>KARLSBORG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41685-2023</t>
        </is>
      </c>
      <c r="B286" s="1" t="n">
        <v>45176</v>
      </c>
      <c r="C286" s="1" t="n">
        <v>45258</v>
      </c>
      <c r="D286" t="inlineStr">
        <is>
          <t>VÄSTRA GÖTALANDS LÄN</t>
        </is>
      </c>
      <c r="E286" t="inlineStr">
        <is>
          <t>KARLSBORG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41689-2023</t>
        </is>
      </c>
      <c r="B287" s="1" t="n">
        <v>45176</v>
      </c>
      <c r="C287" s="1" t="n">
        <v>45258</v>
      </c>
      <c r="D287" t="inlineStr">
        <is>
          <t>VÄSTRA GÖTALANDS LÄN</t>
        </is>
      </c>
      <c r="E287" t="inlineStr">
        <is>
          <t>KARLSBORG</t>
        </is>
      </c>
      <c r="G287" t="n">
        <v>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41684-2023</t>
        </is>
      </c>
      <c r="B288" s="1" t="n">
        <v>45176</v>
      </c>
      <c r="C288" s="1" t="n">
        <v>45258</v>
      </c>
      <c r="D288" t="inlineStr">
        <is>
          <t>VÄSTRA GÖTALANDS LÄN</t>
        </is>
      </c>
      <c r="E288" t="inlineStr">
        <is>
          <t>KARLSBORG</t>
        </is>
      </c>
      <c r="G288" t="n">
        <v>7.3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42702-2023</t>
        </is>
      </c>
      <c r="B289" s="1" t="n">
        <v>45176</v>
      </c>
      <c r="C289" s="1" t="n">
        <v>45258</v>
      </c>
      <c r="D289" t="inlineStr">
        <is>
          <t>VÄSTRA GÖTALANDS LÄN</t>
        </is>
      </c>
      <c r="E289" t="inlineStr">
        <is>
          <t>KARLSBORG</t>
        </is>
      </c>
      <c r="G289" t="n">
        <v>2.1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42088-2023</t>
        </is>
      </c>
      <c r="B290" s="1" t="n">
        <v>45177</v>
      </c>
      <c r="C290" s="1" t="n">
        <v>45258</v>
      </c>
      <c r="D290" t="inlineStr">
        <is>
          <t>VÄSTRA GÖTALANDS LÄN</t>
        </is>
      </c>
      <c r="E290" t="inlineStr">
        <is>
          <t>KARLSBORG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44546-2023</t>
        </is>
      </c>
      <c r="B291" s="1" t="n">
        <v>45183</v>
      </c>
      <c r="C291" s="1" t="n">
        <v>45258</v>
      </c>
      <c r="D291" t="inlineStr">
        <is>
          <t>VÄSTRA GÖTALANDS LÄN</t>
        </is>
      </c>
      <c r="E291" t="inlineStr">
        <is>
          <t>KARLSBORG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44577-2023</t>
        </is>
      </c>
      <c r="B292" s="1" t="n">
        <v>45183</v>
      </c>
      <c r="C292" s="1" t="n">
        <v>45258</v>
      </c>
      <c r="D292" t="inlineStr">
        <is>
          <t>VÄSTRA GÖTALANDS LÄN</t>
        </is>
      </c>
      <c r="E292" t="inlineStr">
        <is>
          <t>KARLSBORG</t>
        </is>
      </c>
      <c r="G292" t="n">
        <v>2.2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43626-2023</t>
        </is>
      </c>
      <c r="B293" s="1" t="n">
        <v>45184</v>
      </c>
      <c r="C293" s="1" t="n">
        <v>45258</v>
      </c>
      <c r="D293" t="inlineStr">
        <is>
          <t>VÄSTRA GÖTALANDS LÄN</t>
        </is>
      </c>
      <c r="E293" t="inlineStr">
        <is>
          <t>KARLSBORG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48884-2023</t>
        </is>
      </c>
      <c r="B294" s="1" t="n">
        <v>45209</v>
      </c>
      <c r="C294" s="1" t="n">
        <v>45258</v>
      </c>
      <c r="D294" t="inlineStr">
        <is>
          <t>VÄSTRA GÖTALANDS LÄN</t>
        </is>
      </c>
      <c r="E294" t="inlineStr">
        <is>
          <t>KARLSBORG</t>
        </is>
      </c>
      <c r="G294" t="n">
        <v>0.3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48888-2023</t>
        </is>
      </c>
      <c r="B295" s="1" t="n">
        <v>45209</v>
      </c>
      <c r="C295" s="1" t="n">
        <v>45258</v>
      </c>
      <c r="D295" t="inlineStr">
        <is>
          <t>VÄSTRA GÖTALANDS LÄN</t>
        </is>
      </c>
      <c r="E295" t="inlineStr">
        <is>
          <t>KARLSBORG</t>
        </is>
      </c>
      <c r="G295" t="n">
        <v>0.2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50985-2023</t>
        </is>
      </c>
      <c r="B296" s="1" t="n">
        <v>45218</v>
      </c>
      <c r="C296" s="1" t="n">
        <v>45258</v>
      </c>
      <c r="D296" t="inlineStr">
        <is>
          <t>VÄSTRA GÖTALANDS LÄN</t>
        </is>
      </c>
      <c r="E296" t="inlineStr">
        <is>
          <t>KARLSBORG</t>
        </is>
      </c>
      <c r="F296" t="inlineStr">
        <is>
          <t>Sveaskog</t>
        </is>
      </c>
      <c r="G296" t="n">
        <v>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53247-2023</t>
        </is>
      </c>
      <c r="B297" s="1" t="n">
        <v>45229</v>
      </c>
      <c r="C297" s="1" t="n">
        <v>45258</v>
      </c>
      <c r="D297" t="inlineStr">
        <is>
          <t>VÄSTRA GÖTALANDS LÄN</t>
        </is>
      </c>
      <c r="E297" t="inlineStr">
        <is>
          <t>KARLSBORG</t>
        </is>
      </c>
      <c r="G297" t="n">
        <v>3.7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53504-2023</t>
        </is>
      </c>
      <c r="B298" s="1" t="n">
        <v>45230</v>
      </c>
      <c r="C298" s="1" t="n">
        <v>45258</v>
      </c>
      <c r="D298" t="inlineStr">
        <is>
          <t>VÄSTRA GÖTALANDS LÄN</t>
        </is>
      </c>
      <c r="E298" t="inlineStr">
        <is>
          <t>KARLSBORG</t>
        </is>
      </c>
      <c r="G298" t="n">
        <v>7.3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53909-2023</t>
        </is>
      </c>
      <c r="B299" s="1" t="n">
        <v>45231</v>
      </c>
      <c r="C299" s="1" t="n">
        <v>45258</v>
      </c>
      <c r="D299" t="inlineStr">
        <is>
          <t>VÄSTRA GÖTALANDS LÄN</t>
        </is>
      </c>
      <c r="E299" t="inlineStr">
        <is>
          <t>KARLSBORG</t>
        </is>
      </c>
      <c r="G299" t="n">
        <v>2.6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53898-2023</t>
        </is>
      </c>
      <c r="B300" s="1" t="n">
        <v>45231</v>
      </c>
      <c r="C300" s="1" t="n">
        <v>45258</v>
      </c>
      <c r="D300" t="inlineStr">
        <is>
          <t>VÄSTRA GÖTALANDS LÄN</t>
        </is>
      </c>
      <c r="E300" t="inlineStr">
        <is>
          <t>KARLSBORG</t>
        </is>
      </c>
      <c r="G300" t="n">
        <v>9.5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54444-2023</t>
        </is>
      </c>
      <c r="B301" s="1" t="n">
        <v>45233</v>
      </c>
      <c r="C301" s="1" t="n">
        <v>45258</v>
      </c>
      <c r="D301" t="inlineStr">
        <is>
          <t>VÄSTRA GÖTALANDS LÄN</t>
        </is>
      </c>
      <c r="E301" t="inlineStr">
        <is>
          <t>KARLSBORG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55729-2023</t>
        </is>
      </c>
      <c r="B302" s="1" t="n">
        <v>45239</v>
      </c>
      <c r="C302" s="1" t="n">
        <v>45258</v>
      </c>
      <c r="D302" t="inlineStr">
        <is>
          <t>VÄSTRA GÖTALANDS LÄN</t>
        </is>
      </c>
      <c r="E302" t="inlineStr">
        <is>
          <t>KARLSBORG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56495-2023</t>
        </is>
      </c>
      <c r="B303" s="1" t="n">
        <v>45243</v>
      </c>
      <c r="C303" s="1" t="n">
        <v>45258</v>
      </c>
      <c r="D303" t="inlineStr">
        <is>
          <t>VÄSTRA GÖTALANDS LÄN</t>
        </is>
      </c>
      <c r="E303" t="inlineStr">
        <is>
          <t>KARLSBORG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56545-2023</t>
        </is>
      </c>
      <c r="B304" s="1" t="n">
        <v>45243</v>
      </c>
      <c r="C304" s="1" t="n">
        <v>45258</v>
      </c>
      <c r="D304" t="inlineStr">
        <is>
          <t>VÄSTRA GÖTALANDS LÄN</t>
        </is>
      </c>
      <c r="E304" t="inlineStr">
        <is>
          <t>KARLSBORG</t>
        </is>
      </c>
      <c r="F304" t="inlineStr">
        <is>
          <t>Sveaskog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56541-2023</t>
        </is>
      </c>
      <c r="B305" s="1" t="n">
        <v>45243</v>
      </c>
      <c r="C305" s="1" t="n">
        <v>45258</v>
      </c>
      <c r="D305" t="inlineStr">
        <is>
          <t>VÄSTRA GÖTALANDS LÄN</t>
        </is>
      </c>
      <c r="E305" t="inlineStr">
        <is>
          <t>KARLSBORG</t>
        </is>
      </c>
      <c r="F305" t="inlineStr">
        <is>
          <t>Sveaskog</t>
        </is>
      </c>
      <c r="G305" t="n">
        <v>1.9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58533-2023</t>
        </is>
      </c>
      <c r="B306" s="1" t="n">
        <v>45251</v>
      </c>
      <c r="C306" s="1" t="n">
        <v>45258</v>
      </c>
      <c r="D306" t="inlineStr">
        <is>
          <t>VÄSTRA GÖTALANDS LÄN</t>
        </is>
      </c>
      <c r="E306" t="inlineStr">
        <is>
          <t>KARLSBORG</t>
        </is>
      </c>
      <c r="G306" t="n">
        <v>2.3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58573-2023</t>
        </is>
      </c>
      <c r="B307" s="1" t="n">
        <v>45251</v>
      </c>
      <c r="C307" s="1" t="n">
        <v>45258</v>
      </c>
      <c r="D307" t="inlineStr">
        <is>
          <t>VÄSTRA GÖTALANDS LÄN</t>
        </is>
      </c>
      <c r="E307" t="inlineStr">
        <is>
          <t>KARLSBORG</t>
        </is>
      </c>
      <c r="G307" t="n">
        <v>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58527-2023</t>
        </is>
      </c>
      <c r="B308" s="1" t="n">
        <v>45251</v>
      </c>
      <c r="C308" s="1" t="n">
        <v>45258</v>
      </c>
      <c r="D308" t="inlineStr">
        <is>
          <t>VÄSTRA GÖTALANDS LÄN</t>
        </is>
      </c>
      <c r="E308" t="inlineStr">
        <is>
          <t>KARLSBORG</t>
        </is>
      </c>
      <c r="G308" t="n">
        <v>3.1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58558-2023</t>
        </is>
      </c>
      <c r="B309" s="1" t="n">
        <v>45251</v>
      </c>
      <c r="C309" s="1" t="n">
        <v>45258</v>
      </c>
      <c r="D309" t="inlineStr">
        <is>
          <t>VÄSTRA GÖTALANDS LÄN</t>
        </is>
      </c>
      <c r="E309" t="inlineStr">
        <is>
          <t>KARLSBORG</t>
        </is>
      </c>
      <c r="G309" t="n">
        <v>10.2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59047-2023</t>
        </is>
      </c>
      <c r="B310" s="1" t="n">
        <v>45252</v>
      </c>
      <c r="C310" s="1" t="n">
        <v>45258</v>
      </c>
      <c r="D310" t="inlineStr">
        <is>
          <t>VÄSTRA GÖTALANDS LÄN</t>
        </is>
      </c>
      <c r="E310" t="inlineStr">
        <is>
          <t>KARLSBORG</t>
        </is>
      </c>
      <c r="F310" t="inlineStr">
        <is>
          <t>Övriga Aktiebolag</t>
        </is>
      </c>
      <c r="G310" t="n">
        <v>7.4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59045-2023</t>
        </is>
      </c>
      <c r="B311" s="1" t="n">
        <v>45252</v>
      </c>
      <c r="C311" s="1" t="n">
        <v>45258</v>
      </c>
      <c r="D311" t="inlineStr">
        <is>
          <t>VÄSTRA GÖTALANDS LÄN</t>
        </is>
      </c>
      <c r="E311" t="inlineStr">
        <is>
          <t>KARLSBORG</t>
        </is>
      </c>
      <c r="F311" t="inlineStr">
        <is>
          <t>Övriga Aktiebolag</t>
        </is>
      </c>
      <c r="G311" t="n">
        <v>2.4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59048-2023</t>
        </is>
      </c>
      <c r="B312" s="1" t="n">
        <v>45252</v>
      </c>
      <c r="C312" s="1" t="n">
        <v>45258</v>
      </c>
      <c r="D312" t="inlineStr">
        <is>
          <t>VÄSTRA GÖTALANDS LÄN</t>
        </is>
      </c>
      <c r="E312" t="inlineStr">
        <is>
          <t>KARLSBORG</t>
        </is>
      </c>
      <c r="F312" t="inlineStr">
        <is>
          <t>Övriga Aktiebolag</t>
        </is>
      </c>
      <c r="G312" t="n">
        <v>5.6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59271-2023</t>
        </is>
      </c>
      <c r="B313" s="1" t="n">
        <v>45253</v>
      </c>
      <c r="C313" s="1" t="n">
        <v>45258</v>
      </c>
      <c r="D313" t="inlineStr">
        <is>
          <t>VÄSTRA GÖTALANDS LÄN</t>
        </is>
      </c>
      <c r="E313" t="inlineStr">
        <is>
          <t>KARLSBORG</t>
        </is>
      </c>
      <c r="G313" t="n">
        <v>1.8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>
      <c r="A314" t="inlineStr">
        <is>
          <t>A 59845-2023</t>
        </is>
      </c>
      <c r="B314" s="1" t="n">
        <v>45257</v>
      </c>
      <c r="C314" s="1" t="n">
        <v>45258</v>
      </c>
      <c r="D314" t="inlineStr">
        <is>
          <t>VÄSTRA GÖTALANDS LÄN</t>
        </is>
      </c>
      <c r="E314" t="inlineStr">
        <is>
          <t>KARLSBORG</t>
        </is>
      </c>
      <c r="G314" t="n">
        <v>3.7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2023-11-28T17:18:30Z</dcterms:created>
  <dcterms:modified xmlns:dcterms="http://purl.org/dc/terms/" xmlns:xsi="http://www.w3.org/2001/XMLSchema-instance" xsi:type="dcterms:W3CDTF">2023-11-28T17:18:30Z</dcterms:modified>
</cp:coreProperties>
</file>