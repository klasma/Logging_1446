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46304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46304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46304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46304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46304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46304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46304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46304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46304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46304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46304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46304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46304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46304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42778-2024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45566</v>
      </c>
      <c r="E16" s="1" t="n">
        <v>46304</v>
      </c>
      <c r="F16" t="inlineStr">
        <is>
          <t>VÄSTRA GÖTALANDS LÄN</t>
        </is>
      </c>
      <c r="G16" t="inlineStr">
        <is>
          <t>KARLSBORG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HYPERLINK("https://klasma.github.io/Logging_1446/artfynd/A 42778-2024 artfynd.xlsx", "A 42778-2024")</f>
        <v/>
      </c>
      <c r="X16">
        <f>HYPERLINK("https://klasma.github.io/Logging_1446/kartor/A 42778-2024 karta.png", "A 42778-2024")</f>
        <v/>
      </c>
      <c r="Y16">
        <f>HYPERLINK("https://klasma.github.io/Logging_1446/kartor_geotiff/A 42778-2024 georefererad karta.tif", "A 42778-2024")</f>
        <v/>
      </c>
      <c r="AA16">
        <f>HYPERLINK("https://klasma.github.io/Logging_1446/klagomål/A 42778-2024 FSC-klagomål.docx", "A 42778-2024")</f>
        <v/>
      </c>
      <c r="AB16">
        <f>HYPERLINK("https://klasma.github.io/Logging_1446/klagomålsmail/A 42778-2024 FSC-klagomål mail.docx", "A 42778-2024")</f>
        <v/>
      </c>
      <c r="AC16">
        <f>HYPERLINK("https://klasma.github.io/Logging_1446/tillsyn/A 42778-2024 tillsynsbegäran.docx", "A 42778-2024")</f>
        <v/>
      </c>
      <c r="AD16">
        <f>HYPERLINK("https://klasma.github.io/Logging_1446/tillsynsmail/A 42778-2024 tillsynsbegäran mail.docx", "A 42778-2024")</f>
        <v/>
      </c>
    </row>
    <row r="17" ht="15" customHeight="1">
      <c r="A17" t="inlineStr">
        <is>
          <t>A 18567-2026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46127</v>
      </c>
      <c r="E17" s="1" t="n">
        <v>46304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2.6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HYPERLINK("https://klasma.github.io/Logging_1446/artfynd/A 18567-2026 artfynd.xlsx", "A 18567-2026")</f>
        <v/>
      </c>
      <c r="X17">
        <f>HYPERLINK("https://klasma.github.io/Logging_1446/kartor/A 18567-2026 karta.png", "A 18567-2026")</f>
        <v/>
      </c>
      <c r="Y17">
        <f>HYPERLINK("https://klasma.github.io/Logging_1446/kartor_geotiff/A 18567-2026 georefererad karta.tif", "A 18567-2026")</f>
        <v/>
      </c>
      <c r="AA17">
        <f>HYPERLINK("https://klasma.github.io/Logging_1446/klagomål/A 18567-2026 FSC-klagomål.docx", "A 18567-2026")</f>
        <v/>
      </c>
      <c r="AB17">
        <f>HYPERLINK("https://klasma.github.io/Logging_1446/klagomålsmail/A 18567-2026 FSC-klagomål mail.docx", "A 18567-2026")</f>
        <v/>
      </c>
      <c r="AC17">
        <f>HYPERLINK("https://klasma.github.io/Logging_1446/tillsyn/A 18567-2026 tillsynsbegäran.docx", "A 18567-2026")</f>
        <v/>
      </c>
      <c r="AD17">
        <f>HYPERLINK("https://klasma.github.io/Logging_1446/tillsynsmail/A 18567-2026 tillsynsbegäran mail.docx", "A 18567-2026")</f>
        <v/>
      </c>
    </row>
    <row r="18" ht="15" customHeight="1">
      <c r="A18" t="inlineStr">
        <is>
          <t>A 29484-2025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46304</v>
      </c>
      <c r="F18" t="inlineStr">
        <is>
          <t>VÄSTRA GÖTALANDS LÄN</t>
        </is>
      </c>
      <c r="G18" t="inlineStr">
        <is>
          <t>KARLSBORG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Blåsippa</t>
        </is>
      </c>
      <c r="W18">
        <f>HYPERLINK("https://klasma.github.io/Logging_1446/artfynd/A 29484-2025 artfynd.xlsx", "A 29484-2025")</f>
        <v/>
      </c>
      <c r="X18">
        <f>HYPERLINK("https://klasma.github.io/Logging_1446/kartor/A 29484-2025 karta.png", "A 29484-2025")</f>
        <v/>
      </c>
      <c r="Y18">
        <f>HYPERLINK("https://klasma.github.io/Logging_1446/kartor_geotiff/A 29484-2025 georefererad karta.tif", "A 29484-2025")</f>
        <v/>
      </c>
      <c r="AA18">
        <f>HYPERLINK("https://klasma.github.io/Logging_1446/klagomål/A 29484-2025 FSC-klagomål.docx", "A 29484-2025")</f>
        <v/>
      </c>
      <c r="AB18">
        <f>HYPERLINK("https://klasma.github.io/Logging_1446/klagomålsmail/A 29484-2025 FSC-klagomål mail.docx", "A 29484-2025")</f>
        <v/>
      </c>
      <c r="AC18">
        <f>HYPERLINK("https://klasma.github.io/Logging_1446/tillsyn/A 29484-2025 tillsynsbegäran.docx", "A 29484-2025")</f>
        <v/>
      </c>
      <c r="AD18">
        <f>HYPERLINK("https://klasma.github.io/Logging_1446/tillsynsmail/A 29484-2025 tillsynsbegäran mail.docx", "A 29484-2025")</f>
        <v/>
      </c>
    </row>
    <row r="19" ht="15" customHeight="1">
      <c r="A19" t="inlineStr">
        <is>
          <t>A 8984-2025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46304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HYPERLINK("https://klasma.github.io/Logging_1446/artfynd/A 8984-2025 artfynd.xlsx", "A 8984-2025")</f>
        <v/>
      </c>
      <c r="X19">
        <f>HYPERLINK("https://klasma.github.io/Logging_1446/kartor/A 8984-2025 karta.png", "A 8984-2025")</f>
        <v/>
      </c>
      <c r="Y19">
        <f>HYPERLINK("https://klasma.github.io/Logging_1446/kartor_geotiff/A 8984-2025 georefererad karta.tif", "A 8984-2025")</f>
        <v/>
      </c>
      <c r="AA19">
        <f>HYPERLINK("https://klasma.github.io/Logging_1446/klagomål/A 8984-2025 FSC-klagomål.docx", "A 8984-2025")</f>
        <v/>
      </c>
      <c r="AB19">
        <f>HYPERLINK("https://klasma.github.io/Logging_1446/klagomålsmail/A 8984-2025 FSC-klagomål mail.docx", "A 8984-2025")</f>
        <v/>
      </c>
      <c r="AC19">
        <f>HYPERLINK("https://klasma.github.io/Logging_1446/tillsyn/A 8984-2025 tillsynsbegäran.docx", "A 8984-2025")</f>
        <v/>
      </c>
      <c r="AD19">
        <f>HYPERLINK("https://klasma.github.io/Logging_1446/tillsynsmail/A 8984-2025 tillsynsbegäran mail.docx", "A 8984-2025")</f>
        <v/>
      </c>
      <c r="AE19">
        <f>HYPERLINK("https://klasma.github.io/Logging_1446/fåglar/A 8984-2025 prioriterade fågelarter.docx", "A 8984-2025")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46304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Revlummer</t>
        </is>
      </c>
      <c r="W20">
        <f>HYPERLINK("https://klasma.github.io/Logging_1446/artfynd/A 51531-2023 artfynd.xlsx", "A 51531-2023")</f>
        <v/>
      </c>
      <c r="X20">
        <f>HYPERLINK("https://klasma.github.io/Logging_1446/kartor/A 51531-2023 karta.png", "A 51531-2023")</f>
        <v/>
      </c>
      <c r="Y20">
        <f>HYPERLINK("https://klasma.github.io/Logging_1446/kartor_geotiff/A 51531-2023 georefererad karta.tif", "A 51531-2023")</f>
        <v/>
      </c>
      <c r="AA20">
        <f>HYPERLINK("https://klasma.github.io/Logging_1446/klagomål/A 51531-2023 FSC-klagomål.docx", "A 51531-2023")</f>
        <v/>
      </c>
      <c r="AB20">
        <f>HYPERLINK("https://klasma.github.io/Logging_1446/klagomålsmail/A 51531-2023 FSC-klagomål mail.docx", "A 51531-2023")</f>
        <v/>
      </c>
      <c r="AC20">
        <f>HYPERLINK("https://klasma.github.io/Logging_1446/tillsyn/A 51531-2023 tillsynsbegäran.docx", "A 51531-2023")</f>
        <v/>
      </c>
      <c r="AD20">
        <f>HYPERLINK("https://klasma.github.io/Logging_1446/tillsynsmail/A 51531-2023 tillsynsbegäran mail.docx", "A 51531-2023")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46304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46304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46304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38103-2023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46304</v>
      </c>
      <c r="F24" t="inlineStr">
        <is>
          <t>VÄSTRA GÖTALANDS LÄN</t>
        </is>
      </c>
      <c r="G24" t="inlineStr">
        <is>
          <t>KARLSBORG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HYPERLINK("https://klasma.github.io/Logging_1446/artfynd/A 38103-2023 artfynd.xlsx", "A 38103-2023")</f>
        <v/>
      </c>
      <c r="X24">
        <f>HYPERLINK("https://klasma.github.io/Logging_1446/kartor/A 38103-2023 karta.png", "A 38103-2023")</f>
        <v/>
      </c>
      <c r="Y24">
        <f>HYPERLINK("https://klasma.github.io/Logging_1446/kartor_geotiff/A 38103-2023 georefererad karta.tif", "A 38103-2023")</f>
        <v/>
      </c>
      <c r="AA24">
        <f>HYPERLINK("https://klasma.github.io/Logging_1446/klagomål/A 38103-2023 FSC-klagomål.docx", "A 38103-2023")</f>
        <v/>
      </c>
      <c r="AB24">
        <f>HYPERLINK("https://klasma.github.io/Logging_1446/klagomålsmail/A 38103-2023 FSC-klagomål mail.docx", "A 38103-2023")</f>
        <v/>
      </c>
      <c r="AC24">
        <f>HYPERLINK("https://klasma.github.io/Logging_1446/tillsyn/A 38103-2023 tillsynsbegäran.docx", "A 38103-2023")</f>
        <v/>
      </c>
      <c r="AD24">
        <f>HYPERLINK("https://klasma.github.io/Logging_1446/tillsynsmail/A 38103-2023 tillsynsbegäran mail.docx", "A 38103-2023")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46304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46304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23973-2023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45075</v>
      </c>
      <c r="E27" s="1" t="n">
        <v>46304</v>
      </c>
      <c r="F27" t="inlineStr">
        <is>
          <t>VÄSTRA GÖTALANDS LÄN</t>
        </is>
      </c>
      <c r="G27" t="inlineStr">
        <is>
          <t>KARLSBORG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Orre</t>
        </is>
      </c>
      <c r="W27">
        <f>HYPERLINK("https://klasma.github.io/Logging_1446/artfynd/A 23973-2023 artfynd.xlsx", "A 23973-2023")</f>
        <v/>
      </c>
      <c r="X27">
        <f>HYPERLINK("https://klasma.github.io/Logging_1446/kartor/A 23973-2023 karta.png", "A 23973-2023")</f>
        <v/>
      </c>
      <c r="Y27">
        <f>HYPERLINK("https://klasma.github.io/Logging_1446/kartor_geotiff/A 23973-2023 georefererad karta.tif", "A 23973-2023")</f>
        <v/>
      </c>
      <c r="AA27">
        <f>HYPERLINK("https://klasma.github.io/Logging_1446/klagomål/A 23973-2023 FSC-klagomål.docx", "A 23973-2023")</f>
        <v/>
      </c>
      <c r="AB27">
        <f>HYPERLINK("https://klasma.github.io/Logging_1446/klagomålsmail/A 23973-2023 FSC-klagomål mail.docx", "A 23973-2023")</f>
        <v/>
      </c>
      <c r="AC27">
        <f>HYPERLINK("https://klasma.github.io/Logging_1446/tillsyn/A 23973-2023 tillsynsbegäran.docx", "A 23973-2023")</f>
        <v/>
      </c>
      <c r="AD27">
        <f>HYPERLINK("https://klasma.github.io/Logging_1446/tillsynsmail/A 23973-2023 tillsynsbegäran mail.docx", "A 23973-2023")</f>
        <v/>
      </c>
      <c r="AE27">
        <f>HYPERLINK("https://klasma.github.io/Logging_1446/fåglar/A 23973-2023 prioriterade fågelarter.docx", "A 23973-2023")</f>
        <v/>
      </c>
    </row>
    <row r="28" ht="15" customHeight="1">
      <c r="A28" t="inlineStr">
        <is>
          <t>A 28315-2025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46304</v>
      </c>
      <c r="F28" t="inlineStr">
        <is>
          <t>VÄSTRA GÖTALANDS LÄN</t>
        </is>
      </c>
      <c r="G28" t="inlineStr">
        <is>
          <t>KARLSBORG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Rostfläck</t>
        </is>
      </c>
      <c r="W28">
        <f>HYPERLINK("https://klasma.github.io/Logging_1446/artfynd/A 28315-2025 artfynd.xlsx", "A 28315-2025")</f>
        <v/>
      </c>
      <c r="X28">
        <f>HYPERLINK("https://klasma.github.io/Logging_1446/kartor/A 28315-2025 karta.png", "A 28315-2025")</f>
        <v/>
      </c>
      <c r="Y28">
        <f>HYPERLINK("https://klasma.github.io/Logging_1446/kartor_geotiff/A 28315-2025 georefererad karta.tif", "A 28315-2025")</f>
        <v/>
      </c>
      <c r="AA28">
        <f>HYPERLINK("https://klasma.github.io/Logging_1446/klagomål/A 28315-2025 FSC-klagomål.docx", "A 28315-2025")</f>
        <v/>
      </c>
      <c r="AB28">
        <f>HYPERLINK("https://klasma.github.io/Logging_1446/klagomålsmail/A 28315-2025 FSC-klagomål mail.docx", "A 28315-2025")</f>
        <v/>
      </c>
      <c r="AC28">
        <f>HYPERLINK("https://klasma.github.io/Logging_1446/tillsyn/A 28315-2025 tillsynsbegäran.docx", "A 28315-2025")</f>
        <v/>
      </c>
      <c r="AD28">
        <f>HYPERLINK("https://klasma.github.io/Logging_1446/tillsynsmail/A 28315-2025 tillsynsbegäran mail.docx", "A 28315-2025")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46304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46304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46304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46304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46304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46304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46304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46304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46304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46304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46304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46304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23469-2024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45453</v>
      </c>
      <c r="E41" s="1" t="n">
        <v>46304</v>
      </c>
      <c r="F41" t="inlineStr">
        <is>
          <t>VÄSTRA GÖTALANDS LÄN</t>
        </is>
      </c>
      <c r="G41" t="inlineStr">
        <is>
          <t>KARLSBORG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46304</v>
      </c>
      <c r="F42" t="inlineStr">
        <is>
          <t>VÄSTRA GÖTALANDS LÄN</t>
        </is>
      </c>
      <c r="G42" t="inlineStr">
        <is>
          <t>KARLSBORG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45524</v>
      </c>
      <c r="E43" s="1" t="n">
        <v>46304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45524</v>
      </c>
      <c r="E44" s="1" t="n">
        <v>46304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46304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45160</v>
      </c>
      <c r="E46" s="1" t="n">
        <v>46304</v>
      </c>
      <c r="F46" t="inlineStr">
        <is>
          <t>VÄSTRA GÖTALANDS LÄN</t>
        </is>
      </c>
      <c r="G46" t="inlineStr">
        <is>
          <t>KARLSBORG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70945-2021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46304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42757-2024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46304</v>
      </c>
      <c r="F48" t="inlineStr">
        <is>
          <t>VÄSTRA GÖTALANDS LÄN</t>
        </is>
      </c>
      <c r="G48" t="inlineStr">
        <is>
          <t>KARLSBORG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57454-2024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45630</v>
      </c>
      <c r="E49" s="1" t="n">
        <v>46304</v>
      </c>
      <c r="F49" t="inlineStr">
        <is>
          <t>VÄSTRA GÖTALANDS LÄN</t>
        </is>
      </c>
      <c r="G49" t="inlineStr">
        <is>
          <t>KARLSBORG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46304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46304</v>
      </c>
      <c r="F51" t="inlineStr">
        <is>
          <t>VÄSTRA GÖTALANDS LÄN</t>
        </is>
      </c>
      <c r="G51" t="inlineStr">
        <is>
          <t>KARLSBORG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46304</v>
      </c>
      <c r="F52" t="inlineStr">
        <is>
          <t>VÄSTRA GÖTALANDS LÄN</t>
        </is>
      </c>
      <c r="G52" t="inlineStr">
        <is>
          <t>KARLSBORG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46304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46304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46304</v>
      </c>
      <c r="F55" t="inlineStr">
        <is>
          <t>VÄSTRA GÖTALANDS LÄN</t>
        </is>
      </c>
      <c r="G55" t="inlineStr">
        <is>
          <t>KARLSBORG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46304</v>
      </c>
      <c r="F56" t="inlineStr">
        <is>
          <t>VÄSTRA GÖTALANDS LÄN</t>
        </is>
      </c>
      <c r="G56" t="inlineStr">
        <is>
          <t>KARLSBORG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28528-2024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46304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46304</v>
      </c>
      <c r="F58" t="inlineStr">
        <is>
          <t>VÄSTRA GÖTALANDS LÄN</t>
        </is>
      </c>
      <c r="G58" t="inlineStr">
        <is>
          <t>KARLSBORG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45183</v>
      </c>
      <c r="E59" s="1" t="n">
        <v>46304</v>
      </c>
      <c r="F59" t="inlineStr">
        <is>
          <t>VÄSTRA GÖTALANDS LÄN</t>
        </is>
      </c>
      <c r="G59" t="inlineStr">
        <is>
          <t>KARLSBORG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46304</v>
      </c>
      <c r="F60" t="inlineStr">
        <is>
          <t>VÄSTRA GÖTALANDS LÄN</t>
        </is>
      </c>
      <c r="G60" t="inlineStr">
        <is>
          <t>KARLSBORG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46304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44494</v>
      </c>
      <c r="E62" s="1" t="n">
        <v>46304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statliga verk och myndigheter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46304</v>
      </c>
      <c r="F63" t="inlineStr">
        <is>
          <t>VÄSTRA GÖTALANDS LÄN</t>
        </is>
      </c>
      <c r="G63" t="inlineStr">
        <is>
          <t>KARLSBORG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13077-2023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46304</v>
      </c>
      <c r="F64" t="inlineStr">
        <is>
          <t>VÄSTRA GÖTALANDS LÄN</t>
        </is>
      </c>
      <c r="G64" t="inlineStr">
        <is>
          <t>KARLSBORG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70783-2021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44537</v>
      </c>
      <c r="E65" s="1" t="n">
        <v>46304</v>
      </c>
      <c r="F65" t="inlineStr">
        <is>
          <t>VÄSTRA GÖTALANDS LÄN</t>
        </is>
      </c>
      <c r="G65" t="inlineStr">
        <is>
          <t>KARLSBORG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59845-2023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45257</v>
      </c>
      <c r="E66" s="1" t="n">
        <v>46304</v>
      </c>
      <c r="F66" t="inlineStr">
        <is>
          <t>VÄSTRA GÖTALANDS LÄN</t>
        </is>
      </c>
      <c r="G66" t="inlineStr">
        <is>
          <t>KARLSBORG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46304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46304</v>
      </c>
      <c r="F68" t="inlineStr">
        <is>
          <t>VÄSTRA GÖTALANDS LÄN</t>
        </is>
      </c>
      <c r="G68" t="inlineStr">
        <is>
          <t>KARLSBORG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46304</v>
      </c>
      <c r="F69" t="inlineStr">
        <is>
          <t>VÄSTRA GÖTALANDS LÄN</t>
        </is>
      </c>
      <c r="G69" t="inlineStr">
        <is>
          <t>KARLSBORG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32128-2025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45835</v>
      </c>
      <c r="E70" s="1" t="n">
        <v>46304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31701-2025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45834</v>
      </c>
      <c r="E71" s="1" t="n">
        <v>46304</v>
      </c>
      <c r="F71" t="inlineStr">
        <is>
          <t>VÄSTRA GÖTALANDS LÄN</t>
        </is>
      </c>
      <c r="G71" t="inlineStr">
        <is>
          <t>KARLSBORG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46304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46304</v>
      </c>
      <c r="F73" t="inlineStr">
        <is>
          <t>VÄSTRA GÖTALANDS LÄN</t>
        </is>
      </c>
      <c r="G73" t="inlineStr">
        <is>
          <t>KARLSBORG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46304</v>
      </c>
      <c r="F74" t="inlineStr">
        <is>
          <t>VÄSTRA GÖTALANDS LÄN</t>
        </is>
      </c>
      <c r="G74" t="inlineStr">
        <is>
          <t>KARLSBORG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46304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46304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46304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45394</v>
      </c>
      <c r="E78" s="1" t="n">
        <v>46304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44906</v>
      </c>
      <c r="E79" s="1" t="n">
        <v>46304</v>
      </c>
      <c r="F79" t="inlineStr">
        <is>
          <t>VÄSTRA GÖTALANDS LÄN</t>
        </is>
      </c>
      <c r="G79" t="inlineStr">
        <is>
          <t>KARLSBORG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45716</v>
      </c>
      <c r="E80" s="1" t="n">
        <v>46304</v>
      </c>
      <c r="F80" t="inlineStr">
        <is>
          <t>VÄSTRA GÖTALANDS LÄN</t>
        </is>
      </c>
      <c r="G80" t="inlineStr">
        <is>
          <t>KARLSBORG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46304</v>
      </c>
      <c r="F81" t="inlineStr">
        <is>
          <t>VÄSTRA GÖTALANDS LÄN</t>
        </is>
      </c>
      <c r="G81" t="inlineStr">
        <is>
          <t>KARLSBORG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46304</v>
      </c>
      <c r="F82" t="inlineStr">
        <is>
          <t>VÄSTRA GÖTALANDS LÄN</t>
        </is>
      </c>
      <c r="G82" t="inlineStr">
        <is>
          <t>KARLSBORG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45862</v>
      </c>
      <c r="E83" s="1" t="n">
        <v>46304</v>
      </c>
      <c r="F83" t="inlineStr">
        <is>
          <t>VÄSTRA GÖTALANDS LÄN</t>
        </is>
      </c>
      <c r="G83" t="inlineStr">
        <is>
          <t>KARLSBORG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46304</v>
      </c>
      <c r="F84" t="inlineStr">
        <is>
          <t>VÄSTRA GÖTALANDS LÄN</t>
        </is>
      </c>
      <c r="G84" t="inlineStr">
        <is>
          <t>KARLSBORG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46304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Aktiebolag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44944</v>
      </c>
      <c r="E86" s="1" t="n">
        <v>46304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45899</v>
      </c>
      <c r="E87" s="1" t="n">
        <v>46304</v>
      </c>
      <c r="F87" t="inlineStr">
        <is>
          <t>VÄSTRA GÖTALANDS LÄN</t>
        </is>
      </c>
      <c r="G87" t="inlineStr">
        <is>
          <t>KARLSBORG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44937</v>
      </c>
      <c r="E88" s="1" t="n">
        <v>46304</v>
      </c>
      <c r="F88" t="inlineStr">
        <is>
          <t>VÄSTRA GÖTALANDS LÄN</t>
        </is>
      </c>
      <c r="G88" t="inlineStr">
        <is>
          <t>KARLSBORG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45883</v>
      </c>
      <c r="E89" s="1" t="n">
        <v>46304</v>
      </c>
      <c r="F89" t="inlineStr">
        <is>
          <t>VÄSTRA GÖTALANDS LÄN</t>
        </is>
      </c>
      <c r="G89" t="inlineStr">
        <is>
          <t>KARLSBORG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46304</v>
      </c>
      <c r="F90" t="inlineStr">
        <is>
          <t>VÄSTRA GÖTALANDS LÄN</t>
        </is>
      </c>
      <c r="G90" t="inlineStr">
        <is>
          <t>KARLSBORG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45614</v>
      </c>
      <c r="E91" s="1" t="n">
        <v>46304</v>
      </c>
      <c r="F91" t="inlineStr">
        <is>
          <t>VÄSTRA GÖTALANDS LÄN</t>
        </is>
      </c>
      <c r="G91" t="inlineStr">
        <is>
          <t>KARLSBORG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45524</v>
      </c>
      <c r="E92" s="1" t="n">
        <v>46304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45176</v>
      </c>
      <c r="E93" s="1" t="n">
        <v>46304</v>
      </c>
      <c r="F93" t="inlineStr">
        <is>
          <t>VÄSTRA GÖTALANDS LÄN</t>
        </is>
      </c>
      <c r="G93" t="inlineStr">
        <is>
          <t>KARLSBORG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46304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Kyrkan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46304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46304</v>
      </c>
      <c r="F96" t="inlineStr">
        <is>
          <t>VÄSTRA GÖTALANDS LÄN</t>
        </is>
      </c>
      <c r="G96" t="inlineStr">
        <is>
          <t>KARLSBORG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46304</v>
      </c>
      <c r="F97" t="inlineStr">
        <is>
          <t>VÄSTRA GÖTALANDS LÄN</t>
        </is>
      </c>
      <c r="G97" t="inlineStr">
        <is>
          <t>KARLSBORG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44944</v>
      </c>
      <c r="E98" s="1" t="n">
        <v>46304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Aktiebolag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46304</v>
      </c>
      <c r="F99" t="inlineStr">
        <is>
          <t>VÄSTRA GÖTALANDS LÄN</t>
        </is>
      </c>
      <c r="G99" t="inlineStr">
        <is>
          <t>KARLSBORG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45470</v>
      </c>
      <c r="E100" s="1" t="n">
        <v>46304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Övriga Aktiebolag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34670-2022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46304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46304</v>
      </c>
      <c r="F102" t="inlineStr">
        <is>
          <t>VÄSTRA GÖTALANDS LÄN</t>
        </is>
      </c>
      <c r="G102" t="inlineStr">
        <is>
          <t>KARLSBORG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46304</v>
      </c>
      <c r="F103" t="inlineStr">
        <is>
          <t>VÄSTRA GÖTALANDS LÄN</t>
        </is>
      </c>
      <c r="G103" t="inlineStr">
        <is>
          <t>KARLSBORG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46304</v>
      </c>
      <c r="F104" t="inlineStr">
        <is>
          <t>VÄSTRA GÖTALANDS LÄN</t>
        </is>
      </c>
      <c r="G104" t="inlineStr">
        <is>
          <t>KARLSBORG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46304</v>
      </c>
      <c r="F105" t="inlineStr">
        <is>
          <t>VÄSTRA GÖTALANDS LÄN</t>
        </is>
      </c>
      <c r="G105" t="inlineStr">
        <is>
          <t>KARLSBORG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46304</v>
      </c>
      <c r="F106" t="inlineStr">
        <is>
          <t>VÄSTRA GÖTALANDS LÄN</t>
        </is>
      </c>
      <c r="G106" t="inlineStr">
        <is>
          <t>KARLSBORG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45942</v>
      </c>
      <c r="E107" s="1" t="n">
        <v>46304</v>
      </c>
      <c r="F107" t="inlineStr">
        <is>
          <t>VÄSTRA GÖTALANDS LÄN</t>
        </is>
      </c>
      <c r="G107" t="inlineStr">
        <is>
          <t>KARLSBORG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46304</v>
      </c>
      <c r="F108" t="inlineStr">
        <is>
          <t>VÄSTRA GÖTALANDS LÄN</t>
        </is>
      </c>
      <c r="G108" t="inlineStr">
        <is>
          <t>KARLSBORG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24594-2022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44727</v>
      </c>
      <c r="E109" s="1" t="n">
        <v>46304</v>
      </c>
      <c r="F109" t="inlineStr">
        <is>
          <t>VÄSTRA GÖTALANDS LÄN</t>
        </is>
      </c>
      <c r="G109" t="inlineStr">
        <is>
          <t>KARLSBORG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45233</v>
      </c>
      <c r="E110" s="1" t="n">
        <v>46304</v>
      </c>
      <c r="F110" t="inlineStr">
        <is>
          <t>VÄSTRA GÖTALANDS LÄN</t>
        </is>
      </c>
      <c r="G110" t="inlineStr">
        <is>
          <t>KARLSBORG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45489</v>
      </c>
      <c r="E111" s="1" t="n">
        <v>46304</v>
      </c>
      <c r="F111" t="inlineStr">
        <is>
          <t>VÄSTRA GÖTALANDS LÄN</t>
        </is>
      </c>
      <c r="G111" t="inlineStr">
        <is>
          <t>KARLSBORG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45742</v>
      </c>
      <c r="E112" s="1" t="n">
        <v>46304</v>
      </c>
      <c r="F112" t="inlineStr">
        <is>
          <t>VÄSTRA GÖTALANDS LÄN</t>
        </is>
      </c>
      <c r="G112" t="inlineStr">
        <is>
          <t>KARLSBORG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65313-2021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44515</v>
      </c>
      <c r="E113" s="1" t="n">
        <v>46304</v>
      </c>
      <c r="F113" t="inlineStr">
        <is>
          <t>VÄSTRA GÖTALANDS LÄN</t>
        </is>
      </c>
      <c r="G113" t="inlineStr">
        <is>
          <t>KARLSBORG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46304</v>
      </c>
      <c r="F114" t="inlineStr">
        <is>
          <t>VÄSTRA GÖTALANDS LÄN</t>
        </is>
      </c>
      <c r="G114" t="inlineStr">
        <is>
          <t>KARLSBORG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46304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46304</v>
      </c>
      <c r="F116" t="inlineStr">
        <is>
          <t>VÄSTRA GÖTALANDS LÄN</t>
        </is>
      </c>
      <c r="G116" t="inlineStr">
        <is>
          <t>KARLSBORG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46304</v>
      </c>
      <c r="F117" t="inlineStr">
        <is>
          <t>VÄSTRA GÖTALANDS LÄN</t>
        </is>
      </c>
      <c r="G117" t="inlineStr">
        <is>
          <t>KARLSBORG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46304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46304</v>
      </c>
      <c r="F119" t="inlineStr">
        <is>
          <t>VÄSTRA GÖTALANDS LÄN</t>
        </is>
      </c>
      <c r="G119" t="inlineStr">
        <is>
          <t>KARLSBORG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57915-2024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45631</v>
      </c>
      <c r="E120" s="1" t="n">
        <v>46304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46304</v>
      </c>
      <c r="F121" t="inlineStr">
        <is>
          <t>VÄSTRA GÖTALANDS LÄN</t>
        </is>
      </c>
      <c r="G121" t="inlineStr">
        <is>
          <t>KARLSBORG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45988</v>
      </c>
      <c r="E122" s="1" t="n">
        <v>46304</v>
      </c>
      <c r="F122" t="inlineStr">
        <is>
          <t>VÄSTRA GÖTALANDS LÄN</t>
        </is>
      </c>
      <c r="G122" t="inlineStr">
        <is>
          <t>KARLSBORG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46304</v>
      </c>
      <c r="F123" t="inlineStr">
        <is>
          <t>VÄSTRA GÖTALANDS LÄN</t>
        </is>
      </c>
      <c r="G123" t="inlineStr">
        <is>
          <t>KARLSBORG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46304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46304</v>
      </c>
      <c r="F125" t="inlineStr">
        <is>
          <t>VÄSTRA GÖTALANDS LÄN</t>
        </is>
      </c>
      <c r="G125" t="inlineStr">
        <is>
          <t>KARLSBORG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44906</v>
      </c>
      <c r="E126" s="1" t="n">
        <v>46304</v>
      </c>
      <c r="F126" t="inlineStr">
        <is>
          <t>VÄSTRA GÖTALANDS LÄN</t>
        </is>
      </c>
      <c r="G126" t="inlineStr">
        <is>
          <t>KARLSBORG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46304</v>
      </c>
      <c r="F127" t="inlineStr">
        <is>
          <t>VÄSTRA GÖTALANDS LÄN</t>
        </is>
      </c>
      <c r="G127" t="inlineStr">
        <is>
          <t>KARLSBORG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46304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46304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45755</v>
      </c>
      <c r="E130" s="1" t="n">
        <v>46304</v>
      </c>
      <c r="F130" t="inlineStr">
        <is>
          <t>VÄSTRA GÖTALANDS LÄN</t>
        </is>
      </c>
      <c r="G130" t="inlineStr">
        <is>
          <t>KARLSBORG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45933</v>
      </c>
      <c r="E131" s="1" t="n">
        <v>46304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44785</v>
      </c>
      <c r="E132" s="1" t="n">
        <v>46304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35441-2024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45531</v>
      </c>
      <c r="E133" s="1" t="n">
        <v>46304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9.800000000000001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46021</v>
      </c>
      <c r="E134" s="1" t="n">
        <v>46304</v>
      </c>
      <c r="F134" t="inlineStr">
        <is>
          <t>VÄSTRA GÖTALANDS LÄN</t>
        </is>
      </c>
      <c r="G134" t="inlineStr">
        <is>
          <t>KARLSBORG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46304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46304</v>
      </c>
      <c r="F136" t="inlineStr">
        <is>
          <t>VÄSTRA GÖTALANDS LÄN</t>
        </is>
      </c>
      <c r="G136" t="inlineStr">
        <is>
          <t>KARLSBORG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46304</v>
      </c>
      <c r="F137" t="inlineStr">
        <is>
          <t>VÄSTRA GÖTALANDS LÄN</t>
        </is>
      </c>
      <c r="G137" t="inlineStr">
        <is>
          <t>KARLSBORG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44972</v>
      </c>
      <c r="E138" s="1" t="n">
        <v>46304</v>
      </c>
      <c r="F138" t="inlineStr">
        <is>
          <t>VÄSTRA GÖTALANDS LÄN</t>
        </is>
      </c>
      <c r="G138" t="inlineStr">
        <is>
          <t>KARLSBORG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23500-2023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45076</v>
      </c>
      <c r="E139" s="1" t="n">
        <v>46304</v>
      </c>
      <c r="F139" t="inlineStr">
        <is>
          <t>VÄSTRA GÖTALANDS LÄN</t>
        </is>
      </c>
      <c r="G139" t="inlineStr">
        <is>
          <t>KARLSBORG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46304</v>
      </c>
      <c r="F140" t="inlineStr">
        <is>
          <t>VÄSTRA GÖTALANDS LÄN</t>
        </is>
      </c>
      <c r="G140" t="inlineStr">
        <is>
          <t>KARLSBORG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46304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46304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14.3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46304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6035-2026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46304</v>
      </c>
      <c r="F144" t="inlineStr">
        <is>
          <t>VÄSTRA GÖTALANDS LÄN</t>
        </is>
      </c>
      <c r="G144" t="inlineStr">
        <is>
          <t>KARLSBORG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46304</v>
      </c>
      <c r="F145" t="inlineStr">
        <is>
          <t>VÄSTRA GÖTALANDS LÄN</t>
        </is>
      </c>
      <c r="G145" t="inlineStr">
        <is>
          <t>KARLSBORG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58533-2023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46304</v>
      </c>
      <c r="F146" t="inlineStr">
        <is>
          <t>VÄSTRA GÖTALANDS LÄN</t>
        </is>
      </c>
      <c r="G146" t="inlineStr">
        <is>
          <t>KARLSBORG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58152-2022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46304</v>
      </c>
      <c r="F147" t="inlineStr">
        <is>
          <t>VÄSTRA GÖTALANDS LÄN</t>
        </is>
      </c>
      <c r="G147" t="inlineStr">
        <is>
          <t>KARLSBORG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46304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statliga verk och myndigheter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46304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statliga verk och myndigheter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46010</v>
      </c>
      <c r="E150" s="1" t="n">
        <v>46304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statliga verk och myndigheter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46304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7644-2026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46062</v>
      </c>
      <c r="E152" s="1" t="n">
        <v>46304</v>
      </c>
      <c r="F152" t="inlineStr">
        <is>
          <t>VÄSTRA GÖTALANDS LÄN</t>
        </is>
      </c>
      <c r="G152" t="inlineStr">
        <is>
          <t>KARLSBORG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46304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29357-2024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45483</v>
      </c>
      <c r="E154" s="1" t="n">
        <v>46304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46304</v>
      </c>
      <c r="F155" t="inlineStr">
        <is>
          <t>VÄSTRA GÖTALANDS LÄN</t>
        </is>
      </c>
      <c r="G155" t="inlineStr">
        <is>
          <t>KARLSBORG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10007-2025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46304</v>
      </c>
      <c r="F156" t="inlineStr">
        <is>
          <t>VÄSTRA GÖTALANDS LÄN</t>
        </is>
      </c>
      <c r="G156" t="inlineStr">
        <is>
          <t>KARLSBORG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46304</v>
      </c>
      <c r="F157" t="inlineStr">
        <is>
          <t>VÄSTRA GÖTALANDS LÄN</t>
        </is>
      </c>
      <c r="G157" t="inlineStr">
        <is>
          <t>KARLSBORG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46079</v>
      </c>
      <c r="E158" s="1" t="n">
        <v>46304</v>
      </c>
      <c r="F158" t="inlineStr">
        <is>
          <t>VÄSTRA GÖTALANDS LÄN</t>
        </is>
      </c>
      <c r="G158" t="inlineStr">
        <is>
          <t>KARLSBORG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44929</v>
      </c>
      <c r="E159" s="1" t="n">
        <v>46304</v>
      </c>
      <c r="F159" t="inlineStr">
        <is>
          <t>VÄSTRA GÖTALANDS LÄN</t>
        </is>
      </c>
      <c r="G159" t="inlineStr">
        <is>
          <t>KARLSBORG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  <c r="X159">
        <f>HYPERLINK("https://klasma.github.io/Logging_1446/kartor/A 412-2023 karta.png", "A 412-2023")</f>
        <v/>
      </c>
      <c r="Y159">
        <f>HYPERLINK("https://klasma.github.io/Logging_1446/kartor_geotiff/A 412-2023 georefererad karta.tif", "A 412-2023")</f>
        <v/>
      </c>
      <c r="AA159">
        <f>HYPERLINK("https://klasma.github.io/Logging_1446/klagomål/A 412-2023 FSC-klagomål.docx", "A 412-2023")</f>
        <v/>
      </c>
      <c r="AB159">
        <f>HYPERLINK("https://klasma.github.io/Logging_1446/klagomålsmail/A 412-2023 FSC-klagomål mail.docx", "A 412-2023")</f>
        <v/>
      </c>
      <c r="AC159">
        <f>HYPERLINK("https://klasma.github.io/Logging_1446/tillsyn/A 412-2023 tillsynsbegäran.docx", "A 412-2023")</f>
        <v/>
      </c>
      <c r="AD159">
        <f>HYPERLINK("https://klasma.github.io/Logging_1446/tillsynsmail/A 412-2023 tillsynsbegäran mail.docx", "A 412-2023")</f>
        <v/>
      </c>
    </row>
    <row r="160" ht="15" customHeight="1">
      <c r="A160" t="inlineStr">
        <is>
          <t>A 21014-2026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46143</v>
      </c>
      <c r="E160" s="1" t="n">
        <v>46304</v>
      </c>
      <c r="F160" t="inlineStr">
        <is>
          <t>VÄSTRA GÖTALANDS LÄN</t>
        </is>
      </c>
      <c r="G160" t="inlineStr">
        <is>
          <t>KARLSBORG</t>
        </is>
      </c>
      <c r="I160" t="n">
        <v>14.6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46304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29685-2022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44755</v>
      </c>
      <c r="E162" s="1" t="n">
        <v>46304</v>
      </c>
      <c r="F162" t="inlineStr">
        <is>
          <t>VÄSTRA GÖTALANDS LÄN</t>
        </is>
      </c>
      <c r="G162" t="inlineStr">
        <is>
          <t>KARLSBORG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46304</v>
      </c>
      <c r="F163" t="inlineStr">
        <is>
          <t>VÄSTRA GÖTALANDS LÄN</t>
        </is>
      </c>
      <c r="G163" t="inlineStr">
        <is>
          <t>KARLSBORG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46304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46304</v>
      </c>
      <c r="F165" t="inlineStr">
        <is>
          <t>VÄSTRA GÖTALANDS LÄN</t>
        </is>
      </c>
      <c r="G165" t="inlineStr">
        <is>
          <t>KARLSBORG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61211-2022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44908</v>
      </c>
      <c r="E166" s="1" t="n">
        <v>46304</v>
      </c>
      <c r="F166" t="inlineStr">
        <is>
          <t>VÄSTRA GÖTALANDS LÄN</t>
        </is>
      </c>
      <c r="G166" t="inlineStr">
        <is>
          <t>KARLSBORG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57913-2024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45631</v>
      </c>
      <c r="E167" s="1" t="n">
        <v>46304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46304</v>
      </c>
      <c r="F168" t="inlineStr">
        <is>
          <t>VÄSTRA GÖTALANDS LÄN</t>
        </is>
      </c>
      <c r="G168" t="inlineStr">
        <is>
          <t>KARLSBORG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46304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58129-2024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45632</v>
      </c>
      <c r="E170" s="1" t="n">
        <v>46304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24541-2026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46170</v>
      </c>
      <c r="E171" s="1" t="n">
        <v>46304</v>
      </c>
      <c r="F171" t="inlineStr">
        <is>
          <t>VÄSTRA GÖTALANDS LÄN</t>
        </is>
      </c>
      <c r="G171" t="inlineStr">
        <is>
          <t>KARLSBORG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45394</v>
      </c>
      <c r="E172" s="1" t="n">
        <v>46304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46304</v>
      </c>
      <c r="F173" t="inlineStr">
        <is>
          <t>VÄSTRA GÖTALANDS LÄN</t>
        </is>
      </c>
      <c r="G173" t="inlineStr">
        <is>
          <t>KARLSBORG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46304</v>
      </c>
      <c r="F174" t="inlineStr">
        <is>
          <t>VÄSTRA GÖTALANDS LÄN</t>
        </is>
      </c>
      <c r="G174" t="inlineStr">
        <is>
          <t>KARLSBORG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46304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46304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46304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59890-2021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46304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statliga verk och myndigheter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44906</v>
      </c>
      <c r="E179" s="1" t="n">
        <v>46304</v>
      </c>
      <c r="F179" t="inlineStr">
        <is>
          <t>VÄSTRA GÖTALANDS LÄN</t>
        </is>
      </c>
      <c r="G179" t="inlineStr">
        <is>
          <t>KARLSBORG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69341-2021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46304</v>
      </c>
      <c r="F180" t="inlineStr">
        <is>
          <t>VÄSTRA GÖTALANDS LÄN</t>
        </is>
      </c>
      <c r="G180" t="inlineStr">
        <is>
          <t>KARLSBORG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45089</v>
      </c>
      <c r="E181" s="1" t="n">
        <v>46304</v>
      </c>
      <c r="F181" t="inlineStr">
        <is>
          <t>VÄSTRA GÖTALANDS LÄN</t>
        </is>
      </c>
      <c r="G181" t="inlineStr">
        <is>
          <t>KARLSBORG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46304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Aktiebolag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15396-2024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45401</v>
      </c>
      <c r="E183" s="1" t="n">
        <v>46304</v>
      </c>
      <c r="F183" t="inlineStr">
        <is>
          <t>VÄSTRA GÖTALANDS LÄN</t>
        </is>
      </c>
      <c r="G183" t="inlineStr">
        <is>
          <t>KARLSBORG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46304</v>
      </c>
      <c r="F184" t="inlineStr">
        <is>
          <t>VÄSTRA GÖTALANDS LÄN</t>
        </is>
      </c>
      <c r="G184" t="inlineStr">
        <is>
          <t>KARLSBORG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59877-2021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44494</v>
      </c>
      <c r="E185" s="1" t="n">
        <v>46304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statliga verk och myndigheter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46160</v>
      </c>
      <c r="E186" s="1" t="n">
        <v>46304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30610-2026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46304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46304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46304</v>
      </c>
      <c r="F189" t="inlineStr">
        <is>
          <t>VÄSTRA GÖTALANDS LÄN</t>
        </is>
      </c>
      <c r="G189" t="inlineStr">
        <is>
          <t>KARLSBORG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46304</v>
      </c>
      <c r="F190" t="inlineStr">
        <is>
          <t>VÄSTRA GÖTALANDS LÄN</t>
        </is>
      </c>
      <c r="G190" t="inlineStr">
        <is>
          <t>KARLSBORG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45019-2024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45575</v>
      </c>
      <c r="E191" s="1" t="n">
        <v>46304</v>
      </c>
      <c r="F191" t="inlineStr">
        <is>
          <t>VÄSTRA GÖTALANDS LÄN</t>
        </is>
      </c>
      <c r="G191" t="inlineStr">
        <is>
          <t>KARLSBORG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24008-2023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45078</v>
      </c>
      <c r="E192" s="1" t="n">
        <v>46304</v>
      </c>
      <c r="F192" t="inlineStr">
        <is>
          <t>VÄSTRA GÖTALANDS LÄN</t>
        </is>
      </c>
      <c r="G192" t="inlineStr">
        <is>
          <t>KARLSBORG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46304</v>
      </c>
      <c r="F193" t="inlineStr">
        <is>
          <t>VÄSTRA GÖTALANDS LÄN</t>
        </is>
      </c>
      <c r="G193" t="inlineStr">
        <is>
          <t>KARLSBORG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46304</v>
      </c>
      <c r="F194" t="inlineStr">
        <is>
          <t>VÄSTRA GÖTALANDS LÄN</t>
        </is>
      </c>
      <c r="G194" t="inlineStr">
        <is>
          <t>KARLSBORG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44809</v>
      </c>
      <c r="E195" s="1" t="n">
        <v>46304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46304</v>
      </c>
      <c r="F196" t="inlineStr">
        <is>
          <t>VÄSTRA GÖTALANDS LÄN</t>
        </is>
      </c>
      <c r="G196" t="inlineStr">
        <is>
          <t>KARLSBORG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44939</v>
      </c>
      <c r="E197" s="1" t="n">
        <v>46304</v>
      </c>
      <c r="F197" t="inlineStr">
        <is>
          <t>VÄSTRA GÖTALANDS LÄN</t>
        </is>
      </c>
      <c r="G197" t="inlineStr">
        <is>
          <t>KARLSBORG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46230</v>
      </c>
      <c r="E198" s="1" t="n">
        <v>46304</v>
      </c>
      <c r="F198" t="inlineStr">
        <is>
          <t>VÄSTRA GÖTALANDS LÄN</t>
        </is>
      </c>
      <c r="G198" t="inlineStr">
        <is>
          <t>KARLSBORG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42598-2024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45565</v>
      </c>
      <c r="E199" s="1" t="n">
        <v>46304</v>
      </c>
      <c r="F199" t="inlineStr">
        <is>
          <t>VÄSTRA GÖTALANDS LÄN</t>
        </is>
      </c>
      <c r="G199" t="inlineStr">
        <is>
          <t>KARLSBORG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40128-2023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45169</v>
      </c>
      <c r="E200" s="1" t="n">
        <v>46304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Övriga Aktiebolag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46276</v>
      </c>
      <c r="E201" s="1" t="n">
        <v>46304</v>
      </c>
      <c r="F201" t="inlineStr">
        <is>
          <t>VÄSTRA GÖTALANDS LÄN</t>
        </is>
      </c>
      <c r="G201" t="inlineStr">
        <is>
          <t>KARLSBORG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45566</v>
      </c>
      <c r="E202" s="1" t="n">
        <v>46304</v>
      </c>
      <c r="F202" t="inlineStr">
        <is>
          <t>VÄSTRA GÖTALANDS LÄN</t>
        </is>
      </c>
      <c r="G202" t="inlineStr">
        <is>
          <t>KARLSBORG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44664</v>
      </c>
      <c r="E203" s="1" t="n">
        <v>46304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Aktiebolag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46304</v>
      </c>
      <c r="F204" t="inlineStr">
        <is>
          <t>VÄSTRA GÖTALANDS LÄN</t>
        </is>
      </c>
      <c r="G204" t="inlineStr">
        <is>
          <t>KARLSBORG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46304</v>
      </c>
      <c r="F205" t="inlineStr">
        <is>
          <t>VÄSTRA GÖTALANDS LÄN</t>
        </is>
      </c>
      <c r="G205" t="inlineStr">
        <is>
          <t>KARLSBORG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45786</v>
      </c>
      <c r="E206" s="1" t="n">
        <v>46304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45789</v>
      </c>
      <c r="E207" s="1" t="n">
        <v>46304</v>
      </c>
      <c r="F207" t="inlineStr">
        <is>
          <t>VÄSTRA GÖTALANDS LÄN</t>
        </is>
      </c>
      <c r="G207" t="inlineStr">
        <is>
          <t>KARLSBORG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45721</v>
      </c>
      <c r="E208" s="1" t="n">
        <v>46304</v>
      </c>
      <c r="F208" t="inlineStr">
        <is>
          <t>VÄSTRA GÖTALANDS LÄN</t>
        </is>
      </c>
      <c r="G208" t="inlineStr">
        <is>
          <t>KARLSBORG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46304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46304</v>
      </c>
      <c r="F210" t="inlineStr">
        <is>
          <t>VÄSTRA GÖTALANDS LÄN</t>
        </is>
      </c>
      <c r="G210" t="inlineStr">
        <is>
          <t>KARLSBORG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46304</v>
      </c>
      <c r="F211" t="inlineStr">
        <is>
          <t>VÄSTRA GÖTALANDS LÄN</t>
        </is>
      </c>
      <c r="G211" t="inlineStr">
        <is>
          <t>KARLSBORG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46288</v>
      </c>
      <c r="E212" s="1" t="n">
        <v>46304</v>
      </c>
      <c r="F212" t="inlineStr">
        <is>
          <t>VÄSTRA GÖTALANDS LÄN</t>
        </is>
      </c>
      <c r="G212" t="inlineStr">
        <is>
          <t>KARLSBORG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46304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46304</v>
      </c>
      <c r="F214" t="inlineStr">
        <is>
          <t>VÄSTRA GÖTALANDS LÄN</t>
        </is>
      </c>
      <c r="G214" t="inlineStr">
        <is>
          <t>KARLSBORG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46304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46300</v>
      </c>
      <c r="E216" s="1" t="n">
        <v>46304</v>
      </c>
      <c r="F216" t="inlineStr">
        <is>
          <t>VÄSTRA GÖTALANDS LÄN</t>
        </is>
      </c>
      <c r="G216" t="inlineStr">
        <is>
          <t>KARLSBORG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46304</v>
      </c>
      <c r="F217" t="inlineStr">
        <is>
          <t>VÄSTRA GÖTALANDS LÄN</t>
        </is>
      </c>
      <c r="G217" t="inlineStr">
        <is>
          <t>KARLSBORG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46304</v>
      </c>
      <c r="F218" t="inlineStr">
        <is>
          <t>VÄSTRA GÖTALANDS LÄN</t>
        </is>
      </c>
      <c r="G218" t="inlineStr">
        <is>
          <t>KARLSBORG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46300</v>
      </c>
      <c r="E219" s="1" t="n">
        <v>46304</v>
      </c>
      <c r="F219" t="inlineStr">
        <is>
          <t>VÄSTRA GÖTALANDS LÄN</t>
        </is>
      </c>
      <c r="G219" t="inlineStr">
        <is>
          <t>KARLSBORG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46302</v>
      </c>
      <c r="E220" s="1" t="n">
        <v>46304</v>
      </c>
      <c r="F220" t="inlineStr">
        <is>
          <t>VÄSTRA GÖTALANDS LÄN</t>
        </is>
      </c>
      <c r="G220" t="inlineStr">
        <is>
          <t>KARLSBORG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46260</v>
      </c>
      <c r="E221" s="1" t="n">
        <v>46304</v>
      </c>
      <c r="F221" t="inlineStr">
        <is>
          <t>VÄSTRA GÖTALANDS LÄN</t>
        </is>
      </c>
      <c r="G221" t="inlineStr">
        <is>
          <t>KARLSBORG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46304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46304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2026-10-09T02:08:39Z</dcterms:created>
  <dcterms:modified xmlns:dcterms="http://purl.org/dc/terms/" xmlns:xsi="http://www.w3.org/2001/XMLSchema-instance" xsi:type="dcterms:W3CDTF">2026-10-09T02:08:40Z</dcterms:modified>
</cp:coreProperties>
</file>