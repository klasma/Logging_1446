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46292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46292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46292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46292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46292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46292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46292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46292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46292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46292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4448-2026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46045</v>
      </c>
      <c r="E15" s="1" t="n">
        <v>46292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Övriga Aktiebolag</t>
        </is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HYPERLINK("https://klasma.github.io/Logging_1446/artfynd/A 4448-2026 artfynd.xlsx", "A 4448-2026")</f>
        <v/>
      </c>
      <c r="X15">
        <f>HYPERLINK("https://klasma.github.io/Logging_1446/kartor/A 4448-2026 karta.png", "A 4448-2026")</f>
        <v/>
      </c>
      <c r="Y15">
        <f>HYPERLINK("https://klasma.github.io/Logging_1446/kartor_geotiff/A 4448-2026 georefererad karta.tif", "A 4448-2026")</f>
        <v/>
      </c>
      <c r="AA15">
        <f>HYPERLINK("https://klasma.github.io/Logging_1446/klagomål/A 4448-2026 FSC-klagomål.docx", "A 4448-2026")</f>
        <v/>
      </c>
      <c r="AB15">
        <f>HYPERLINK("https://klasma.github.io/Logging_1446/klagomålsmail/A 4448-2026 FSC-klagomål mail.docx", "A 4448-2026")</f>
        <v/>
      </c>
      <c r="AC15">
        <f>HYPERLINK("https://klasma.github.io/Logging_1446/tillsyn/A 4448-2026 tillsynsbegäran.docx", "A 4448-2026")</f>
        <v/>
      </c>
      <c r="AD15">
        <f>HYPERLINK("https://klasma.github.io/Logging_1446/tillsynsmail/A 4448-2026 tillsynsbegäran mail.docx", "A 4448-2026")</f>
        <v/>
      </c>
    </row>
    <row r="16" ht="15" customHeight="1">
      <c r="A16" t="inlineStr">
        <is>
          <t>A 23268-2022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44720</v>
      </c>
      <c r="E16" s="1" t="n">
        <v>46292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snok</t>
        </is>
      </c>
      <c r="W16">
        <f>HYPERLINK("https://klasma.github.io/Logging_1446/artfynd/A 23268-2022 artfynd.xlsx", "A 23268-2022")</f>
        <v/>
      </c>
      <c r="X16">
        <f>HYPERLINK("https://klasma.github.io/Logging_1446/kartor/A 23268-2022 karta.png", "A 23268-2022")</f>
        <v/>
      </c>
      <c r="Y16">
        <f>HYPERLINK("https://klasma.github.io/Logging_1446/kartor_geotiff/A 23268-2022 georefererad karta.tif", "A 23268-2022")</f>
        <v/>
      </c>
      <c r="AA16">
        <f>HYPERLINK("https://klasma.github.io/Logging_1446/klagomål/A 23268-2022 FSC-klagomål.docx", "A 23268-2022")</f>
        <v/>
      </c>
      <c r="AB16">
        <f>HYPERLINK("https://klasma.github.io/Logging_1446/klagomålsmail/A 23268-2022 FSC-klagomål mail.docx", "A 23268-2022")</f>
        <v/>
      </c>
      <c r="AC16">
        <f>HYPERLINK("https://klasma.github.io/Logging_1446/tillsyn/A 23268-2022 tillsynsbegäran.docx", "A 23268-2022")</f>
        <v/>
      </c>
      <c r="AD16">
        <f>HYPERLINK("https://klasma.github.io/Logging_1446/tillsynsmail/A 23268-2022 tillsynsbegäran mail.docx", "A 23268-2022")</f>
        <v/>
      </c>
    </row>
    <row r="17" ht="15" customHeight="1">
      <c r="A17" t="inlineStr">
        <is>
          <t>A 18567-2026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46127</v>
      </c>
      <c r="E17" s="1" t="n">
        <v>46292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2.6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18567-2026 artfynd.xlsx", "A 18567-2026")</f>
        <v/>
      </c>
      <c r="X17">
        <f>HYPERLINK("https://klasma.github.io/Logging_1446/kartor/A 18567-2026 karta.png", "A 18567-2026")</f>
        <v/>
      </c>
      <c r="Y17">
        <f>HYPERLINK("https://klasma.github.io/Logging_1446/kartor_geotiff/A 18567-2026 georefererad karta.tif", "A 18567-2026")</f>
        <v/>
      </c>
      <c r="AA17">
        <f>HYPERLINK("https://klasma.github.io/Logging_1446/klagomål/A 18567-2026 FSC-klagomål.docx", "A 18567-2026")</f>
        <v/>
      </c>
      <c r="AB17">
        <f>HYPERLINK("https://klasma.github.io/Logging_1446/klagomålsmail/A 18567-2026 FSC-klagomål mail.docx", "A 18567-2026")</f>
        <v/>
      </c>
      <c r="AC17">
        <f>HYPERLINK("https://klasma.github.io/Logging_1446/tillsyn/A 18567-2026 tillsynsbegäran.docx", "A 18567-2026")</f>
        <v/>
      </c>
      <c r="AD17">
        <f>HYPERLINK("https://klasma.github.io/Logging_1446/tillsynsmail/A 18567-2026 tillsynsbegäran mail.docx", "A 18567-2026")</f>
        <v/>
      </c>
    </row>
    <row r="18" ht="15" customHeight="1">
      <c r="A18" t="inlineStr">
        <is>
          <t>A 29484-2025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46292</v>
      </c>
      <c r="F18" t="inlineStr">
        <is>
          <t>VÄSTRA GÖTALANDS LÄN</t>
        </is>
      </c>
      <c r="G18" t="inlineStr">
        <is>
          <t>KARLSBORG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Blåsippa</t>
        </is>
      </c>
      <c r="W18">
        <f>HYPERLINK("https://klasma.github.io/Logging_1446/artfynd/A 29484-2025 artfynd.xlsx", "A 29484-2025")</f>
        <v/>
      </c>
      <c r="X18">
        <f>HYPERLINK("https://klasma.github.io/Logging_1446/kartor/A 29484-2025 karta.png", "A 29484-2025")</f>
        <v/>
      </c>
      <c r="Y18">
        <f>HYPERLINK("https://klasma.github.io/Logging_1446/kartor_geotiff/A 29484-2025 georefererad karta.tif", "A 29484-2025")</f>
        <v/>
      </c>
      <c r="AA18">
        <f>HYPERLINK("https://klasma.github.io/Logging_1446/klagomål/A 29484-2025 FSC-klagomål.docx", "A 29484-2025")</f>
        <v/>
      </c>
      <c r="AB18">
        <f>HYPERLINK("https://klasma.github.io/Logging_1446/klagomålsmail/A 29484-2025 FSC-klagomål mail.docx", "A 29484-2025")</f>
        <v/>
      </c>
      <c r="AC18">
        <f>HYPERLINK("https://klasma.github.io/Logging_1446/tillsyn/A 29484-2025 tillsynsbegäran.docx", "A 29484-2025")</f>
        <v/>
      </c>
      <c r="AD18">
        <f>HYPERLINK("https://klasma.github.io/Logging_1446/tillsynsmail/A 29484-2025 tillsynsbegäran mail.docx", "A 29484-2025")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46292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46292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46292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42778-2024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45566</v>
      </c>
      <c r="E22" s="1" t="n">
        <v>46292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HYPERLINK("https://klasma.github.io/Logging_1446/artfynd/A 42778-2024 artfynd.xlsx", "A 42778-2024")</f>
        <v/>
      </c>
      <c r="X22">
        <f>HYPERLINK("https://klasma.github.io/Logging_1446/kartor/A 42778-2024 karta.png", "A 42778-2024")</f>
        <v/>
      </c>
      <c r="Y22">
        <f>HYPERLINK("https://klasma.github.io/Logging_1446/kartor_geotiff/A 42778-2024 georefererad karta.tif", "A 42778-2024")</f>
        <v/>
      </c>
      <c r="AA22">
        <f>HYPERLINK("https://klasma.github.io/Logging_1446/klagomål/A 42778-2024 FSC-klagomål.docx", "A 42778-2024")</f>
        <v/>
      </c>
      <c r="AB22">
        <f>HYPERLINK("https://klasma.github.io/Logging_1446/klagomålsmail/A 42778-2024 FSC-klagomål mail.docx", "A 42778-2024")</f>
        <v/>
      </c>
      <c r="AC22">
        <f>HYPERLINK("https://klasma.github.io/Logging_1446/tillsyn/A 42778-2024 tillsynsbegäran.docx", "A 42778-2024")</f>
        <v/>
      </c>
      <c r="AD22">
        <f>HYPERLINK("https://klasma.github.io/Logging_1446/tillsynsmail/A 42778-2024 tillsynsbegäran mail.docx", "A 42778-2024")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46292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46292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46292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46292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46292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46292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46292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46292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46292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46292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46292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46292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46292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46292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46292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46292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46292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46292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46292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46292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46292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45090</v>
      </c>
      <c r="E45" s="1" t="n">
        <v>46292</v>
      </c>
      <c r="F45" t="inlineStr">
        <is>
          <t>VÄSTRA GÖTALANDS LÄN</t>
        </is>
      </c>
      <c r="G45" t="inlineStr">
        <is>
          <t>KARLSBORG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46292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45243</v>
      </c>
      <c r="E47" s="1" t="n">
        <v>46292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46292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46292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45251</v>
      </c>
      <c r="E50" s="1" t="n">
        <v>46292</v>
      </c>
      <c r="F50" t="inlineStr">
        <is>
          <t>VÄSTRA GÖTALANDS LÄN</t>
        </is>
      </c>
      <c r="G50" t="inlineStr">
        <is>
          <t>KARLSBORG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46292</v>
      </c>
      <c r="F51" t="inlineStr">
        <is>
          <t>VÄSTRA GÖTALANDS LÄN</t>
        </is>
      </c>
      <c r="G51" t="inlineStr">
        <is>
          <t>KARLSBORG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46292</v>
      </c>
      <c r="F52" t="inlineStr">
        <is>
          <t>VÄSTRA GÖTALANDS LÄN</t>
        </is>
      </c>
      <c r="G52" t="inlineStr">
        <is>
          <t>KARLSBORG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46292</v>
      </c>
      <c r="F53" t="inlineStr">
        <is>
          <t>VÄSTRA GÖTALANDS LÄN</t>
        </is>
      </c>
      <c r="G53" t="inlineStr">
        <is>
          <t>KARLSBORG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45470</v>
      </c>
      <c r="E54" s="1" t="n">
        <v>46292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46292</v>
      </c>
      <c r="F55" t="inlineStr">
        <is>
          <t>VÄSTRA GÖTALANDS LÄN</t>
        </is>
      </c>
      <c r="G55" t="inlineStr">
        <is>
          <t>KARLSBORG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46292</v>
      </c>
      <c r="F56" t="inlineStr">
        <is>
          <t>VÄSTRA GÖTALANDS LÄN</t>
        </is>
      </c>
      <c r="G56" t="inlineStr">
        <is>
          <t>KARLSBORG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46292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45527</v>
      </c>
      <c r="E58" s="1" t="n">
        <v>46292</v>
      </c>
      <c r="F58" t="inlineStr">
        <is>
          <t>VÄSTRA GÖTALANDS LÄN</t>
        </is>
      </c>
      <c r="G58" t="inlineStr">
        <is>
          <t>KARLSBORG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29357-2024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45483</v>
      </c>
      <c r="E59" s="1" t="n">
        <v>46292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46292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46292</v>
      </c>
      <c r="F61" t="inlineStr">
        <is>
          <t>VÄSTRA GÖTALANDS LÄN</t>
        </is>
      </c>
      <c r="G61" t="inlineStr">
        <is>
          <t>KARLSBORG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46292</v>
      </c>
      <c r="F62" t="inlineStr">
        <is>
          <t>VÄSTRA GÖTALANDS LÄN</t>
        </is>
      </c>
      <c r="G62" t="inlineStr">
        <is>
          <t>KARLSBORG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46292</v>
      </c>
      <c r="F63" t="inlineStr">
        <is>
          <t>VÄSTRA GÖTALANDS LÄN</t>
        </is>
      </c>
      <c r="G63" t="inlineStr">
        <is>
          <t>KARLSBORG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46292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46292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46292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45632</v>
      </c>
      <c r="E67" s="1" t="n">
        <v>46292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44908</v>
      </c>
      <c r="E68" s="1" t="n">
        <v>46292</v>
      </c>
      <c r="F68" t="inlineStr">
        <is>
          <t>VÄSTRA GÖTALANDS LÄN</t>
        </is>
      </c>
      <c r="G68" t="inlineStr">
        <is>
          <t>KARLSBORG</t>
        </is>
      </c>
      <c r="I68" t="n">
        <v>8.1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46292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46292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46292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45899</v>
      </c>
      <c r="E72" s="1" t="n">
        <v>46292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45589</v>
      </c>
      <c r="E73" s="1" t="n">
        <v>46292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46292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Kyrkan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46292</v>
      </c>
      <c r="F75" t="inlineStr">
        <is>
          <t>VÄSTRA GÖTALANDS LÄN</t>
        </is>
      </c>
      <c r="G75" t="inlineStr">
        <is>
          <t>KARLSBORG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46292</v>
      </c>
      <c r="F76" t="inlineStr">
        <is>
          <t>VÄSTRA GÖTALANDS LÄN</t>
        </is>
      </c>
      <c r="G76" t="inlineStr">
        <is>
          <t>KARLSBORG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46292</v>
      </c>
      <c r="F77" t="inlineStr">
        <is>
          <t>VÄSTRA GÖTALANDS LÄN</t>
        </is>
      </c>
      <c r="G77" t="inlineStr">
        <is>
          <t>KARLSBORG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46292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Kyrkan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46010</v>
      </c>
      <c r="E79" s="1" t="n">
        <v>46292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statliga verk och myndigheter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46010</v>
      </c>
      <c r="E80" s="1" t="n">
        <v>46292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statliga verk och myndigheter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46062</v>
      </c>
      <c r="E81" s="1" t="n">
        <v>46292</v>
      </c>
      <c r="F81" t="inlineStr">
        <is>
          <t>VÄSTRA GÖTALANDS LÄN</t>
        </is>
      </c>
      <c r="G81" t="inlineStr">
        <is>
          <t>KARLSBORG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63731-2025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46292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statliga verk och myndigheter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46292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statliga verk och myndigheter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46292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46292</v>
      </c>
      <c r="F85" t="inlineStr">
        <is>
          <t>VÄSTRA GÖTALANDS LÄN</t>
        </is>
      </c>
      <c r="G85" t="inlineStr">
        <is>
          <t>KARLSBORG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46292</v>
      </c>
      <c r="F86" t="inlineStr">
        <is>
          <t>VÄSTRA GÖTALANDS LÄN</t>
        </is>
      </c>
      <c r="G86" t="inlineStr">
        <is>
          <t>KARLSBORG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46292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46069</v>
      </c>
      <c r="E88" s="1" t="n">
        <v>46292</v>
      </c>
      <c r="F88" t="inlineStr">
        <is>
          <t>VÄSTRA GÖTALANDS LÄN</t>
        </is>
      </c>
      <c r="G88" t="inlineStr">
        <is>
          <t>KARLSBORG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46292</v>
      </c>
      <c r="F89" t="inlineStr">
        <is>
          <t>VÄSTRA GÖTALANDS LÄN</t>
        </is>
      </c>
      <c r="G89" t="inlineStr">
        <is>
          <t>KARLSBORG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45565</v>
      </c>
      <c r="E90" s="1" t="n">
        <v>46292</v>
      </c>
      <c r="F90" t="inlineStr">
        <is>
          <t>VÄSTRA GÖTALANDS LÄN</t>
        </is>
      </c>
      <c r="G90" t="inlineStr">
        <is>
          <t>KARLSBORG</t>
        </is>
      </c>
      <c r="I90" t="n">
        <v>8.9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46292</v>
      </c>
      <c r="F91" t="inlineStr">
        <is>
          <t>VÄSTRA GÖTALANDS LÄN</t>
        </is>
      </c>
      <c r="G91" t="inlineStr">
        <is>
          <t>KARLSBORG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46292</v>
      </c>
      <c r="F92" t="inlineStr">
        <is>
          <t>VÄSTRA GÖTALANDS LÄN</t>
        </is>
      </c>
      <c r="G92" t="inlineStr">
        <is>
          <t>KARLSBORG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46079</v>
      </c>
      <c r="E93" s="1" t="n">
        <v>46292</v>
      </c>
      <c r="F93" t="inlineStr">
        <is>
          <t>VÄSTRA GÖTALANDS LÄN</t>
        </is>
      </c>
      <c r="G93" t="inlineStr">
        <is>
          <t>KARLSBORG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46292</v>
      </c>
      <c r="F94" t="inlineStr">
        <is>
          <t>VÄSTRA GÖTALANDS LÄN</t>
        </is>
      </c>
      <c r="G94" t="inlineStr">
        <is>
          <t>KARLSBORG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46292</v>
      </c>
      <c r="F95" t="inlineStr">
        <is>
          <t>VÄSTRA GÖTALANDS LÄN</t>
        </is>
      </c>
      <c r="G95" t="inlineStr">
        <is>
          <t>KARLSBORG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45566</v>
      </c>
      <c r="E96" s="1" t="n">
        <v>46292</v>
      </c>
      <c r="F96" t="inlineStr">
        <is>
          <t>VÄSTRA GÖTALANDS LÄN</t>
        </is>
      </c>
      <c r="G96" t="inlineStr">
        <is>
          <t>KARLSBORG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46292</v>
      </c>
      <c r="F97" t="inlineStr">
        <is>
          <t>VÄSTRA GÖTALANDS LÄN</t>
        </is>
      </c>
      <c r="G97" t="inlineStr">
        <is>
          <t>KARLSBORG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46292</v>
      </c>
      <c r="F98" t="inlineStr">
        <is>
          <t>VÄSTRA GÖTALANDS LÄN</t>
        </is>
      </c>
      <c r="G98" t="inlineStr">
        <is>
          <t>KARLSBORG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46292</v>
      </c>
      <c r="F99" t="inlineStr">
        <is>
          <t>VÄSTRA GÖTALANDS LÄN</t>
        </is>
      </c>
      <c r="G99" t="inlineStr">
        <is>
          <t>KARLSBORG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44906</v>
      </c>
      <c r="E100" s="1" t="n">
        <v>46292</v>
      </c>
      <c r="F100" t="inlineStr">
        <is>
          <t>VÄSTRA GÖTALANDS LÄN</t>
        </is>
      </c>
      <c r="G100" t="inlineStr">
        <is>
          <t>KARLSBORG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48888-2023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46292</v>
      </c>
      <c r="F101" t="inlineStr">
        <is>
          <t>VÄSTRA GÖTALANDS LÄN</t>
        </is>
      </c>
      <c r="G101" t="inlineStr">
        <is>
          <t>KARLSBORG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46292</v>
      </c>
      <c r="F102" t="inlineStr">
        <is>
          <t>VÄSTRA GÖTALANDS LÄN</t>
        </is>
      </c>
      <c r="G102" t="inlineStr">
        <is>
          <t>KARLSBORG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45942</v>
      </c>
      <c r="E103" s="1" t="n">
        <v>46292</v>
      </c>
      <c r="F103" t="inlineStr">
        <is>
          <t>VÄSTRA GÖTALANDS LÄN</t>
        </is>
      </c>
      <c r="G103" t="inlineStr">
        <is>
          <t>KARLSBORG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46292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46292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44929</v>
      </c>
      <c r="E106" s="1" t="n">
        <v>46292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X106">
        <f>HYPERLINK("https://klasma.github.io/Logging_1446/kartor/A 412-2023 karta.png", "A 412-2023")</f>
        <v/>
      </c>
      <c r="Y106">
        <f>HYPERLINK("https://klasma.github.io/Logging_1446/kartor_geotiff/A 412-2023 georefererad karta.tif", "A 412-2023")</f>
        <v/>
      </c>
      <c r="AA106">
        <f>HYPERLINK("https://klasma.github.io/Logging_1446/klagomål/A 412-2023 FSC-klagomål.docx", "A 412-2023")</f>
        <v/>
      </c>
      <c r="AB106">
        <f>HYPERLINK("https://klasma.github.io/Logging_1446/klagomålsmail/A 412-2023 FSC-klagomål mail.docx", "A 412-2023")</f>
        <v/>
      </c>
      <c r="AC106">
        <f>HYPERLINK("https://klasma.github.io/Logging_1446/tillsyn/A 412-2023 tillsynsbegäran.docx", "A 412-2023")</f>
        <v/>
      </c>
      <c r="AD106">
        <f>HYPERLINK("https://klasma.github.io/Logging_1446/tillsynsmail/A 412-2023 tillsynsbegäran mail.docx", "A 412-2023")</f>
        <v/>
      </c>
    </row>
    <row r="107" ht="15" customHeight="1">
      <c r="A107" t="inlineStr">
        <is>
          <t>A 10828-2024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46292</v>
      </c>
      <c r="F107" t="inlineStr">
        <is>
          <t>VÄSTRA GÖTALANDS LÄN</t>
        </is>
      </c>
      <c r="G107" t="inlineStr">
        <is>
          <t>KARLSBORG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45614</v>
      </c>
      <c r="E108" s="1" t="n">
        <v>46292</v>
      </c>
      <c r="F108" t="inlineStr">
        <is>
          <t>VÄSTRA GÖTALANDS LÄN</t>
        </is>
      </c>
      <c r="G108" t="inlineStr">
        <is>
          <t>KARLSBORG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18564-2026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46127</v>
      </c>
      <c r="E109" s="1" t="n">
        <v>46292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46292</v>
      </c>
      <c r="F110" t="inlineStr">
        <is>
          <t>VÄSTRA GÖTALANDS LÄN</t>
        </is>
      </c>
      <c r="G110" t="inlineStr">
        <is>
          <t>KARLSBORG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46292</v>
      </c>
      <c r="F111" t="inlineStr">
        <is>
          <t>VÄSTRA GÖTALANDS LÄN</t>
        </is>
      </c>
      <c r="G111" t="inlineStr">
        <is>
          <t>KARLSBORG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46292</v>
      </c>
      <c r="F112" t="inlineStr">
        <is>
          <t>VÄSTRA GÖTALANDS LÄN</t>
        </is>
      </c>
      <c r="G112" t="inlineStr">
        <is>
          <t>KARLSBORG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46292</v>
      </c>
      <c r="F113" t="inlineStr">
        <is>
          <t>VÄSTRA GÖTALANDS LÄN</t>
        </is>
      </c>
      <c r="G113" t="inlineStr">
        <is>
          <t>KARLSBORG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44900</v>
      </c>
      <c r="E114" s="1" t="n">
        <v>46292</v>
      </c>
      <c r="F114" t="inlineStr">
        <is>
          <t>VÄSTRA GÖTALANDS LÄN</t>
        </is>
      </c>
      <c r="G114" t="inlineStr">
        <is>
          <t>KARLSBORG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46292</v>
      </c>
      <c r="F115" t="inlineStr">
        <is>
          <t>VÄSTRA GÖTALANDS LÄN</t>
        </is>
      </c>
      <c r="G115" t="inlineStr">
        <is>
          <t>KARLSBORG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46292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24594-2022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44727</v>
      </c>
      <c r="E117" s="1" t="n">
        <v>46292</v>
      </c>
      <c r="F117" t="inlineStr">
        <is>
          <t>VÄSTRA GÖTALANDS LÄN</t>
        </is>
      </c>
      <c r="G117" t="inlineStr">
        <is>
          <t>KARLSBORG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46292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46292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46292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46292</v>
      </c>
      <c r="F121" t="inlineStr">
        <is>
          <t>VÄSTRA GÖTALANDS LÄN</t>
        </is>
      </c>
      <c r="G121" t="inlineStr">
        <is>
          <t>KARLSBORG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46292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46292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46292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46292</v>
      </c>
      <c r="F125" t="inlineStr">
        <is>
          <t>VÄSTRA GÖTALANDS LÄN</t>
        </is>
      </c>
      <c r="G125" t="inlineStr">
        <is>
          <t>KARLSBORG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44785</v>
      </c>
      <c r="E126" s="1" t="n">
        <v>46292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35441-2024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45531</v>
      </c>
      <c r="E127" s="1" t="n">
        <v>46292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46142</v>
      </c>
      <c r="E128" s="1" t="n">
        <v>46292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46292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70945-2021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44538</v>
      </c>
      <c r="E130" s="1" t="n">
        <v>46292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46143</v>
      </c>
      <c r="E131" s="1" t="n">
        <v>46292</v>
      </c>
      <c r="F131" t="inlineStr">
        <is>
          <t>VÄSTRA GÖTALANDS LÄN</t>
        </is>
      </c>
      <c r="G131" t="inlineStr">
        <is>
          <t>KARLSBORG</t>
        </is>
      </c>
      <c r="I131" t="n">
        <v>14.6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45566</v>
      </c>
      <c r="E132" s="1" t="n">
        <v>46292</v>
      </c>
      <c r="F132" t="inlineStr">
        <is>
          <t>VÄSTRA GÖTALANDS LÄN</t>
        </is>
      </c>
      <c r="G132" t="inlineStr">
        <is>
          <t>KARLSBORG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46292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46292</v>
      </c>
      <c r="F134" t="inlineStr">
        <is>
          <t>VÄSTRA GÖTALANDS LÄN</t>
        </is>
      </c>
      <c r="G134" t="inlineStr">
        <is>
          <t>KARLSBORG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46292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31701-2025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45834</v>
      </c>
      <c r="E136" s="1" t="n">
        <v>46292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46292</v>
      </c>
      <c r="F137" t="inlineStr">
        <is>
          <t>VÄSTRA GÖTALANDS LÄN</t>
        </is>
      </c>
      <c r="G137" t="inlineStr">
        <is>
          <t>KARLSBORG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46292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32128-2025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45835</v>
      </c>
      <c r="E139" s="1" t="n">
        <v>46292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46292</v>
      </c>
      <c r="F140" t="inlineStr">
        <is>
          <t>VÄSTRA GÖTALANDS LÄN</t>
        </is>
      </c>
      <c r="G140" t="inlineStr">
        <is>
          <t>KARLSBORG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46292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45394</v>
      </c>
      <c r="E142" s="1" t="n">
        <v>46292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46292</v>
      </c>
      <c r="F143" t="inlineStr">
        <is>
          <t>VÄSTRA GÖTALANDS LÄN</t>
        </is>
      </c>
      <c r="G143" t="inlineStr">
        <is>
          <t>KARLSBORG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70783-2021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44537</v>
      </c>
      <c r="E144" s="1" t="n">
        <v>46292</v>
      </c>
      <c r="F144" t="inlineStr">
        <is>
          <t>VÄSTRA GÖTALANDS LÄN</t>
        </is>
      </c>
      <c r="G144" t="inlineStr">
        <is>
          <t>KARLSBORG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46292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46292</v>
      </c>
      <c r="F146" t="inlineStr">
        <is>
          <t>VÄSTRA GÖTALANDS LÄN</t>
        </is>
      </c>
      <c r="G146" t="inlineStr">
        <is>
          <t>KARLSBORG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46292</v>
      </c>
      <c r="F147" t="inlineStr">
        <is>
          <t>VÄSTRA GÖTALANDS LÄN</t>
        </is>
      </c>
      <c r="G147" t="inlineStr">
        <is>
          <t>KARLSBORG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46292</v>
      </c>
      <c r="F148" t="inlineStr">
        <is>
          <t>VÄSTRA GÖTALANDS LÄN</t>
        </is>
      </c>
      <c r="G148" t="inlineStr">
        <is>
          <t>KARLSBORG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46292</v>
      </c>
      <c r="F149" t="inlineStr">
        <is>
          <t>VÄSTRA GÖTALANDS LÄN</t>
        </is>
      </c>
      <c r="G149" t="inlineStr">
        <is>
          <t>KARLSBORG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45862</v>
      </c>
      <c r="E150" s="1" t="n">
        <v>46292</v>
      </c>
      <c r="F150" t="inlineStr">
        <is>
          <t>VÄSTRA GÖTALANDS LÄN</t>
        </is>
      </c>
      <c r="G150" t="inlineStr">
        <is>
          <t>KARLSBORG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46292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46292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45524</v>
      </c>
      <c r="E153" s="1" t="n">
        <v>46292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25977-2026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46292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59887-2021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46292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46292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46292</v>
      </c>
      <c r="F157" t="inlineStr">
        <is>
          <t>VÄSTRA GÖTALANDS LÄN</t>
        </is>
      </c>
      <c r="G157" t="inlineStr">
        <is>
          <t>KARLSBORG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46292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46292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46292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46292</v>
      </c>
      <c r="F161" t="inlineStr">
        <is>
          <t>VÄSTRA GÖTALANDS LÄN</t>
        </is>
      </c>
      <c r="G161" t="inlineStr">
        <is>
          <t>KARLSBORG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57913-2024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45631</v>
      </c>
      <c r="E162" s="1" t="n">
        <v>46292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46292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23500-2023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45076</v>
      </c>
      <c r="E164" s="1" t="n">
        <v>46292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46292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46292</v>
      </c>
      <c r="F166" t="inlineStr">
        <is>
          <t>VÄSTRA GÖTALANDS LÄN</t>
        </is>
      </c>
      <c r="G166" t="inlineStr">
        <is>
          <t>KARLSBORG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46292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46292</v>
      </c>
      <c r="F168" t="inlineStr">
        <is>
          <t>VÄSTRA GÖTALANDS LÄN</t>
        </is>
      </c>
      <c r="G168" t="inlineStr">
        <is>
          <t>KARLSBORG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46292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46292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46292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46260</v>
      </c>
      <c r="E172" s="1" t="n">
        <v>46292</v>
      </c>
      <c r="F172" t="inlineStr">
        <is>
          <t>VÄSTRA GÖTALANDS LÄN</t>
        </is>
      </c>
      <c r="G172" t="inlineStr">
        <is>
          <t>KARLSBORG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46292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45183</v>
      </c>
      <c r="E174" s="1" t="n">
        <v>46292</v>
      </c>
      <c r="F174" t="inlineStr">
        <is>
          <t>VÄSTRA GÖTALANDS LÄN</t>
        </is>
      </c>
      <c r="G174" t="inlineStr">
        <is>
          <t>KARLSBORG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46292</v>
      </c>
      <c r="F175" t="inlineStr">
        <is>
          <t>VÄSTRA GÖTALANDS LÄN</t>
        </is>
      </c>
      <c r="G175" t="inlineStr">
        <is>
          <t>KARLSBORG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46292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44809</v>
      </c>
      <c r="E177" s="1" t="n">
        <v>46292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46292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46292</v>
      </c>
      <c r="F179" t="inlineStr">
        <is>
          <t>VÄSTRA GÖTALANDS LÄN</t>
        </is>
      </c>
      <c r="G179" t="inlineStr">
        <is>
          <t>KARLSBORG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46292</v>
      </c>
      <c r="F180" t="inlineStr">
        <is>
          <t>VÄSTRA GÖTALANDS LÄN</t>
        </is>
      </c>
      <c r="G180" t="inlineStr">
        <is>
          <t>KARLSBORG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46276</v>
      </c>
      <c r="E181" s="1" t="n">
        <v>46292</v>
      </c>
      <c r="F181" t="inlineStr">
        <is>
          <t>VÄSTRA GÖTALANDS LÄN</t>
        </is>
      </c>
      <c r="G181" t="inlineStr">
        <is>
          <t>KARLSBORG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46292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46292</v>
      </c>
      <c r="F183" t="inlineStr">
        <is>
          <t>VÄSTRA GÖTALANDS LÄN</t>
        </is>
      </c>
      <c r="G183" t="inlineStr">
        <is>
          <t>KARLSBORG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46292</v>
      </c>
      <c r="F184" t="inlineStr">
        <is>
          <t>VÄSTRA GÖTALANDS LÄN</t>
        </is>
      </c>
      <c r="G184" t="inlineStr">
        <is>
          <t>KARLSBORG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62304-2021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46292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44664</v>
      </c>
      <c r="E186" s="1" t="n">
        <v>46292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15396-2024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45401</v>
      </c>
      <c r="E187" s="1" t="n">
        <v>46292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46292</v>
      </c>
      <c r="F188" t="inlineStr">
        <is>
          <t>VÄSTRA GÖTALANDS LÄN</t>
        </is>
      </c>
      <c r="G188" t="inlineStr">
        <is>
          <t>KARLSBORG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46292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46288</v>
      </c>
      <c r="E190" s="1" t="n">
        <v>46292</v>
      </c>
      <c r="F190" t="inlineStr">
        <is>
          <t>VÄSTRA GÖTALANDS LÄN</t>
        </is>
      </c>
      <c r="G190" t="inlineStr">
        <is>
          <t>KARLSBORG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46292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46292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46292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46292</v>
      </c>
      <c r="F194" t="inlineStr">
        <is>
          <t>VÄSTRA GÖTALANDS LÄN</t>
        </is>
      </c>
      <c r="G194" t="inlineStr">
        <is>
          <t>KARLSBORG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46292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44687</v>
      </c>
      <c r="E196" s="1" t="n">
        <v>46292</v>
      </c>
      <c r="F196" t="inlineStr">
        <is>
          <t>VÄSTRA GÖTALANDS LÄN</t>
        </is>
      </c>
      <c r="G196" t="inlineStr">
        <is>
          <t>KARLSBORG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46292</v>
      </c>
      <c r="F197" t="inlineStr">
        <is>
          <t>VÄSTRA GÖTALANDS LÄN</t>
        </is>
      </c>
      <c r="G197" t="inlineStr">
        <is>
          <t>KARLSBORG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44809</v>
      </c>
      <c r="E198" s="1" t="n">
        <v>46292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46292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46292</v>
      </c>
      <c r="F200" t="inlineStr">
        <is>
          <t>VÄSTRA GÖTALANDS LÄN</t>
        </is>
      </c>
      <c r="G200" t="inlineStr">
        <is>
          <t>KARLSBORG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46292</v>
      </c>
      <c r="F201" t="inlineStr">
        <is>
          <t>VÄSTRA GÖTALANDS LÄN</t>
        </is>
      </c>
      <c r="G201" t="inlineStr">
        <is>
          <t>KARLSBORG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46292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44795</v>
      </c>
      <c r="E203" s="1" t="n">
        <v>46292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58127-2024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45632</v>
      </c>
      <c r="E204" s="1" t="n">
        <v>46292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45019</v>
      </c>
      <c r="E205" s="1" t="n">
        <v>46292</v>
      </c>
      <c r="F205" t="inlineStr">
        <is>
          <t>VÄSTRA GÖTALANDS LÄN</t>
        </is>
      </c>
      <c r="G205" t="inlineStr">
        <is>
          <t>KARLSBORG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46292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Övriga Aktiebolag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57454-2024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45630</v>
      </c>
      <c r="E207" s="1" t="n">
        <v>46292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46292</v>
      </c>
      <c r="F208" t="inlineStr">
        <is>
          <t>VÄSTRA GÖTALANDS LÄN</t>
        </is>
      </c>
      <c r="G208" t="inlineStr">
        <is>
          <t>KARLSBORG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46292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46292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46292</v>
      </c>
      <c r="F211" t="inlineStr">
        <is>
          <t>VÄSTRA GÖTALANDS LÄN</t>
        </is>
      </c>
      <c r="G211" t="inlineStr">
        <is>
          <t>KARLSBORG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46292</v>
      </c>
      <c r="F212" t="inlineStr">
        <is>
          <t>VÄSTRA GÖTALANDS LÄN</t>
        </is>
      </c>
      <c r="G212" t="inlineStr">
        <is>
          <t>KARLSBORG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46292</v>
      </c>
      <c r="F213" t="inlineStr">
        <is>
          <t>VÄSTRA GÖTALANDS LÄN</t>
        </is>
      </c>
      <c r="G213" t="inlineStr">
        <is>
          <t>KARLSBORG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46292</v>
      </c>
      <c r="F214" t="inlineStr">
        <is>
          <t>VÄSTRA GÖTALANDS LÄN</t>
        </is>
      </c>
      <c r="G214" t="inlineStr">
        <is>
          <t>KARLSBORG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46292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57915-2024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45631</v>
      </c>
      <c r="E216" s="1" t="n">
        <v>46292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44469</v>
      </c>
      <c r="E217" s="1" t="n">
        <v>46292</v>
      </c>
      <c r="F217" t="inlineStr">
        <is>
          <t>VÄSTRA GÖTALANDS LÄN</t>
        </is>
      </c>
      <c r="G217" t="inlineStr">
        <is>
          <t>KARLSBORG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46292</v>
      </c>
      <c r="F218" t="inlineStr">
        <is>
          <t>VÄSTRA GÖTALANDS LÄN</t>
        </is>
      </c>
      <c r="G218" t="inlineStr">
        <is>
          <t>KARLSBORG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45786</v>
      </c>
      <c r="E219" s="1" t="n">
        <v>46292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45789</v>
      </c>
      <c r="E220" s="1" t="n">
        <v>46292</v>
      </c>
      <c r="F220" t="inlineStr">
        <is>
          <t>VÄSTRA GÖTALANDS LÄN</t>
        </is>
      </c>
      <c r="G220" t="inlineStr">
        <is>
          <t>KARLSBORG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46292</v>
      </c>
      <c r="F221" t="inlineStr">
        <is>
          <t>VÄSTRA GÖTALANDS LÄN</t>
        </is>
      </c>
      <c r="G221" t="inlineStr">
        <is>
          <t>KARLSBORG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46292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46292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2026-09-27T01:59:59Z</dcterms:created>
  <dcterms:modified xmlns:dcterms="http://purl.org/dc/terms/" xmlns:xsi="http://www.w3.org/2001/XMLSchema-instance" xsi:type="dcterms:W3CDTF">2026-09-27T01:59:59Z</dcterms:modified>
</cp:coreProperties>
</file>