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46265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46265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46265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46265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46265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46265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46265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46265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46265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46265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46265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46265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46265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46265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46265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23973-2023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45075</v>
      </c>
      <c r="E19" s="1" t="n">
        <v>46265</v>
      </c>
      <c r="F19" t="inlineStr">
        <is>
          <t>VÄSTRA GÖTALANDS LÄN</t>
        </is>
      </c>
      <c r="G19" t="inlineStr">
        <is>
          <t>KARLSBORG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Orre</t>
        </is>
      </c>
      <c r="W19">
        <f>HYPERLINK("https://klasma.github.io/Logging_1446/artfynd/A 23973-2023 artfynd.xlsx", "A 23973-2023")</f>
        <v/>
      </c>
      <c r="X19">
        <f>HYPERLINK("https://klasma.github.io/Logging_1446/kartor/A 23973-2023 karta.png", "A 23973-2023")</f>
        <v/>
      </c>
      <c r="Y19">
        <f>HYPERLINK("https://klasma.github.io/Logging_1446/kartor_geotiff/A 23973-2023 georefererad karta.tif", "A 23973-2023")</f>
        <v/>
      </c>
      <c r="AA19">
        <f>HYPERLINK("https://klasma.github.io/Logging_1446/klagomål/A 23973-2023 FSC-klagomål.docx", "A 23973-2023")</f>
        <v/>
      </c>
      <c r="AB19">
        <f>HYPERLINK("https://klasma.github.io/Logging_1446/klagomålsmail/A 23973-2023 FSC-klagomål mail.docx", "A 23973-2023")</f>
        <v/>
      </c>
      <c r="AC19">
        <f>HYPERLINK("https://klasma.github.io/Logging_1446/tillsyn/A 23973-2023 tillsynsbegäran.docx", "A 23973-2023")</f>
        <v/>
      </c>
      <c r="AD19">
        <f>HYPERLINK("https://klasma.github.io/Logging_1446/tillsynsmail/A 23973-2023 tillsynsbegäran mail.docx", "A 23973-2023")</f>
        <v/>
      </c>
      <c r="AE19">
        <f>HYPERLINK("https://klasma.github.io/Logging_1446/fåglar/A 23973-2023 prioriterade fågelarter.docx", "A 23973-2023")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46265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46265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46265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46265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46265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46265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46265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29484-2025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46265</v>
      </c>
      <c r="F27" t="inlineStr">
        <is>
          <t>VÄSTRA GÖTALANDS LÄN</t>
        </is>
      </c>
      <c r="G27" t="inlineStr">
        <is>
          <t>KARLSBORG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Blåsippa</t>
        </is>
      </c>
      <c r="W27">
        <f>HYPERLINK("https://klasma.github.io/Logging_1446/artfynd/A 29484-2025 artfynd.xlsx", "A 29484-2025")</f>
        <v/>
      </c>
      <c r="X27">
        <f>HYPERLINK("https://klasma.github.io/Logging_1446/kartor/A 29484-2025 karta.png", "A 29484-2025")</f>
        <v/>
      </c>
      <c r="Y27">
        <f>HYPERLINK("https://klasma.github.io/Logging_1446/kartor_geotiff/A 29484-2025 georefererad karta.tif", "A 29484-2025")</f>
        <v/>
      </c>
      <c r="AA27">
        <f>HYPERLINK("https://klasma.github.io/Logging_1446/klagomål/A 29484-2025 FSC-klagomål.docx", "A 29484-2025")</f>
        <v/>
      </c>
      <c r="AB27">
        <f>HYPERLINK("https://klasma.github.io/Logging_1446/klagomålsmail/A 29484-2025 FSC-klagomål mail.docx", "A 29484-2025")</f>
        <v/>
      </c>
      <c r="AC27">
        <f>HYPERLINK("https://klasma.github.io/Logging_1446/tillsyn/A 29484-2025 tillsynsbegäran.docx", "A 29484-2025")</f>
        <v/>
      </c>
      <c r="AD27">
        <f>HYPERLINK("https://klasma.github.io/Logging_1446/tillsynsmail/A 29484-2025 tillsynsbegäran mail.docx", "A 29484-2025")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46265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8984-2025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46265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9.5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HYPERLINK("https://klasma.github.io/Logging_1446/artfynd/A 8984-2025 artfynd.xlsx", "A 8984-2025")</f>
        <v/>
      </c>
      <c r="X29">
        <f>HYPERLINK("https://klasma.github.io/Logging_1446/kartor/A 8984-2025 karta.png", "A 8984-2025")</f>
        <v/>
      </c>
      <c r="Y29">
        <f>HYPERLINK("https://klasma.github.io/Logging_1446/kartor_geotiff/A 8984-2025 georefererad karta.tif", "A 8984-2025")</f>
        <v/>
      </c>
      <c r="AA29">
        <f>HYPERLINK("https://klasma.github.io/Logging_1446/klagomål/A 8984-2025 FSC-klagomål.docx", "A 8984-2025")</f>
        <v/>
      </c>
      <c r="AB29">
        <f>HYPERLINK("https://klasma.github.io/Logging_1446/klagomålsmail/A 8984-2025 FSC-klagomål mail.docx", "A 8984-2025")</f>
        <v/>
      </c>
      <c r="AC29">
        <f>HYPERLINK("https://klasma.github.io/Logging_1446/tillsyn/A 8984-2025 tillsynsbegäran.docx", "A 8984-2025")</f>
        <v/>
      </c>
      <c r="AD29">
        <f>HYPERLINK("https://klasma.github.io/Logging_1446/tillsynsmail/A 8984-2025 tillsynsbegäran mail.docx", "A 8984-2025")</f>
        <v/>
      </c>
      <c r="AE29">
        <f>HYPERLINK("https://klasma.github.io/Logging_1446/fåglar/A 8984-2025 prioriterade fågelarter.docx", "A 8984-2025")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46265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46265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46265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46265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46265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46265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46265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46265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46265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46265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46265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46265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46265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46265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46265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46265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46265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46265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46265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53898-2021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46265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46265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45224-2021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46265</v>
      </c>
      <c r="F51" t="inlineStr">
        <is>
          <t>VÄSTRA GÖTALANDS LÄN</t>
        </is>
      </c>
      <c r="G51" t="inlineStr">
        <is>
          <t>KARLSBORG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46265</v>
      </c>
      <c r="F52" t="inlineStr">
        <is>
          <t>VÄSTRA GÖTALANDS LÄN</t>
        </is>
      </c>
      <c r="G52" t="inlineStr">
        <is>
          <t>KARLSBORG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45394</v>
      </c>
      <c r="E53" s="1" t="n">
        <v>46265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45617</v>
      </c>
      <c r="E54" s="1" t="n">
        <v>46265</v>
      </c>
      <c r="F54" t="inlineStr">
        <is>
          <t>VÄSTRA GÖTALANDS LÄN</t>
        </is>
      </c>
      <c r="G54" t="inlineStr">
        <is>
          <t>KARLSBORG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22435-2025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46265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46265</v>
      </c>
      <c r="F56" t="inlineStr">
        <is>
          <t>VÄSTRA GÖTALANDS LÄN</t>
        </is>
      </c>
      <c r="G56" t="inlineStr">
        <is>
          <t>KARLSBORG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45789</v>
      </c>
      <c r="E57" s="1" t="n">
        <v>46265</v>
      </c>
      <c r="F57" t="inlineStr">
        <is>
          <t>VÄSTRA GÖTALANDS LÄN</t>
        </is>
      </c>
      <c r="G57" t="inlineStr">
        <is>
          <t>KARLSBORG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8053-2023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46265</v>
      </c>
      <c r="F58" t="inlineStr">
        <is>
          <t>VÄSTRA GÖTALANDS LÄN</t>
        </is>
      </c>
      <c r="G58" t="inlineStr">
        <is>
          <t>KARLSBORG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46265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46265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46265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46265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46265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46265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46265</v>
      </c>
      <c r="F65" t="inlineStr">
        <is>
          <t>VÄSTRA GÖTALANDS LÄN</t>
        </is>
      </c>
      <c r="G65" t="inlineStr">
        <is>
          <t>KARLSBORG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29357-2024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45483</v>
      </c>
      <c r="E66" s="1" t="n">
        <v>46265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45680</v>
      </c>
      <c r="E67" s="1" t="n">
        <v>46265</v>
      </c>
      <c r="F67" t="inlineStr">
        <is>
          <t>VÄSTRA GÖTALANDS LÄN</t>
        </is>
      </c>
      <c r="G67" t="inlineStr">
        <is>
          <t>KARLSBORG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46265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Kyrkan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46265</v>
      </c>
      <c r="F69" t="inlineStr">
        <is>
          <t>VÄSTRA GÖTALANDS LÄN</t>
        </is>
      </c>
      <c r="G69" t="inlineStr">
        <is>
          <t>KARLSBORG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46265</v>
      </c>
      <c r="F70" t="inlineStr">
        <is>
          <t>VÄSTRA GÖTALANDS LÄN</t>
        </is>
      </c>
      <c r="G70" t="inlineStr">
        <is>
          <t>KARLSBORG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57727-2024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45630</v>
      </c>
      <c r="E71" s="1" t="n">
        <v>46265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46265</v>
      </c>
      <c r="F72" t="inlineStr">
        <is>
          <t>VÄSTRA GÖTALANDS LÄN</t>
        </is>
      </c>
      <c r="G72" t="inlineStr">
        <is>
          <t>KARLSBORG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46265</v>
      </c>
      <c r="F73" t="inlineStr">
        <is>
          <t>VÄSTRA GÖTALANDS LÄN</t>
        </is>
      </c>
      <c r="G73" t="inlineStr">
        <is>
          <t>KARLSBORG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46265</v>
      </c>
      <c r="F74" t="inlineStr">
        <is>
          <t>VÄSTRA GÖTALANDS LÄN</t>
        </is>
      </c>
      <c r="G74" t="inlineStr">
        <is>
          <t>KARLSBORG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46265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45548</v>
      </c>
      <c r="E76" s="1" t="n">
        <v>46265</v>
      </c>
      <c r="F76" t="inlineStr">
        <is>
          <t>VÄSTRA GÖTALANDS LÄN</t>
        </is>
      </c>
      <c r="G76" t="inlineStr">
        <is>
          <t>KARLSBORG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45980</v>
      </c>
      <c r="E77" s="1" t="n">
        <v>46265</v>
      </c>
      <c r="F77" t="inlineStr">
        <is>
          <t>VÄSTRA GÖTALANDS LÄN</t>
        </is>
      </c>
      <c r="G77" t="inlineStr">
        <is>
          <t>KARLSBORG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46265</v>
      </c>
      <c r="F78" t="inlineStr">
        <is>
          <t>VÄSTRA GÖTALANDS LÄN</t>
        </is>
      </c>
      <c r="G78" t="inlineStr">
        <is>
          <t>KARLSBORG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45256-2025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46265</v>
      </c>
      <c r="F79" t="inlineStr">
        <is>
          <t>VÄSTRA GÖTALANDS LÄN</t>
        </is>
      </c>
      <c r="G79" t="inlineStr">
        <is>
          <t>KARLSBORG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58129-2024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45632</v>
      </c>
      <c r="E80" s="1" t="n">
        <v>46265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46265</v>
      </c>
      <c r="F81" t="inlineStr">
        <is>
          <t>VÄSTRA GÖTALANDS LÄN</t>
        </is>
      </c>
      <c r="G81" t="inlineStr">
        <is>
          <t>KARLSBORG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46265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46265</v>
      </c>
      <c r="F83" t="inlineStr">
        <is>
          <t>VÄSTRA GÖTALANDS LÄN</t>
        </is>
      </c>
      <c r="G83" t="inlineStr">
        <is>
          <t>KARLSBORG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46265</v>
      </c>
      <c r="F84" t="inlineStr">
        <is>
          <t>VÄSTRA GÖTALANDS LÄN</t>
        </is>
      </c>
      <c r="G84" t="inlineStr">
        <is>
          <t>KARLSBORG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46265</v>
      </c>
      <c r="F85" t="inlineStr">
        <is>
          <t>VÄSTRA GÖTALANDS LÄN</t>
        </is>
      </c>
      <c r="G85" t="inlineStr">
        <is>
          <t>KARLSBORG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46265</v>
      </c>
      <c r="F86" t="inlineStr">
        <is>
          <t>VÄSTRA GÖTALANDS LÄN</t>
        </is>
      </c>
      <c r="G86" t="inlineStr">
        <is>
          <t>KARLSBORG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46265</v>
      </c>
      <c r="F87" t="inlineStr">
        <is>
          <t>VÄSTRA GÖTALANDS LÄN</t>
        </is>
      </c>
      <c r="G87" t="inlineStr">
        <is>
          <t>KARLSBORG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14703-2025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46265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45988</v>
      </c>
      <c r="E89" s="1" t="n">
        <v>46265</v>
      </c>
      <c r="F89" t="inlineStr">
        <is>
          <t>VÄSTRA GÖTALANDS LÄN</t>
        </is>
      </c>
      <c r="G89" t="inlineStr">
        <is>
          <t>KARLSBORG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46265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44595</v>
      </c>
      <c r="E91" s="1" t="n">
        <v>46265</v>
      </c>
      <c r="F91" t="inlineStr">
        <is>
          <t>VÄSTRA GÖTALANDS LÄN</t>
        </is>
      </c>
      <c r="G91" t="inlineStr">
        <is>
          <t>KARLSBORG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46265</v>
      </c>
      <c r="F92" t="inlineStr">
        <is>
          <t>VÄSTRA GÖTALANDS LÄN</t>
        </is>
      </c>
      <c r="G92" t="inlineStr">
        <is>
          <t>KARLSBORG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45942</v>
      </c>
      <c r="E93" s="1" t="n">
        <v>46265</v>
      </c>
      <c r="F93" t="inlineStr">
        <is>
          <t>VÄSTRA GÖTALANDS LÄN</t>
        </is>
      </c>
      <c r="G93" t="inlineStr">
        <is>
          <t>KARLSBORG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45566</v>
      </c>
      <c r="E94" s="1" t="n">
        <v>46265</v>
      </c>
      <c r="F94" t="inlineStr">
        <is>
          <t>VÄSTRA GÖTALANDS LÄN</t>
        </is>
      </c>
      <c r="G94" t="inlineStr">
        <is>
          <t>KARLSBORG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46265</v>
      </c>
      <c r="F95" t="inlineStr">
        <is>
          <t>VÄSTRA GÖTALANDS LÄN</t>
        </is>
      </c>
      <c r="G95" t="inlineStr">
        <is>
          <t>KARLSBORG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46265</v>
      </c>
      <c r="F96" t="inlineStr">
        <is>
          <t>VÄSTRA GÖTALANDS LÄN</t>
        </is>
      </c>
      <c r="G96" t="inlineStr">
        <is>
          <t>KARLSBORG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44937</v>
      </c>
      <c r="E97" s="1" t="n">
        <v>46265</v>
      </c>
      <c r="F97" t="inlineStr">
        <is>
          <t>VÄSTRA GÖTALANDS LÄN</t>
        </is>
      </c>
      <c r="G97" t="inlineStr">
        <is>
          <t>KARLSBORG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46265</v>
      </c>
      <c r="F98" t="inlineStr">
        <is>
          <t>VÄSTRA GÖTALANDS LÄN</t>
        </is>
      </c>
      <c r="G98" t="inlineStr">
        <is>
          <t>KARLSBORG</t>
        </is>
      </c>
      <c r="I98" t="n">
        <v>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45575</v>
      </c>
      <c r="E99" s="1" t="n">
        <v>46265</v>
      </c>
      <c r="F99" t="inlineStr">
        <is>
          <t>VÄSTRA GÖTALANDS LÄN</t>
        </is>
      </c>
      <c r="G99" t="inlineStr">
        <is>
          <t>KARLSBORG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46265</v>
      </c>
      <c r="F100" t="inlineStr">
        <is>
          <t>VÄSTRA GÖTALANDS LÄN</t>
        </is>
      </c>
      <c r="G100" t="inlineStr">
        <is>
          <t>KARLSBORG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46265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31701-2025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45834</v>
      </c>
      <c r="E102" s="1" t="n">
        <v>46265</v>
      </c>
      <c r="F102" t="inlineStr">
        <is>
          <t>VÄSTRA GÖTALANDS LÄN</t>
        </is>
      </c>
      <c r="G102" t="inlineStr">
        <is>
          <t>KARLSBORG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46265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44906</v>
      </c>
      <c r="E104" s="1" t="n">
        <v>46265</v>
      </c>
      <c r="F104" t="inlineStr">
        <is>
          <t>VÄSTRA GÖTALANDS LÄN</t>
        </is>
      </c>
      <c r="G104" t="inlineStr">
        <is>
          <t>KARLSBORG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32128-2025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45835</v>
      </c>
      <c r="E105" s="1" t="n">
        <v>46265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48888-2023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46265</v>
      </c>
      <c r="F106" t="inlineStr">
        <is>
          <t>VÄSTRA GÖTALANDS LÄN</t>
        </is>
      </c>
      <c r="G106" t="inlineStr">
        <is>
          <t>KARLSBORG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46265</v>
      </c>
      <c r="F107" t="inlineStr">
        <is>
          <t>VÄSTRA GÖTALANDS LÄN</t>
        </is>
      </c>
      <c r="G107" t="inlineStr">
        <is>
          <t>KARLSBORG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45524</v>
      </c>
      <c r="E108" s="1" t="n">
        <v>46265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46265</v>
      </c>
      <c r="F109" t="inlineStr">
        <is>
          <t>VÄSTRA GÖTALANDS LÄN</t>
        </is>
      </c>
      <c r="G109" t="inlineStr">
        <is>
          <t>KARLSBORG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44929</v>
      </c>
      <c r="E110" s="1" t="n">
        <v>46265</v>
      </c>
      <c r="F110" t="inlineStr">
        <is>
          <t>VÄSTRA GÖTALANDS LÄN</t>
        </is>
      </c>
      <c r="G110" t="inlineStr">
        <is>
          <t>KARLSBORG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  <c r="X110">
        <f>HYPERLINK("https://klasma.github.io/Logging_1446/kartor/A 412-2023 karta.png", "A 412-2023")</f>
        <v/>
      </c>
      <c r="Y110">
        <f>HYPERLINK("https://klasma.github.io/Logging_1446/kartor_geotiff/A 412-2023 georefererad karta.tif", "A 412-2023")</f>
        <v/>
      </c>
      <c r="AA110">
        <f>HYPERLINK("https://klasma.github.io/Logging_1446/klagomål/A 412-2023 FSC-klagomål.docx", "A 412-2023")</f>
        <v/>
      </c>
      <c r="AB110">
        <f>HYPERLINK("https://klasma.github.io/Logging_1446/klagomålsmail/A 412-2023 FSC-klagomål mail.docx", "A 412-2023")</f>
        <v/>
      </c>
      <c r="AC110">
        <f>HYPERLINK("https://klasma.github.io/Logging_1446/tillsyn/A 412-2023 tillsynsbegäran.docx", "A 412-2023")</f>
        <v/>
      </c>
      <c r="AD110">
        <f>HYPERLINK("https://klasma.github.io/Logging_1446/tillsynsmail/A 412-2023 tillsynsbegäran mail.docx", "A 412-2023")</f>
        <v/>
      </c>
    </row>
    <row r="111" ht="15" customHeight="1">
      <c r="A111" t="inlineStr">
        <is>
          <t>A 61559-2023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46265</v>
      </c>
      <c r="F111" t="inlineStr">
        <is>
          <t>VÄSTRA GÖTALANDS LÄN</t>
        </is>
      </c>
      <c r="G111" t="inlineStr">
        <is>
          <t>KARLSBORG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35930-2025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46265</v>
      </c>
      <c r="F112" t="inlineStr">
        <is>
          <t>VÄSTRA GÖTALANDS LÄN</t>
        </is>
      </c>
      <c r="G112" t="inlineStr">
        <is>
          <t>KARLSBORG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46265</v>
      </c>
      <c r="F113" t="inlineStr">
        <is>
          <t>VÄSTRA GÖTALANDS LÄN</t>
        </is>
      </c>
      <c r="G113" t="inlineStr">
        <is>
          <t>KARLSBORG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46265</v>
      </c>
      <c r="F114" t="inlineStr">
        <is>
          <t>VÄSTRA GÖTALANDS LÄN</t>
        </is>
      </c>
      <c r="G114" t="inlineStr">
        <is>
          <t>KARLSBORG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46265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46265</v>
      </c>
      <c r="F116" t="inlineStr">
        <is>
          <t>VÄSTRA GÖTALANDS LÄN</t>
        </is>
      </c>
      <c r="G116" t="inlineStr">
        <is>
          <t>KARLSBORG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46265</v>
      </c>
      <c r="F117" t="inlineStr">
        <is>
          <t>VÄSTRA GÖTALANDS LÄN</t>
        </is>
      </c>
      <c r="G117" t="inlineStr">
        <is>
          <t>KARLSBORG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46265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46265</v>
      </c>
      <c r="F119" t="inlineStr">
        <is>
          <t>VÄSTRA GÖTALANDS LÄN</t>
        </is>
      </c>
      <c r="G119" t="inlineStr">
        <is>
          <t>KARLSBORG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46265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46265</v>
      </c>
      <c r="F121" t="inlineStr">
        <is>
          <t>VÄSTRA GÖTALANDS LÄN</t>
        </is>
      </c>
      <c r="G121" t="inlineStr">
        <is>
          <t>KARLSBORG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46265</v>
      </c>
      <c r="F122" t="inlineStr">
        <is>
          <t>VÄSTRA GÖTALANDS LÄN</t>
        </is>
      </c>
      <c r="G122" t="inlineStr">
        <is>
          <t>KARLSBORG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46021</v>
      </c>
      <c r="E123" s="1" t="n">
        <v>46265</v>
      </c>
      <c r="F123" t="inlineStr">
        <is>
          <t>VÄSTRA GÖTALANDS LÄN</t>
        </is>
      </c>
      <c r="G123" t="inlineStr">
        <is>
          <t>KARLSBORG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46265</v>
      </c>
      <c r="F124" t="inlineStr">
        <is>
          <t>VÄSTRA GÖTALANDS LÄN</t>
        </is>
      </c>
      <c r="G124" t="inlineStr">
        <is>
          <t>KARLSBORG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46265</v>
      </c>
      <c r="F125" t="inlineStr">
        <is>
          <t>VÄSTRA GÖTALANDS LÄN</t>
        </is>
      </c>
      <c r="G125" t="inlineStr">
        <is>
          <t>KARLSBORG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46265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70945-2021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44538</v>
      </c>
      <c r="E127" s="1" t="n">
        <v>46265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46265</v>
      </c>
      <c r="F128" t="inlineStr">
        <is>
          <t>VÄSTRA GÖTALANDS LÄN</t>
        </is>
      </c>
      <c r="G128" t="inlineStr">
        <is>
          <t>KARLSBORG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25696-2023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45089</v>
      </c>
      <c r="E129" s="1" t="n">
        <v>46265</v>
      </c>
      <c r="F129" t="inlineStr">
        <is>
          <t>VÄSTRA GÖTALANDS LÄN</t>
        </is>
      </c>
      <c r="G129" t="inlineStr">
        <is>
          <t>KARLSBORG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46265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46265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46265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46052</v>
      </c>
      <c r="E133" s="1" t="n">
        <v>46265</v>
      </c>
      <c r="F133" t="inlineStr">
        <is>
          <t>VÄSTRA GÖTALANDS LÄN</t>
        </is>
      </c>
      <c r="G133" t="inlineStr">
        <is>
          <t>KARLSBORG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46265</v>
      </c>
      <c r="F134" t="inlineStr">
        <is>
          <t>VÄSTRA GÖTALANDS LÄN</t>
        </is>
      </c>
      <c r="G134" t="inlineStr">
        <is>
          <t>KARLSBORG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44944</v>
      </c>
      <c r="E135" s="1" t="n">
        <v>46265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46265</v>
      </c>
      <c r="F136" t="inlineStr">
        <is>
          <t>VÄSTRA GÖTALANDS LÄN</t>
        </is>
      </c>
      <c r="G136" t="inlineStr">
        <is>
          <t>KARLSBORG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46265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46265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45078</v>
      </c>
      <c r="E139" s="1" t="n">
        <v>46265</v>
      </c>
      <c r="F139" t="inlineStr">
        <is>
          <t>VÄSTRA GÖTALANDS LÄN</t>
        </is>
      </c>
      <c r="G139" t="inlineStr">
        <is>
          <t>KARLSBORG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46265</v>
      </c>
      <c r="F140" t="inlineStr">
        <is>
          <t>VÄSTRA GÖTALANDS LÄN</t>
        </is>
      </c>
      <c r="G140" t="inlineStr">
        <is>
          <t>KARLSBORG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46265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46265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statliga verk och myndigheter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7644-2026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46265</v>
      </c>
      <c r="F143" t="inlineStr">
        <is>
          <t>VÄSTRA GÖTALANDS LÄN</t>
        </is>
      </c>
      <c r="G143" t="inlineStr">
        <is>
          <t>KARLSBORG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44944</v>
      </c>
      <c r="E144" s="1" t="n">
        <v>46265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46265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46265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statliga verk och myndigheter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45575</v>
      </c>
      <c r="E147" s="1" t="n">
        <v>46265</v>
      </c>
      <c r="F147" t="inlineStr">
        <is>
          <t>VÄSTRA GÖTALANDS LÄN</t>
        </is>
      </c>
      <c r="G147" t="inlineStr">
        <is>
          <t>KARLSBORG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46265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46265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46265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46265</v>
      </c>
      <c r="F151" t="inlineStr">
        <is>
          <t>VÄSTRA GÖTALANDS LÄN</t>
        </is>
      </c>
      <c r="G151" t="inlineStr">
        <is>
          <t>KARLSBORG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46265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59890-2021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46265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46265</v>
      </c>
      <c r="F154" t="inlineStr">
        <is>
          <t>VÄSTRA GÖTALANDS LÄN</t>
        </is>
      </c>
      <c r="G154" t="inlineStr">
        <is>
          <t>KARLSBORG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46265</v>
      </c>
      <c r="F155" t="inlineStr">
        <is>
          <t>VÄSTRA GÖTALANDS LÄN</t>
        </is>
      </c>
      <c r="G155" t="inlineStr">
        <is>
          <t>KARLSBORG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69341-2021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44531</v>
      </c>
      <c r="E156" s="1" t="n">
        <v>46265</v>
      </c>
      <c r="F156" t="inlineStr">
        <is>
          <t>VÄSTRA GÖTALANDS LÄN</t>
        </is>
      </c>
      <c r="G156" t="inlineStr">
        <is>
          <t>KARLSBORG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46265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46265</v>
      </c>
      <c r="F158" t="inlineStr">
        <is>
          <t>VÄSTRA GÖTALANDS LÄN</t>
        </is>
      </c>
      <c r="G158" t="inlineStr">
        <is>
          <t>KARLSBORG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23500-2023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46265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46265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46265</v>
      </c>
      <c r="F161" t="inlineStr">
        <is>
          <t>VÄSTRA GÖTALANDS LÄN</t>
        </is>
      </c>
      <c r="G161" t="inlineStr">
        <is>
          <t>KARLSBORG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46265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46265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46265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46265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46265</v>
      </c>
      <c r="F166" t="inlineStr">
        <is>
          <t>VÄSTRA GÖTALANDS LÄN</t>
        </is>
      </c>
      <c r="G166" t="inlineStr">
        <is>
          <t>KARLSBORG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45720</v>
      </c>
      <c r="E167" s="1" t="n">
        <v>46265</v>
      </c>
      <c r="F167" t="inlineStr">
        <is>
          <t>VÄSTRA GÖTALANDS LÄN</t>
        </is>
      </c>
      <c r="G167" t="inlineStr">
        <is>
          <t>KARLSBORG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46265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Aktiebolag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46265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46265</v>
      </c>
      <c r="F170" t="inlineStr">
        <is>
          <t>VÄSTRA GÖTALANDS LÄN</t>
        </is>
      </c>
      <c r="G170" t="inlineStr">
        <is>
          <t>KARLSBORG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45566</v>
      </c>
      <c r="E171" s="1" t="n">
        <v>46265</v>
      </c>
      <c r="F171" t="inlineStr">
        <is>
          <t>VÄSTRA GÖTALANDS LÄN</t>
        </is>
      </c>
      <c r="G171" t="inlineStr">
        <is>
          <t>KARLSBORG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45252</v>
      </c>
      <c r="E172" s="1" t="n">
        <v>46265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57235-2022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46265</v>
      </c>
      <c r="F173" t="inlineStr">
        <is>
          <t>VÄSTRA GÖTALANDS LÄN</t>
        </is>
      </c>
      <c r="G173" t="inlineStr">
        <is>
          <t>KARLSBORG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44906</v>
      </c>
      <c r="E174" s="1" t="n">
        <v>46265</v>
      </c>
      <c r="F174" t="inlineStr">
        <is>
          <t>VÄSTRA GÖTALANDS LÄN</t>
        </is>
      </c>
      <c r="G174" t="inlineStr">
        <is>
          <t>KARLSBORG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46265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44664</v>
      </c>
      <c r="E176" s="1" t="n">
        <v>46265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46265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15396-2024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45401</v>
      </c>
      <c r="E178" s="1" t="n">
        <v>46265</v>
      </c>
      <c r="F178" t="inlineStr">
        <is>
          <t>VÄSTRA GÖTALANDS LÄN</t>
        </is>
      </c>
      <c r="G178" t="inlineStr">
        <is>
          <t>KARLSBORG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45489</v>
      </c>
      <c r="E179" s="1" t="n">
        <v>46265</v>
      </c>
      <c r="F179" t="inlineStr">
        <is>
          <t>VÄSTRA GÖTALANDS LÄN</t>
        </is>
      </c>
      <c r="G179" t="inlineStr">
        <is>
          <t>KARLSBORG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44494</v>
      </c>
      <c r="E180" s="1" t="n">
        <v>46265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statliga verk och myndigheter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46265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46265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46265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46265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44687</v>
      </c>
      <c r="E185" s="1" t="n">
        <v>46265</v>
      </c>
      <c r="F185" t="inlineStr">
        <is>
          <t>VÄSTRA GÖTALANDS LÄN</t>
        </is>
      </c>
      <c r="G185" t="inlineStr">
        <is>
          <t>KARLSBORG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44906</v>
      </c>
      <c r="E186" s="1" t="n">
        <v>46265</v>
      </c>
      <c r="F186" t="inlineStr">
        <is>
          <t>VÄSTRA GÖTALANDS LÄN</t>
        </is>
      </c>
      <c r="G186" t="inlineStr">
        <is>
          <t>KARLSBORG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44809</v>
      </c>
      <c r="E187" s="1" t="n">
        <v>46265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46265</v>
      </c>
      <c r="F188" t="inlineStr">
        <is>
          <t>VÄSTRA GÖTALANDS LÄN</t>
        </is>
      </c>
      <c r="G188" t="inlineStr">
        <is>
          <t>KARLSBORG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46265</v>
      </c>
      <c r="F189" t="inlineStr">
        <is>
          <t>VÄSTRA GÖTALANDS LÄN</t>
        </is>
      </c>
      <c r="G189" t="inlineStr">
        <is>
          <t>KARLSBORG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46265</v>
      </c>
      <c r="F190" t="inlineStr">
        <is>
          <t>VÄSTRA GÖTALANDS LÄN</t>
        </is>
      </c>
      <c r="G190" t="inlineStr">
        <is>
          <t>KARLSBORG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46265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44795</v>
      </c>
      <c r="E192" s="1" t="n">
        <v>46265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58127-2024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45632</v>
      </c>
      <c r="E193" s="1" t="n">
        <v>46265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35441-2024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45531</v>
      </c>
      <c r="E194" s="1" t="n">
        <v>46265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9.800000000000001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46265</v>
      </c>
      <c r="F195" t="inlineStr">
        <is>
          <t>VÄSTRA GÖTALANDS LÄN</t>
        </is>
      </c>
      <c r="G195" t="inlineStr">
        <is>
          <t>KARLSBORG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46265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57454-2024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45630</v>
      </c>
      <c r="E197" s="1" t="n">
        <v>46265</v>
      </c>
      <c r="F197" t="inlineStr">
        <is>
          <t>VÄSTRA GÖTALANDS LÄN</t>
        </is>
      </c>
      <c r="G197" t="inlineStr">
        <is>
          <t>KARLSBORG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46265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46265</v>
      </c>
      <c r="F199" t="inlineStr">
        <is>
          <t>VÄSTRA GÖTALANDS LÄN</t>
        </is>
      </c>
      <c r="G199" t="inlineStr">
        <is>
          <t>KARLSBORG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46265</v>
      </c>
      <c r="F200" t="inlineStr">
        <is>
          <t>VÄSTRA GÖTALANDS LÄN</t>
        </is>
      </c>
      <c r="G200" t="inlineStr">
        <is>
          <t>KARLSBORG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46143</v>
      </c>
      <c r="E201" s="1" t="n">
        <v>46265</v>
      </c>
      <c r="F201" t="inlineStr">
        <is>
          <t>VÄSTRA GÖTALANDS LÄN</t>
        </is>
      </c>
      <c r="G201" t="inlineStr">
        <is>
          <t>KARLSBORG</t>
        </is>
      </c>
      <c r="I201" t="n">
        <v>14.6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46265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46265</v>
      </c>
      <c r="F203" t="inlineStr">
        <is>
          <t>VÄSTRA GÖTALANDS LÄN</t>
        </is>
      </c>
      <c r="G203" t="inlineStr">
        <is>
          <t>KARLSBORG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46153</v>
      </c>
      <c r="E204" s="1" t="n">
        <v>46265</v>
      </c>
      <c r="F204" t="inlineStr">
        <is>
          <t>VÄSTRA GÖTALANDS LÄN</t>
        </is>
      </c>
      <c r="G204" t="inlineStr">
        <is>
          <t>KARLSBORG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46265</v>
      </c>
      <c r="F205" t="inlineStr">
        <is>
          <t>VÄSTRA GÖTALANDS LÄN</t>
        </is>
      </c>
      <c r="G205" t="inlineStr">
        <is>
          <t>KARLSBORG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46265</v>
      </c>
      <c r="F206" t="inlineStr">
        <is>
          <t>VÄSTRA GÖTALANDS LÄN</t>
        </is>
      </c>
      <c r="G206" t="inlineStr">
        <is>
          <t>KARLSBORG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46265</v>
      </c>
      <c r="F207" t="inlineStr">
        <is>
          <t>VÄSTRA GÖTALANDS LÄN</t>
        </is>
      </c>
      <c r="G207" t="inlineStr">
        <is>
          <t>KARLSBORG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46265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46265</v>
      </c>
      <c r="F209" t="inlineStr">
        <is>
          <t>VÄSTRA GÖTALANDS LÄN</t>
        </is>
      </c>
      <c r="G209" t="inlineStr">
        <is>
          <t>KARLSBORG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57915-2024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45631</v>
      </c>
      <c r="E210" s="1" t="n">
        <v>46265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46265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46265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46265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46265</v>
      </c>
      <c r="F214" t="inlineStr">
        <is>
          <t>VÄSTRA GÖTALANDS LÄN</t>
        </is>
      </c>
      <c r="G214" t="inlineStr">
        <is>
          <t>KARLSBORG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46230</v>
      </c>
      <c r="E215" s="1" t="n">
        <v>46265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46265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46265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46265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46206</v>
      </c>
      <c r="E219" s="1" t="n">
        <v>46265</v>
      </c>
      <c r="F219" t="inlineStr">
        <is>
          <t>VÄSTRA GÖTALANDS LÄN</t>
        </is>
      </c>
      <c r="G219" t="inlineStr">
        <is>
          <t>KARLSBORG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46265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46265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46265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46260</v>
      </c>
      <c r="E223" s="1" t="n">
        <v>46265</v>
      </c>
      <c r="F223" t="inlineStr">
        <is>
          <t>VÄSTRA GÖTALANDS LÄN</t>
        </is>
      </c>
      <c r="G223" t="inlineStr">
        <is>
          <t>KARLSBORG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46191</v>
      </c>
      <c r="E224" s="1" t="n">
        <v>46265</v>
      </c>
      <c r="F224" t="inlineStr">
        <is>
          <t>VÄSTRA GÖTALANDS LÄN</t>
        </is>
      </c>
      <c r="G224" t="inlineStr">
        <is>
          <t>KARLSBORG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2395-2024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45468</v>
      </c>
      <c r="E225" s="1" t="n">
        <v>46265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343-2026</t>
        </is>
      </c>
      <c r="B226" t="inlineStr">
        <is>
          <t>samrådsanmälan</t>
        </is>
      </c>
      <c r="C226" t="inlineStr">
        <is>
          <t>Skogsgödsling</t>
        </is>
      </c>
      <c r="D226" s="1" t="n">
        <v>46059</v>
      </c>
      <c r="E226" s="1" t="n">
        <v>46265</v>
      </c>
      <c r="F226" t="inlineStr">
        <is>
          <t>VÄSTRA GÖTALANDS LÄN</t>
        </is>
      </c>
      <c r="G226" t="inlineStr">
        <is>
          <t>KARLSBORG</t>
        </is>
      </c>
      <c r="I226" t="n">
        <v>25.7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2026-08-31T09:56:27Z</dcterms:created>
  <dcterms:modified xmlns:dcterms="http://purl.org/dc/terms/" xmlns:xsi="http://www.w3.org/2001/XMLSchema-instance" xsi:type="dcterms:W3CDTF">2026-08-31T09:56:27Z</dcterms:modified>
</cp:coreProperties>
</file>