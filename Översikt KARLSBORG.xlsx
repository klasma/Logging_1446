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46270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46270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46270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46270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46270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46270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46270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46270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46270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46270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46270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46270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46270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46270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46270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46270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46270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46270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46270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46270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Blåsippa</t>
        </is>
      </c>
      <c r="W24">
        <f>HYPERLINK("https://klasma.github.io/Logging_1446/artfynd/A 29484-2025 artfynd.xlsx", "A 29484-2025")</f>
        <v/>
      </c>
      <c r="X24">
        <f>HYPERLINK("https://klasma.github.io/Logging_1446/kartor/A 29484-2025 karta.png", "A 29484-2025")</f>
        <v/>
      </c>
      <c r="Y24">
        <f>HYPERLINK("https://klasma.github.io/Logging_1446/kartor_geotiff/A 29484-2025 georefererad karta.tif", "A 29484-2025")</f>
        <v/>
      </c>
      <c r="AA24">
        <f>HYPERLINK("https://klasma.github.io/Logging_1446/klagomål/A 29484-2025 FSC-klagomål.docx", "A 29484-2025")</f>
        <v/>
      </c>
      <c r="AB24">
        <f>HYPERLINK("https://klasma.github.io/Logging_1446/klagomålsmail/A 29484-2025 FSC-klagomål mail.docx", "A 29484-2025")</f>
        <v/>
      </c>
      <c r="AC24">
        <f>HYPERLINK("https://klasma.github.io/Logging_1446/tillsyn/A 29484-2025 tillsynsbegäran.docx", "A 29484-2025")</f>
        <v/>
      </c>
      <c r="AD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46270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46270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46270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46270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46270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HYPERLINK("https://klasma.github.io/Logging_1446/artfynd/A 29156-2026 artfynd.xlsx", "A 29156-2026")</f>
        <v/>
      </c>
      <c r="X29">
        <f>HYPERLINK("https://klasma.github.io/Logging_1446/kartor/A 29156-2026 karta.png", "A 29156-2026")</f>
        <v/>
      </c>
      <c r="Y29">
        <f>HYPERLINK("https://klasma.github.io/Logging_1446/kartor_geotiff/A 29156-2026 georefererad karta.tif", "A 29156-2026")</f>
        <v/>
      </c>
      <c r="AA29">
        <f>HYPERLINK("https://klasma.github.io/Logging_1446/klagomål/A 29156-2026 FSC-klagomål.docx", "A 29156-2026")</f>
        <v/>
      </c>
      <c r="AB29">
        <f>HYPERLINK("https://klasma.github.io/Logging_1446/klagomålsmail/A 29156-2026 FSC-klagomål mail.docx", "A 29156-2026")</f>
        <v/>
      </c>
      <c r="AC29">
        <f>HYPERLINK("https://klasma.github.io/Logging_1446/tillsyn/A 29156-2026 tillsynsbegäran.docx", "A 29156-2026")</f>
        <v/>
      </c>
      <c r="AD29">
        <f>HYPERLINK("https://klasma.github.io/Logging_1446/tillsynsmail/A 29156-2026 tillsynsbegäran mail.docx", "A 29156-2026")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46270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46270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46270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46270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46270</v>
      </c>
      <c r="F34" t="inlineStr">
        <is>
          <t>VÄSTRA GÖTALANDS LÄN</t>
        </is>
      </c>
      <c r="G34" t="inlineStr">
        <is>
          <t>KARLSBORG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46270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46270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46270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46270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46270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46270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46270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46270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46270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46270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46270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46270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46270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46270</v>
      </c>
      <c r="F48" t="inlineStr">
        <is>
          <t>VÄSTRA GÖTALANDS LÄN</t>
        </is>
      </c>
      <c r="G48" t="inlineStr">
        <is>
          <t>KARLSBORG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45524</v>
      </c>
      <c r="E49" s="1" t="n">
        <v>46270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46270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44595</v>
      </c>
      <c r="E51" s="1" t="n">
        <v>46270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46270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46270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46270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46270</v>
      </c>
      <c r="F55" t="inlineStr">
        <is>
          <t>VÄSTRA GÖTALANDS LÄN</t>
        </is>
      </c>
      <c r="G55" t="inlineStr">
        <is>
          <t>KARLSBORG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46270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46270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46270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46270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46270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46270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46270</v>
      </c>
      <c r="F62" t="inlineStr">
        <is>
          <t>VÄSTRA GÖTALANDS LÄN</t>
        </is>
      </c>
      <c r="G62" t="inlineStr">
        <is>
          <t>KARLSBORG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46270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46021</v>
      </c>
      <c r="E64" s="1" t="n">
        <v>46270</v>
      </c>
      <c r="F64" t="inlineStr">
        <is>
          <t>VÄSTRA GÖTALANDS LÄN</t>
        </is>
      </c>
      <c r="G64" t="inlineStr">
        <is>
          <t>KARLSBORG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46021</v>
      </c>
      <c r="E65" s="1" t="n">
        <v>46270</v>
      </c>
      <c r="F65" t="inlineStr">
        <is>
          <t>VÄSTRA GÖTALANDS LÄN</t>
        </is>
      </c>
      <c r="G65" t="inlineStr">
        <is>
          <t>KARLSBORG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45804</v>
      </c>
      <c r="E66" s="1" t="n">
        <v>46270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46021</v>
      </c>
      <c r="E67" s="1" t="n">
        <v>46270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46270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45183</v>
      </c>
      <c r="E69" s="1" t="n">
        <v>46270</v>
      </c>
      <c r="F69" t="inlineStr">
        <is>
          <t>VÄSTRA GÖTALANDS LÄN</t>
        </is>
      </c>
      <c r="G69" t="inlineStr">
        <is>
          <t>KARLSBORG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46270</v>
      </c>
      <c r="F70" t="inlineStr">
        <is>
          <t>VÄSTRA GÖTALANDS LÄN</t>
        </is>
      </c>
      <c r="G70" t="inlineStr">
        <is>
          <t>KARLSBORG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46270</v>
      </c>
      <c r="F71" t="inlineStr">
        <is>
          <t>VÄSTRA GÖTALANDS LÄN</t>
        </is>
      </c>
      <c r="G71" t="inlineStr">
        <is>
          <t>KARLSBORG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51111-2024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46270</v>
      </c>
      <c r="F72" t="inlineStr">
        <is>
          <t>VÄSTRA GÖTALANDS LÄN</t>
        </is>
      </c>
      <c r="G72" t="inlineStr">
        <is>
          <t>KARLSBORG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58127-2024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45632</v>
      </c>
      <c r="E73" s="1" t="n">
        <v>46270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46270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statliga verk och myndigheter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46270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46270</v>
      </c>
      <c r="F76" t="inlineStr">
        <is>
          <t>VÄSTRA GÖTALANDS LÄN</t>
        </is>
      </c>
      <c r="G76" t="inlineStr">
        <is>
          <t>KARLSBORG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46270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46270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45257</v>
      </c>
      <c r="E79" s="1" t="n">
        <v>46270</v>
      </c>
      <c r="F79" t="inlineStr">
        <is>
          <t>VÄSTRA GÖTALANDS LÄN</t>
        </is>
      </c>
      <c r="G79" t="inlineStr">
        <is>
          <t>KARLSBORG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46270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46270</v>
      </c>
      <c r="F81" t="inlineStr">
        <is>
          <t>VÄSTRA GÖTALANDS LÄN</t>
        </is>
      </c>
      <c r="G81" t="inlineStr">
        <is>
          <t>KARLSBORG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70783-2021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44537</v>
      </c>
      <c r="E82" s="1" t="n">
        <v>46270</v>
      </c>
      <c r="F82" t="inlineStr">
        <is>
          <t>VÄSTRA GÖTALANDS LÄN</t>
        </is>
      </c>
      <c r="G82" t="inlineStr">
        <is>
          <t>KARLSBORG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46270</v>
      </c>
      <c r="F83" t="inlineStr">
        <is>
          <t>VÄSTRA GÖTALANDS LÄN</t>
        </is>
      </c>
      <c r="G83" t="inlineStr">
        <is>
          <t>KARLSBORG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46270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46270</v>
      </c>
      <c r="F85" t="inlineStr">
        <is>
          <t>VÄSTRA GÖTALANDS LÄN</t>
        </is>
      </c>
      <c r="G85" t="inlineStr">
        <is>
          <t>KARLSBORG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46270</v>
      </c>
      <c r="F86" t="inlineStr">
        <is>
          <t>VÄSTRA GÖTALANDS LÄN</t>
        </is>
      </c>
      <c r="G86" t="inlineStr">
        <is>
          <t>KARLSBORG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8053-2023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46270</v>
      </c>
      <c r="F87" t="inlineStr">
        <is>
          <t>VÄSTRA GÖTALANDS LÄN</t>
        </is>
      </c>
      <c r="G87" t="inlineStr">
        <is>
          <t>KARLSBORG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46270</v>
      </c>
      <c r="F88" t="inlineStr">
        <is>
          <t>VÄSTRA GÖTALANDS LÄN</t>
        </is>
      </c>
      <c r="G88" t="inlineStr">
        <is>
          <t>KARLSBORG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46270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32128-2025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45835</v>
      </c>
      <c r="E90" s="1" t="n">
        <v>46270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Sveaskog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31701-2025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45834</v>
      </c>
      <c r="E91" s="1" t="n">
        <v>46270</v>
      </c>
      <c r="F91" t="inlineStr">
        <is>
          <t>VÄSTRA GÖTALANDS LÄN</t>
        </is>
      </c>
      <c r="G91" t="inlineStr">
        <is>
          <t>KARLSBORG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46270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46270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46270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46270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46270</v>
      </c>
      <c r="F96" t="inlineStr">
        <is>
          <t>VÄSTRA GÖTALANDS LÄN</t>
        </is>
      </c>
      <c r="G96" t="inlineStr">
        <is>
          <t>KARLSBORG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46270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Sveaskog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44906</v>
      </c>
      <c r="E98" s="1" t="n">
        <v>46270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46270</v>
      </c>
      <c r="F99" t="inlineStr">
        <is>
          <t>VÄSTRA GÖTALANDS LÄN</t>
        </is>
      </c>
      <c r="G99" t="inlineStr">
        <is>
          <t>KARLSBORG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46270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46270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46270</v>
      </c>
      <c r="F102" t="inlineStr">
        <is>
          <t>VÄSTRA GÖTALANDS LÄN</t>
        </is>
      </c>
      <c r="G102" t="inlineStr">
        <is>
          <t>KARLSBORG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46270</v>
      </c>
      <c r="F103" t="inlineStr">
        <is>
          <t>VÄSTRA GÖTALANDS LÄN</t>
        </is>
      </c>
      <c r="G103" t="inlineStr">
        <is>
          <t>KARLSBORG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46270</v>
      </c>
      <c r="F104" t="inlineStr">
        <is>
          <t>VÄSTRA GÖTALANDS LÄN</t>
        </is>
      </c>
      <c r="G104" t="inlineStr">
        <is>
          <t>KARLSBORG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46270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35930-2025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46270</v>
      </c>
      <c r="F106" t="inlineStr">
        <is>
          <t>VÄSTRA GÖTALANDS LÄN</t>
        </is>
      </c>
      <c r="G106" t="inlineStr">
        <is>
          <t>KARLSBORG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45942</v>
      </c>
      <c r="E107" s="1" t="n">
        <v>46270</v>
      </c>
      <c r="F107" t="inlineStr">
        <is>
          <t>VÄSTRA GÖTALANDS LÄN</t>
        </is>
      </c>
      <c r="G107" t="inlineStr">
        <is>
          <t>KARLSBORG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46270</v>
      </c>
      <c r="F108" t="inlineStr">
        <is>
          <t>VÄSTRA GÖTALANDS LÄN</t>
        </is>
      </c>
      <c r="G108" t="inlineStr">
        <is>
          <t>KARLSBORG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46270</v>
      </c>
      <c r="F109" t="inlineStr">
        <is>
          <t>VÄSTRA GÖTALANDS LÄN</t>
        </is>
      </c>
      <c r="G109" t="inlineStr">
        <is>
          <t>KARLSBORG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46270</v>
      </c>
      <c r="F110" t="inlineStr">
        <is>
          <t>VÄSTRA GÖTALANDS LÄN</t>
        </is>
      </c>
      <c r="G110" t="inlineStr">
        <is>
          <t>KARLSBORG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45614</v>
      </c>
      <c r="E111" s="1" t="n">
        <v>46270</v>
      </c>
      <c r="F111" t="inlineStr">
        <is>
          <t>VÄSTRA GÖTALANDS LÄN</t>
        </is>
      </c>
      <c r="G111" t="inlineStr">
        <is>
          <t>KARLSBORG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46270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46270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46270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46270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46270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46270</v>
      </c>
      <c r="F117" t="inlineStr">
        <is>
          <t>VÄSTRA GÖTALANDS LÄN</t>
        </is>
      </c>
      <c r="G117" t="inlineStr">
        <is>
          <t>KARLSBORG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46270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46052</v>
      </c>
      <c r="E119" s="1" t="n">
        <v>46270</v>
      </c>
      <c r="F119" t="inlineStr">
        <is>
          <t>VÄSTRA GÖTALANDS LÄN</t>
        </is>
      </c>
      <c r="G119" t="inlineStr">
        <is>
          <t>KARLSBORG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46270</v>
      </c>
      <c r="F120" t="inlineStr">
        <is>
          <t>VÄSTRA GÖTALANDS LÄN</t>
        </is>
      </c>
      <c r="G120" t="inlineStr">
        <is>
          <t>KARLSBORG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46270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45470</v>
      </c>
      <c r="E122" s="1" t="n">
        <v>46270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44795</v>
      </c>
      <c r="E123" s="1" t="n">
        <v>46270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46270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46270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46270</v>
      </c>
      <c r="F126" t="inlineStr">
        <is>
          <t>VÄSTRA GÖTALANDS LÄN</t>
        </is>
      </c>
      <c r="G126" t="inlineStr">
        <is>
          <t>KARLSBORG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46270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statliga verk och myndigheter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46270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statliga verk och myndigheter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46270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statliga verk och myndigheter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46270</v>
      </c>
      <c r="F130" t="inlineStr">
        <is>
          <t>VÄSTRA GÖTALANDS LÄN</t>
        </is>
      </c>
      <c r="G130" t="inlineStr">
        <is>
          <t>KARLSBORG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46270</v>
      </c>
      <c r="F131" t="inlineStr">
        <is>
          <t>VÄSTRA GÖTALANDS LÄN</t>
        </is>
      </c>
      <c r="G131" t="inlineStr">
        <is>
          <t>KARLSBORG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46270</v>
      </c>
      <c r="F132" t="inlineStr">
        <is>
          <t>VÄSTRA GÖTALANDS LÄN</t>
        </is>
      </c>
      <c r="G132" t="inlineStr">
        <is>
          <t>KARLSBORG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46270</v>
      </c>
      <c r="F133" t="inlineStr">
        <is>
          <t>VÄSTRA GÖTALANDS LÄN</t>
        </is>
      </c>
      <c r="G133" t="inlineStr">
        <is>
          <t>KARLSBORG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44727</v>
      </c>
      <c r="E134" s="1" t="n">
        <v>46270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45233</v>
      </c>
      <c r="E135" s="1" t="n">
        <v>46270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45988</v>
      </c>
      <c r="E136" s="1" t="n">
        <v>46270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46270</v>
      </c>
      <c r="F137" t="inlineStr">
        <is>
          <t>VÄSTRA GÖTALANDS LÄN</t>
        </is>
      </c>
      <c r="G137" t="inlineStr">
        <is>
          <t>KARLSBORG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46270</v>
      </c>
      <c r="F138" t="inlineStr">
        <is>
          <t>VÄSTRA GÖTALANDS LÄN</t>
        </is>
      </c>
      <c r="G138" t="inlineStr">
        <is>
          <t>KARLSBORG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46270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46270</v>
      </c>
      <c r="F140" t="inlineStr">
        <is>
          <t>VÄSTRA GÖTALANDS LÄN</t>
        </is>
      </c>
      <c r="G140" t="inlineStr">
        <is>
          <t>KARLSBORG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65313-2021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46270</v>
      </c>
      <c r="F141" t="inlineStr">
        <is>
          <t>VÄSTRA GÖTALANDS LÄN</t>
        </is>
      </c>
      <c r="G141" t="inlineStr">
        <is>
          <t>KARLSBORG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46270</v>
      </c>
      <c r="F142" t="inlineStr">
        <is>
          <t>VÄSTRA GÖTALANDS LÄN</t>
        </is>
      </c>
      <c r="G142" t="inlineStr">
        <is>
          <t>KARLSBORG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46270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46270</v>
      </c>
      <c r="F144" t="inlineStr">
        <is>
          <t>VÄSTRA GÖTALANDS LÄN</t>
        </is>
      </c>
      <c r="G144" t="inlineStr">
        <is>
          <t>KARLSBORG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46270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46270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57915-2024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45631</v>
      </c>
      <c r="E147" s="1" t="n">
        <v>46270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46270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45386</v>
      </c>
      <c r="E149" s="1" t="n">
        <v>46270</v>
      </c>
      <c r="F149" t="inlineStr">
        <is>
          <t>VÄSTRA GÖTALANDS LÄN</t>
        </is>
      </c>
      <c r="G149" t="inlineStr">
        <is>
          <t>KARLSBORG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46270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44906</v>
      </c>
      <c r="E151" s="1" t="n">
        <v>46270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45209</v>
      </c>
      <c r="E152" s="1" t="n">
        <v>46270</v>
      </c>
      <c r="F152" t="inlineStr">
        <is>
          <t>VÄSTRA GÖTALANDS LÄN</t>
        </is>
      </c>
      <c r="G152" t="inlineStr">
        <is>
          <t>KARLSBORG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46270</v>
      </c>
      <c r="F153" t="inlineStr">
        <is>
          <t>VÄSTRA GÖTALANDS LÄN</t>
        </is>
      </c>
      <c r="G153" t="inlineStr">
        <is>
          <t>KARLSBORG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46270</v>
      </c>
      <c r="F154" t="inlineStr">
        <is>
          <t>VÄSTRA GÖTALANDS LÄN</t>
        </is>
      </c>
      <c r="G154" t="inlineStr">
        <is>
          <t>KARLSBORG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23500-2023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45076</v>
      </c>
      <c r="E155" s="1" t="n">
        <v>46270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46270</v>
      </c>
      <c r="F156" t="inlineStr">
        <is>
          <t>VÄSTRA GÖTALANDS LÄN</t>
        </is>
      </c>
      <c r="G156" t="inlineStr">
        <is>
          <t>KARLSBORG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46270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45251</v>
      </c>
      <c r="E158" s="1" t="n">
        <v>46270</v>
      </c>
      <c r="F158" t="inlineStr">
        <is>
          <t>VÄSTRA GÖTALANDS LÄN</t>
        </is>
      </c>
      <c r="G158" t="inlineStr">
        <is>
          <t>KARLSBORG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46270</v>
      </c>
      <c r="F159" t="inlineStr">
        <is>
          <t>VÄSTRA GÖTALANDS LÄN</t>
        </is>
      </c>
      <c r="G159" t="inlineStr">
        <is>
          <t>KARLSBORG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46270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29357-2024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45483</v>
      </c>
      <c r="E161" s="1" t="n">
        <v>46270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46270</v>
      </c>
      <c r="F162" t="inlineStr">
        <is>
          <t>VÄSTRA GÖTALANDS LÄN</t>
        </is>
      </c>
      <c r="G162" t="inlineStr">
        <is>
          <t>KARLSBORG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46270</v>
      </c>
      <c r="F163" t="inlineStr">
        <is>
          <t>VÄSTRA GÖTALANDS LÄN</t>
        </is>
      </c>
      <c r="G163" t="inlineStr">
        <is>
          <t>KARLSBORG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46270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46270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35441-2024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45531</v>
      </c>
      <c r="E166" s="1" t="n">
        <v>46270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46270</v>
      </c>
      <c r="F167" t="inlineStr">
        <is>
          <t>VÄSTRA GÖTALANDS LÄN</t>
        </is>
      </c>
      <c r="G167" t="inlineStr">
        <is>
          <t>KARLSBORG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44929</v>
      </c>
      <c r="E168" s="1" t="n">
        <v>46270</v>
      </c>
      <c r="F168" t="inlineStr">
        <is>
          <t>VÄSTRA GÖTALANDS LÄN</t>
        </is>
      </c>
      <c r="G168" t="inlineStr">
        <is>
          <t>KARLSBORG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  <c r="X168">
        <f>HYPERLINK("https://klasma.github.io/Logging_1446/kartor/A 412-2023 karta.png", "A 412-2023")</f>
        <v/>
      </c>
      <c r="Y168">
        <f>HYPERLINK("https://klasma.github.io/Logging_1446/kartor_geotiff/A 412-2023 georefererad karta.tif", "A 412-2023")</f>
        <v/>
      </c>
      <c r="AA168">
        <f>HYPERLINK("https://klasma.github.io/Logging_1446/klagomål/A 412-2023 FSC-klagomål.docx", "A 412-2023")</f>
        <v/>
      </c>
      <c r="AB168">
        <f>HYPERLINK("https://klasma.github.io/Logging_1446/klagomålsmail/A 412-2023 FSC-klagomål mail.docx", "A 412-2023")</f>
        <v/>
      </c>
      <c r="AC168">
        <f>HYPERLINK("https://klasma.github.io/Logging_1446/tillsyn/A 412-2023 tillsynsbegäran.docx", "A 412-2023")</f>
        <v/>
      </c>
      <c r="AD168">
        <f>HYPERLINK("https://klasma.github.io/Logging_1446/tillsynsmail/A 412-2023 tillsynsbegäran mail.docx", "A 412-2023")</f>
        <v/>
      </c>
    </row>
    <row r="169" ht="15" customHeight="1">
      <c r="A169" t="inlineStr">
        <is>
          <t>A 29685-2022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44755</v>
      </c>
      <c r="E169" s="1" t="n">
        <v>46270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46270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46270</v>
      </c>
      <c r="F171" t="inlineStr">
        <is>
          <t>VÄSTRA GÖTALANDS LÄN</t>
        </is>
      </c>
      <c r="G171" t="inlineStr">
        <is>
          <t>KARLSBORG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46143</v>
      </c>
      <c r="E172" s="1" t="n">
        <v>46270</v>
      </c>
      <c r="F172" t="inlineStr">
        <is>
          <t>VÄSTRA GÖTALANDS LÄN</t>
        </is>
      </c>
      <c r="G172" t="inlineStr">
        <is>
          <t>KARLSBORG</t>
        </is>
      </c>
      <c r="I172" t="n">
        <v>14.6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46142</v>
      </c>
      <c r="E173" s="1" t="n">
        <v>46270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57913-2024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45631</v>
      </c>
      <c r="E174" s="1" t="n">
        <v>46270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7977-2025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45707</v>
      </c>
      <c r="E175" s="1" t="n">
        <v>46270</v>
      </c>
      <c r="F175" t="inlineStr">
        <is>
          <t>VÄSTRA GÖTALANDS LÄN</t>
        </is>
      </c>
      <c r="G175" t="inlineStr">
        <is>
          <t>KARLSBORG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46270</v>
      </c>
      <c r="F176" t="inlineStr">
        <is>
          <t>VÄSTRA GÖTALANDS LÄN</t>
        </is>
      </c>
      <c r="G176" t="inlineStr">
        <is>
          <t>KARLSBORG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46270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Aktiebolag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45890</v>
      </c>
      <c r="E178" s="1" t="n">
        <v>46270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58129-2024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45632</v>
      </c>
      <c r="E179" s="1" t="n">
        <v>46270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46270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46270</v>
      </c>
      <c r="F181" t="inlineStr">
        <is>
          <t>VÄSTRA GÖTALANDS LÄN</t>
        </is>
      </c>
      <c r="G181" t="inlineStr">
        <is>
          <t>KARLSBORG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46270</v>
      </c>
      <c r="F182" t="inlineStr">
        <is>
          <t>VÄSTRA GÖTALANDS LÄN</t>
        </is>
      </c>
      <c r="G182" t="inlineStr">
        <is>
          <t>KARLSBORG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59890-2021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44494</v>
      </c>
      <c r="E183" s="1" t="n">
        <v>46270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statliga verk och myndigheter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46270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46270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44906</v>
      </c>
      <c r="E186" s="1" t="n">
        <v>46270</v>
      </c>
      <c r="F186" t="inlineStr">
        <is>
          <t>VÄSTRA GÖTALANDS LÄN</t>
        </is>
      </c>
      <c r="G186" t="inlineStr">
        <is>
          <t>KARLSBORG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69341-2021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44531</v>
      </c>
      <c r="E187" s="1" t="n">
        <v>46270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46270</v>
      </c>
      <c r="F188" t="inlineStr">
        <is>
          <t>VÄSTRA GÖTALANDS LÄN</t>
        </is>
      </c>
      <c r="G188" t="inlineStr">
        <is>
          <t>KARLSBORG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46270</v>
      </c>
      <c r="F189" t="inlineStr">
        <is>
          <t>VÄSTRA GÖTALANDS LÄN</t>
        </is>
      </c>
      <c r="G189" t="inlineStr">
        <is>
          <t>KARLSBORG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46270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15396-2024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45401</v>
      </c>
      <c r="E191" s="1" t="n">
        <v>46270</v>
      </c>
      <c r="F191" t="inlineStr">
        <is>
          <t>VÄSTRA GÖTALANDS LÄN</t>
        </is>
      </c>
      <c r="G191" t="inlineStr">
        <is>
          <t>KARLSBORG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46270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46270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46230</v>
      </c>
      <c r="E194" s="1" t="n">
        <v>46270</v>
      </c>
      <c r="F194" t="inlineStr">
        <is>
          <t>VÄSTRA GÖTALANDS LÄN</t>
        </is>
      </c>
      <c r="G194" t="inlineStr">
        <is>
          <t>KARLSBORG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46270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46270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46270</v>
      </c>
      <c r="F197" t="inlineStr">
        <is>
          <t>VÄSTRA GÖTALANDS LÄN</t>
        </is>
      </c>
      <c r="G197" t="inlineStr">
        <is>
          <t>KARLSBORG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46270</v>
      </c>
      <c r="F198" t="inlineStr">
        <is>
          <t>VÄSTRA GÖTALANDS LÄN</t>
        </is>
      </c>
      <c r="G198" t="inlineStr">
        <is>
          <t>KARLSBORG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46270</v>
      </c>
      <c r="F199" t="inlineStr">
        <is>
          <t>VÄSTRA GÖTALANDS LÄN</t>
        </is>
      </c>
      <c r="G199" t="inlineStr">
        <is>
          <t>KARLSBORG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46270</v>
      </c>
      <c r="F200" t="inlineStr">
        <is>
          <t>VÄSTRA GÖTALANDS LÄN</t>
        </is>
      </c>
      <c r="G200" t="inlineStr">
        <is>
          <t>KARLSBORG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46270</v>
      </c>
      <c r="F201" t="inlineStr">
        <is>
          <t>VÄSTRA GÖTALANDS LÄN</t>
        </is>
      </c>
      <c r="G201" t="inlineStr">
        <is>
          <t>KARLSBORG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46270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46270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46270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46270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46270</v>
      </c>
      <c r="F206" t="inlineStr">
        <is>
          <t>VÄSTRA GÖTALANDS LÄN</t>
        </is>
      </c>
      <c r="G206" t="inlineStr">
        <is>
          <t>KARLSBORG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45565</v>
      </c>
      <c r="E207" s="1" t="n">
        <v>46270</v>
      </c>
      <c r="F207" t="inlineStr">
        <is>
          <t>VÄSTRA GÖTALANDS LÄN</t>
        </is>
      </c>
      <c r="G207" t="inlineStr">
        <is>
          <t>KARLSBORG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46270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Aktiebolag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46160</v>
      </c>
      <c r="E209" s="1" t="n">
        <v>46270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46270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46270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45566</v>
      </c>
      <c r="E212" s="1" t="n">
        <v>46270</v>
      </c>
      <c r="F212" t="inlineStr">
        <is>
          <t>VÄSTRA GÖTALANDS LÄN</t>
        </is>
      </c>
      <c r="G212" t="inlineStr">
        <is>
          <t>KARLSBORG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46270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46270</v>
      </c>
      <c r="F214" t="inlineStr">
        <is>
          <t>VÄSTRA GÖTALANDS LÄN</t>
        </is>
      </c>
      <c r="G214" t="inlineStr">
        <is>
          <t>KARLSBORG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53898-2021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46270</v>
      </c>
      <c r="F215" t="inlineStr">
        <is>
          <t>VÄSTRA GÖTALANDS LÄN</t>
        </is>
      </c>
      <c r="G215" t="inlineStr">
        <is>
          <t>KARLSBORG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46270</v>
      </c>
      <c r="F216" t="inlineStr">
        <is>
          <t>VÄSTRA GÖTALANDS LÄN</t>
        </is>
      </c>
      <c r="G216" t="inlineStr">
        <is>
          <t>KARLSBORG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46270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46270</v>
      </c>
      <c r="F218" t="inlineStr">
        <is>
          <t>VÄSTRA GÖTALANDS LÄN</t>
        </is>
      </c>
      <c r="G218" t="inlineStr">
        <is>
          <t>KARLSBORG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46270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46270</v>
      </c>
      <c r="F220" t="inlineStr">
        <is>
          <t>VÄSTRA GÖTALANDS LÄN</t>
        </is>
      </c>
      <c r="G220" t="inlineStr">
        <is>
          <t>KARLSBORG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46270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46270</v>
      </c>
      <c r="F222" t="inlineStr">
        <is>
          <t>VÄSTRA GÖTALANDS LÄN</t>
        </is>
      </c>
      <c r="G222" t="inlineStr">
        <is>
          <t>KARLSBORG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46270</v>
      </c>
      <c r="F223" t="inlineStr">
        <is>
          <t>VÄSTRA GÖTALANDS LÄN</t>
        </is>
      </c>
      <c r="G223" t="inlineStr">
        <is>
          <t>KARLSBORG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46270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46270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2026-09-05T02:04:51Z</dcterms:created>
  <dcterms:modified xmlns:dcterms="http://purl.org/dc/terms/" xmlns:xsi="http://www.w3.org/2001/XMLSchema-instance" xsi:type="dcterms:W3CDTF">2026-09-05T02:05:03Z</dcterms:modified>
</cp:coreProperties>
</file>