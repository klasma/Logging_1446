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46013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46013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46013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46013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46013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46013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46013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46013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46013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46013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46013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46013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46013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46013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46013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46013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46013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46013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46013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46013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46013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46013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46013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46013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46013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46013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46013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30-2021</t>
        </is>
      </c>
      <c r="B29" s="1" t="n">
        <v>44198</v>
      </c>
      <c r="C29" s="1" t="n">
        <v>46013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46013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46013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46013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46013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46013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46013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46013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12204-2021</t>
        </is>
      </c>
      <c r="B37" s="1" t="n">
        <v>44266.65212962963</v>
      </c>
      <c r="C37" s="1" t="n">
        <v>46013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15620-2021</t>
        </is>
      </c>
      <c r="B38" s="1" t="n">
        <v>44285</v>
      </c>
      <c r="C38" s="1" t="n">
        <v>46013</v>
      </c>
      <c r="D38" t="inlineStr">
        <is>
          <t>VÄSTRA GÖTALANDS LÄN</t>
        </is>
      </c>
      <c r="E38" t="inlineStr">
        <is>
          <t>KARLSBORG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46013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46013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18625-2022</t>
        </is>
      </c>
      <c r="B41" s="1" t="n">
        <v>44687.44456018518</v>
      </c>
      <c r="C41" s="1" t="n">
        <v>46013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41954-2021</t>
        </is>
      </c>
      <c r="B42" s="1" t="n">
        <v>44426</v>
      </c>
      <c r="C42" s="1" t="n">
        <v>46013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33117-2022</t>
        </is>
      </c>
      <c r="B43" s="1" t="n">
        <v>44785.52291666667</v>
      </c>
      <c r="C43" s="1" t="n">
        <v>46013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46013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46013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46013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46013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46013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46013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46013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46013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46013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46013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46013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12208-2021</t>
        </is>
      </c>
      <c r="B55" s="1" t="n">
        <v>44266.65693287037</v>
      </c>
      <c r="C55" s="1" t="n">
        <v>46013</v>
      </c>
      <c r="D55" t="inlineStr">
        <is>
          <t>VÄSTRA GÖTALANDS LÄN</t>
        </is>
      </c>
      <c r="E55" t="inlineStr">
        <is>
          <t>KARLSBORG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25999-2023</t>
        </is>
      </c>
      <c r="B56" s="1" t="n">
        <v>45090.93861111111</v>
      </c>
      <c r="C56" s="1" t="n">
        <v>46013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26016-2023</t>
        </is>
      </c>
      <c r="B57" s="1" t="n">
        <v>45090.9447337963</v>
      </c>
      <c r="C57" s="1" t="n">
        <v>46013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46013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46013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43021-2021</t>
        </is>
      </c>
      <c r="B60" s="1" t="n">
        <v>44431.48305555555</v>
      </c>
      <c r="C60" s="1" t="n">
        <v>46013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8052-2023</t>
        </is>
      </c>
      <c r="B61" s="1" t="n">
        <v>44974</v>
      </c>
      <c r="C61" s="1" t="n">
        <v>46013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58533-2023</t>
        </is>
      </c>
      <c r="B62" s="1" t="n">
        <v>45251</v>
      </c>
      <c r="C62" s="1" t="n">
        <v>46013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8053-2023</t>
        </is>
      </c>
      <c r="B63" s="1" t="n">
        <v>44974</v>
      </c>
      <c r="C63" s="1" t="n">
        <v>46013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3575-2025</t>
        </is>
      </c>
      <c r="B64" s="1" t="n">
        <v>45680.72295138889</v>
      </c>
      <c r="C64" s="1" t="n">
        <v>46013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26914-2024</t>
        </is>
      </c>
      <c r="B65" s="1" t="n">
        <v>45470.79201388889</v>
      </c>
      <c r="C65" s="1" t="n">
        <v>46013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53898-2023</t>
        </is>
      </c>
      <c r="B66" s="1" t="n">
        <v>45231.54010416667</v>
      </c>
      <c r="C66" s="1" t="n">
        <v>46013</v>
      </c>
      <c r="D66" t="inlineStr">
        <is>
          <t>VÄSTRA GÖTALANDS LÄN</t>
        </is>
      </c>
      <c r="E66" t="inlineStr">
        <is>
          <t>KARLSBORG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35040-2024</t>
        </is>
      </c>
      <c r="B67" s="1" t="n">
        <v>45527.61861111111</v>
      </c>
      <c r="C67" s="1" t="n">
        <v>46013</v>
      </c>
      <c r="D67" t="inlineStr">
        <is>
          <t>VÄSTRA GÖTALANDS LÄN</t>
        </is>
      </c>
      <c r="E67" t="inlineStr">
        <is>
          <t>KARLSBORG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38290-2025</t>
        </is>
      </c>
      <c r="B68" s="1" t="n">
        <v>45883.44046296296</v>
      </c>
      <c r="C68" s="1" t="n">
        <v>46013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57727-2024</t>
        </is>
      </c>
      <c r="B69" s="1" t="n">
        <v>45630.70841435185</v>
      </c>
      <c r="C69" s="1" t="n">
        <v>46013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46013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46013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46013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46013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22960-2025</t>
        </is>
      </c>
      <c r="B74" s="1" t="n">
        <v>45790.53807870371</v>
      </c>
      <c r="C74" s="1" t="n">
        <v>46013</v>
      </c>
      <c r="D74" t="inlineStr">
        <is>
          <t>VÄSTRA GÖTALANDS LÄN</t>
        </is>
      </c>
      <c r="E74" t="inlineStr">
        <is>
          <t>KARLSBORG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46013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46013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25982-2025</t>
        </is>
      </c>
      <c r="B77" s="1" t="n">
        <v>45804.63818287037</v>
      </c>
      <c r="C77" s="1" t="n">
        <v>46013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29489-2025</t>
        </is>
      </c>
      <c r="B78" s="1" t="n">
        <v>45824.76096064815</v>
      </c>
      <c r="C78" s="1" t="n">
        <v>46013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58129-2024</t>
        </is>
      </c>
      <c r="B79" s="1" t="n">
        <v>45632.40585648148</v>
      </c>
      <c r="C79" s="1" t="n">
        <v>46013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46013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46013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46013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46013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7978-2025</t>
        </is>
      </c>
      <c r="B84" s="1" t="n">
        <v>45707.46611111111</v>
      </c>
      <c r="C84" s="1" t="n">
        <v>46013</v>
      </c>
      <c r="D84" t="inlineStr">
        <is>
          <t>VÄSTRA GÖTALANDS LÄN</t>
        </is>
      </c>
      <c r="E84" t="inlineStr">
        <is>
          <t>KARLSBORG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9771-2024</t>
        </is>
      </c>
      <c r="B85" s="1" t="n">
        <v>45362</v>
      </c>
      <c r="C85" s="1" t="n">
        <v>46013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46013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46904-2024</t>
        </is>
      </c>
      <c r="B87" s="1" t="n">
        <v>45583.70912037037</v>
      </c>
      <c r="C87" s="1" t="n">
        <v>46013</v>
      </c>
      <c r="D87" t="inlineStr">
        <is>
          <t>VÄSTRA GÖTALANDS LÄN</t>
        </is>
      </c>
      <c r="E87" t="inlineStr">
        <is>
          <t>KARLSBORG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28315-2025</t>
        </is>
      </c>
      <c r="B88" s="1" t="n">
        <v>45818.62765046296</v>
      </c>
      <c r="C88" s="1" t="n">
        <v>46013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5402-2022</t>
        </is>
      </c>
      <c r="B89" s="1" t="n">
        <v>44595</v>
      </c>
      <c r="C89" s="1" t="n">
        <v>46013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5439-2022</t>
        </is>
      </c>
      <c r="B90" s="1" t="n">
        <v>44595</v>
      </c>
      <c r="C90" s="1" t="n">
        <v>46013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41350-2025</t>
        </is>
      </c>
      <c r="B91" s="1" t="n">
        <v>45899.65248842593</v>
      </c>
      <c r="C91" s="1" t="n">
        <v>46013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23268-2022</t>
        </is>
      </c>
      <c r="B92" s="1" t="n">
        <v>44720.40994212963</v>
      </c>
      <c r="C92" s="1" t="n">
        <v>46013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46013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42598-2024</t>
        </is>
      </c>
      <c r="B94" s="1" t="n">
        <v>45565.70193287037</v>
      </c>
      <c r="C94" s="1" t="n">
        <v>46013</v>
      </c>
      <c r="D94" t="inlineStr">
        <is>
          <t>VÄSTRA GÖTALANDS LÄN</t>
        </is>
      </c>
      <c r="E94" t="inlineStr">
        <is>
          <t>KARLSBORG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13076-2023</t>
        </is>
      </c>
      <c r="B95" s="1" t="n">
        <v>45002</v>
      </c>
      <c r="C95" s="1" t="n">
        <v>46013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29485-2025</t>
        </is>
      </c>
      <c r="B96" s="1" t="n">
        <v>45824.74728009259</v>
      </c>
      <c r="C96" s="1" t="n">
        <v>46013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29488-2025</t>
        </is>
      </c>
      <c r="B97" s="1" t="n">
        <v>45824</v>
      </c>
      <c r="C97" s="1" t="n">
        <v>46013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46013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35441-2024</t>
        </is>
      </c>
      <c r="B99" s="1" t="n">
        <v>45531.4332175926</v>
      </c>
      <c r="C99" s="1" t="n">
        <v>46013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35443-2024</t>
        </is>
      </c>
      <c r="B100" s="1" t="n">
        <v>45531.43494212963</v>
      </c>
      <c r="C100" s="1" t="n">
        <v>46013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29486-2025</t>
        </is>
      </c>
      <c r="B101" s="1" t="n">
        <v>45824.75438657407</v>
      </c>
      <c r="C101" s="1" t="n">
        <v>46013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1454-2023</t>
        </is>
      </c>
      <c r="B102" s="1" t="n">
        <v>44937</v>
      </c>
      <c r="C102" s="1" t="n">
        <v>46013</v>
      </c>
      <c r="D102" t="inlineStr">
        <is>
          <t>VÄSTRA GÖTALANDS LÄN</t>
        </is>
      </c>
      <c r="E102" t="inlineStr">
        <is>
          <t>KARLSBORG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42724-2024</t>
        </is>
      </c>
      <c r="B103" s="1" t="n">
        <v>45566.46574074074</v>
      </c>
      <c r="C103" s="1" t="n">
        <v>46013</v>
      </c>
      <c r="D103" t="inlineStr">
        <is>
          <t>VÄSTRA GÖTALANDS LÄN</t>
        </is>
      </c>
      <c r="E103" t="inlineStr">
        <is>
          <t>KARLSBORG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10897-2025</t>
        </is>
      </c>
      <c r="B104" s="1" t="n">
        <v>45722.68349537037</v>
      </c>
      <c r="C104" s="1" t="n">
        <v>46013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15656-2024</t>
        </is>
      </c>
      <c r="B105" s="1" t="n">
        <v>45404</v>
      </c>
      <c r="C105" s="1" t="n">
        <v>46013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44985-2024</t>
        </is>
      </c>
      <c r="B106" s="1" t="n">
        <v>45575.47465277778</v>
      </c>
      <c r="C106" s="1" t="n">
        <v>46013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30772-2025</t>
        </is>
      </c>
      <c r="B107" s="1" t="n">
        <v>45831.61435185185</v>
      </c>
      <c r="C107" s="1" t="n">
        <v>46013</v>
      </c>
      <c r="D107" t="inlineStr">
        <is>
          <t>VÄSTRA GÖTALANDS LÄN</t>
        </is>
      </c>
      <c r="E107" t="inlineStr">
        <is>
          <t>KARLSBORG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30676-2025</t>
        </is>
      </c>
      <c r="B108" s="1" t="n">
        <v>45831.52273148148</v>
      </c>
      <c r="C108" s="1" t="n">
        <v>46013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31770-2025</t>
        </is>
      </c>
      <c r="B109" s="1" t="n">
        <v>45834.50756944445</v>
      </c>
      <c r="C109" s="1" t="n">
        <v>46013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44366-2025</t>
        </is>
      </c>
      <c r="B110" s="1" t="n">
        <v>45916.45835648148</v>
      </c>
      <c r="C110" s="1" t="n">
        <v>46013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46013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46013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31444-2025</t>
        </is>
      </c>
      <c r="B113" s="1" t="n">
        <v>45833.51385416667</v>
      </c>
      <c r="C113" s="1" t="n">
        <v>46013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31701-2025</t>
        </is>
      </c>
      <c r="B114" s="1" t="n">
        <v>45834</v>
      </c>
      <c r="C114" s="1" t="n">
        <v>46013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46013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39699-2025</t>
        </is>
      </c>
      <c r="B116" s="1" t="n">
        <v>45890</v>
      </c>
      <c r="C116" s="1" t="n">
        <v>46013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48888-2023</t>
        </is>
      </c>
      <c r="B117" s="1" t="n">
        <v>45209</v>
      </c>
      <c r="C117" s="1" t="n">
        <v>46013</v>
      </c>
      <c r="D117" t="inlineStr">
        <is>
          <t>VÄSTRA GÖTALANDS LÄN</t>
        </is>
      </c>
      <c r="E117" t="inlineStr">
        <is>
          <t>KARLSBORG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46013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46013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48174-2024</t>
        </is>
      </c>
      <c r="B120" s="1" t="n">
        <v>45589.84282407408</v>
      </c>
      <c r="C120" s="1" t="n">
        <v>46013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45247-2025</t>
        </is>
      </c>
      <c r="B121" s="1" t="n">
        <v>45919.60940972222</v>
      </c>
      <c r="C121" s="1" t="n">
        <v>46013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46013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34314-2024</t>
        </is>
      </c>
      <c r="B123" s="1" t="n">
        <v>45524</v>
      </c>
      <c r="C123" s="1" t="n">
        <v>46013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8990-2025</t>
        </is>
      </c>
      <c r="B124" s="1" t="n">
        <v>45713.54516203704</v>
      </c>
      <c r="C124" s="1" t="n">
        <v>46013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15699-2025</t>
        </is>
      </c>
      <c r="B125" s="1" t="n">
        <v>45748.47081018519</v>
      </c>
      <c r="C125" s="1" t="n">
        <v>46013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47265-2025</t>
        </is>
      </c>
      <c r="B126" s="1" t="n">
        <v>45930.45715277778</v>
      </c>
      <c r="C126" s="1" t="n">
        <v>46013</v>
      </c>
      <c r="D126" t="inlineStr">
        <is>
          <t>VÄSTRA GÖTALANDS LÄN</t>
        </is>
      </c>
      <c r="E126" t="inlineStr">
        <is>
          <t>KARLSBORG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47262-2025</t>
        </is>
      </c>
      <c r="B127" s="1" t="n">
        <v>45930.45395833333</v>
      </c>
      <c r="C127" s="1" t="n">
        <v>46013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412-2023</t>
        </is>
      </c>
      <c r="B128" s="1" t="n">
        <v>44929</v>
      </c>
      <c r="C128" s="1" t="n">
        <v>46013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HYPERLINK("https://klasma.github.io/Logging_1446/kartor/A 412-2023 karta.png", "A 412-2023")</f>
        <v/>
      </c>
      <c r="V128">
        <f>HYPERLINK("https://klasma.github.io/Logging_1446/klagomål/A 412-2023 FSC-klagomål.docx", "A 412-2023")</f>
        <v/>
      </c>
      <c r="W128">
        <f>HYPERLINK("https://klasma.github.io/Logging_1446/klagomålsmail/A 412-2023 FSC-klagomål mail.docx", "A 412-2023")</f>
        <v/>
      </c>
      <c r="X128">
        <f>HYPERLINK("https://klasma.github.io/Logging_1446/tillsyn/A 412-2023 tillsynsbegäran.docx", "A 412-2023")</f>
        <v/>
      </c>
      <c r="Y128">
        <f>HYPERLINK("https://klasma.github.io/Logging_1446/tillsynsmail/A 412-2023 tillsynsbegäran mail.docx", "A 412-2023")</f>
        <v/>
      </c>
    </row>
    <row r="129" ht="15" customHeight="1">
      <c r="A129" t="inlineStr">
        <is>
          <t>A 18248-2025</t>
        </is>
      </c>
      <c r="B129" s="1" t="n">
        <v>45761</v>
      </c>
      <c r="C129" s="1" t="n">
        <v>46013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9788-2025</t>
        </is>
      </c>
      <c r="B130" s="1" t="n">
        <v>45716.54331018519</v>
      </c>
      <c r="C130" s="1" t="n">
        <v>46013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10828-2024</t>
        </is>
      </c>
      <c r="B131" s="1" t="n">
        <v>45369.69503472222</v>
      </c>
      <c r="C131" s="1" t="n">
        <v>46013</v>
      </c>
      <c r="D131" t="inlineStr">
        <is>
          <t>VÄSTRA GÖTALANDS LÄN</t>
        </is>
      </c>
      <c r="E131" t="inlineStr">
        <is>
          <t>KARLSBORG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56110-2025</t>
        </is>
      </c>
      <c r="B132" s="1" t="n">
        <v>45973.73524305555</v>
      </c>
      <c r="C132" s="1" t="n">
        <v>46013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61559-2023</t>
        </is>
      </c>
      <c r="B133" s="1" t="n">
        <v>45265</v>
      </c>
      <c r="C133" s="1" t="n">
        <v>46013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46013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35929-2025</t>
        </is>
      </c>
      <c r="B135" s="1" t="n">
        <v>45862.61262731482</v>
      </c>
      <c r="C135" s="1" t="n">
        <v>46013</v>
      </c>
      <c r="D135" t="inlineStr">
        <is>
          <t>VÄSTRA GÖTALANDS LÄN</t>
        </is>
      </c>
      <c r="E135" t="inlineStr">
        <is>
          <t>KARLSBORG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35930-2025</t>
        </is>
      </c>
      <c r="B136" s="1" t="n">
        <v>45862</v>
      </c>
      <c r="C136" s="1" t="n">
        <v>46013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46013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16796-2021</t>
        </is>
      </c>
      <c r="B138" s="1" t="n">
        <v>44295</v>
      </c>
      <c r="C138" s="1" t="n">
        <v>46013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48385-2025</t>
        </is>
      </c>
      <c r="B139" s="1" t="n">
        <v>45933.84990740741</v>
      </c>
      <c r="C139" s="1" t="n">
        <v>46013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46013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48129-2025</t>
        </is>
      </c>
      <c r="B141" s="1" t="n">
        <v>45933.36778935185</v>
      </c>
      <c r="C141" s="1" t="n">
        <v>46013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13077-2023</t>
        </is>
      </c>
      <c r="B142" s="1" t="n">
        <v>45002.40217592593</v>
      </c>
      <c r="C142" s="1" t="n">
        <v>46013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37036-2025</t>
        </is>
      </c>
      <c r="B143" s="1" t="n">
        <v>45875</v>
      </c>
      <c r="C143" s="1" t="n">
        <v>46013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46013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46013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46013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46013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46013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46013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57581-2025</t>
        </is>
      </c>
      <c r="B150" s="1" t="n">
        <v>45980</v>
      </c>
      <c r="C150" s="1" t="n">
        <v>46013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49866-2025</t>
        </is>
      </c>
      <c r="B151" s="1" t="n">
        <v>45940.53121527778</v>
      </c>
      <c r="C151" s="1" t="n">
        <v>46013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46013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46013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49985-2025</t>
        </is>
      </c>
      <c r="B154" s="1" t="n">
        <v>45942.7809837963</v>
      </c>
      <c r="C154" s="1" t="n">
        <v>46013</v>
      </c>
      <c r="D154" t="inlineStr">
        <is>
          <t>VÄSTRA GÖTALANDS LÄN</t>
        </is>
      </c>
      <c r="E154" t="inlineStr">
        <is>
          <t>KARLSBORG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59111-2025</t>
        </is>
      </c>
      <c r="B155" s="1" t="n">
        <v>45988.48037037037</v>
      </c>
      <c r="C155" s="1" t="n">
        <v>46013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53247-2023</t>
        </is>
      </c>
      <c r="B156" s="1" t="n">
        <v>45229.50737268518</v>
      </c>
      <c r="C156" s="1" t="n">
        <v>46013</v>
      </c>
      <c r="D156" t="inlineStr">
        <is>
          <t>VÄSTRA GÖTALANDS LÄN</t>
        </is>
      </c>
      <c r="E156" t="inlineStr">
        <is>
          <t>KARLSBORG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54623-2024</t>
        </is>
      </c>
      <c r="B157" s="1" t="n">
        <v>45617.76770833333</v>
      </c>
      <c r="C157" s="1" t="n">
        <v>46013</v>
      </c>
      <c r="D157" t="inlineStr">
        <is>
          <t>VÄSTRA GÖTALANDS LÄN</t>
        </is>
      </c>
      <c r="E157" t="inlineStr">
        <is>
          <t>KARLSBORG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46013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46013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46013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46013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70945-2021</t>
        </is>
      </c>
      <c r="B162" s="1" t="n">
        <v>44538.50564814815</v>
      </c>
      <c r="C162" s="1" t="n">
        <v>46013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42710-2024</t>
        </is>
      </c>
      <c r="B163" s="1" t="n">
        <v>45566.44601851852</v>
      </c>
      <c r="C163" s="1" t="n">
        <v>46013</v>
      </c>
      <c r="D163" t="inlineStr">
        <is>
          <t>VÄSTRA GÖTALANDS LÄN</t>
        </is>
      </c>
      <c r="E163" t="inlineStr">
        <is>
          <t>KARLSBORG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53439-2025</t>
        </is>
      </c>
      <c r="B164" s="1" t="n">
        <v>45959</v>
      </c>
      <c r="C164" s="1" t="n">
        <v>46013</v>
      </c>
      <c r="D164" t="inlineStr">
        <is>
          <t>VÄSTRA GÖTALANDS LÄN</t>
        </is>
      </c>
      <c r="E164" t="inlineStr">
        <is>
          <t>KARLSBORG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60877-2025</t>
        </is>
      </c>
      <c r="B165" s="1" t="n">
        <v>45999.55611111111</v>
      </c>
      <c r="C165" s="1" t="n">
        <v>46013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25696-2023</t>
        </is>
      </c>
      <c r="B166" s="1" t="n">
        <v>45089.96881944445</v>
      </c>
      <c r="C166" s="1" t="n">
        <v>46013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60878-2025</t>
        </is>
      </c>
      <c r="B167" s="1" t="n">
        <v>45999.55688657407</v>
      </c>
      <c r="C167" s="1" t="n">
        <v>46013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46013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46013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46013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46013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53645-2025</t>
        </is>
      </c>
      <c r="B172" s="1" t="n">
        <v>45960.51917824074</v>
      </c>
      <c r="C172" s="1" t="n">
        <v>46013</v>
      </c>
      <c r="D172" t="inlineStr">
        <is>
          <t>VÄSTRA GÖTALANDS LÄN</t>
        </is>
      </c>
      <c r="E172" t="inlineStr">
        <is>
          <t>KARLSBORG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53647-2025</t>
        </is>
      </c>
      <c r="B173" s="1" t="n">
        <v>45960.52046296297</v>
      </c>
      <c r="C173" s="1" t="n">
        <v>46013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2784-2023</t>
        </is>
      </c>
      <c r="B174" s="1" t="n">
        <v>44944.66162037037</v>
      </c>
      <c r="C174" s="1" t="n">
        <v>46013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27823-2023</t>
        </is>
      </c>
      <c r="B175" s="1" t="n">
        <v>45098.5205787037</v>
      </c>
      <c r="C175" s="1" t="n">
        <v>46013</v>
      </c>
      <c r="D175" t="inlineStr">
        <is>
          <t>VÄSTRA GÖTALANDS LÄN</t>
        </is>
      </c>
      <c r="E175" t="inlineStr">
        <is>
          <t>KARLSBORG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46013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62068-2025</t>
        </is>
      </c>
      <c r="B177" s="1" t="n">
        <v>46006.35954861111</v>
      </c>
      <c r="C177" s="1" t="n">
        <v>46013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46013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46013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46013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62072-2025</t>
        </is>
      </c>
      <c r="B181" s="1" t="n">
        <v>46006.36180555556</v>
      </c>
      <c r="C181" s="1" t="n">
        <v>46013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54454-2025</t>
        </is>
      </c>
      <c r="B182" s="1" t="n">
        <v>45965.55086805556</v>
      </c>
      <c r="C182" s="1" t="n">
        <v>46013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2791-2023</t>
        </is>
      </c>
      <c r="B183" s="1" t="n">
        <v>44944.67371527778</v>
      </c>
      <c r="C183" s="1" t="n">
        <v>46013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45019-2024</t>
        </is>
      </c>
      <c r="B184" s="1" t="n">
        <v>45575.49673611111</v>
      </c>
      <c r="C184" s="1" t="n">
        <v>46013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69483-2020</t>
        </is>
      </c>
      <c r="B185" s="1" t="n">
        <v>44194</v>
      </c>
      <c r="C185" s="1" t="n">
        <v>46013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34120-2024</t>
        </is>
      </c>
      <c r="B186" s="1" t="n">
        <v>45524.30751157407</v>
      </c>
      <c r="C186" s="1" t="n">
        <v>46013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34123-2024</t>
        </is>
      </c>
      <c r="B187" s="1" t="n">
        <v>45524</v>
      </c>
      <c r="C187" s="1" t="n">
        <v>46013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34125-2024</t>
        </is>
      </c>
      <c r="B188" s="1" t="n">
        <v>45524.31809027777</v>
      </c>
      <c r="C188" s="1" t="n">
        <v>46013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59887-2021</t>
        </is>
      </c>
      <c r="B189" s="1" t="n">
        <v>44494</v>
      </c>
      <c r="C189" s="1" t="n">
        <v>46013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statliga verk och myndigheter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59890-2021</t>
        </is>
      </c>
      <c r="B190" s="1" t="n">
        <v>44494</v>
      </c>
      <c r="C190" s="1" t="n">
        <v>46013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10007-2025</t>
        </is>
      </c>
      <c r="B191" s="1" t="n">
        <v>45719.45627314815</v>
      </c>
      <c r="C191" s="1" t="n">
        <v>46013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37519-2024</t>
        </is>
      </c>
      <c r="B192" s="1" t="n">
        <v>45541.39113425926</v>
      </c>
      <c r="C192" s="1" t="n">
        <v>46013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59712-2021</t>
        </is>
      </c>
      <c r="B193" s="1" t="n">
        <v>44494</v>
      </c>
      <c r="C193" s="1" t="n">
        <v>46013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69341-2021</t>
        </is>
      </c>
      <c r="B194" s="1" t="n">
        <v>44531</v>
      </c>
      <c r="C194" s="1" t="n">
        <v>46013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43709-2024</t>
        </is>
      </c>
      <c r="B195" s="1" t="n">
        <v>45569</v>
      </c>
      <c r="C195" s="1" t="n">
        <v>46013</v>
      </c>
      <c r="D195" t="inlineStr">
        <is>
          <t>VÄSTRA GÖTALANDS LÄN</t>
        </is>
      </c>
      <c r="E195" t="inlineStr">
        <is>
          <t>KARLSBORG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9337-2025</t>
        </is>
      </c>
      <c r="B196" s="1" t="n">
        <v>45714</v>
      </c>
      <c r="C196" s="1" t="n">
        <v>46013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57913-2024</t>
        </is>
      </c>
      <c r="B197" s="1" t="n">
        <v>45631.49569444444</v>
      </c>
      <c r="C197" s="1" t="n">
        <v>46013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14738-2025</t>
        </is>
      </c>
      <c r="B198" s="1" t="n">
        <v>45742.64620370371</v>
      </c>
      <c r="C198" s="1" t="n">
        <v>46013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23500-2023</t>
        </is>
      </c>
      <c r="B199" s="1" t="n">
        <v>45076</v>
      </c>
      <c r="C199" s="1" t="n">
        <v>46013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41937-2024</t>
        </is>
      </c>
      <c r="B200" s="1" t="n">
        <v>45561.57283564815</v>
      </c>
      <c r="C200" s="1" t="n">
        <v>46013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46013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50985-2023</t>
        </is>
      </c>
      <c r="B202" s="1" t="n">
        <v>45218.53603009259</v>
      </c>
      <c r="C202" s="1" t="n">
        <v>46013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52381-2024</t>
        </is>
      </c>
      <c r="B203" s="1" t="n">
        <v>45609.41010416667</v>
      </c>
      <c r="C203" s="1" t="n">
        <v>46013</v>
      </c>
      <c r="D203" t="inlineStr">
        <is>
          <t>VÄSTRA GÖTALANDS LÄN</t>
        </is>
      </c>
      <c r="E203" t="inlineStr">
        <is>
          <t>KARLSBORG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HYPERLINK("https://klasma.github.io/Logging_1446/knärot/A 52381-2024 karta knärot.png", "A 52381-2024")</f>
        <v/>
      </c>
      <c r="V203">
        <f>HYPERLINK("https://klasma.github.io/Logging_1446/klagomål/A 52381-2024 FSC-klagomål.docx", "A 52381-2024")</f>
        <v/>
      </c>
      <c r="W203">
        <f>HYPERLINK("https://klasma.github.io/Logging_1446/klagomålsmail/A 52381-2024 FSC-klagomål mail.docx", "A 52381-2024")</f>
        <v/>
      </c>
      <c r="X203">
        <f>HYPERLINK("https://klasma.github.io/Logging_1446/tillsyn/A 52381-2024 tillsynsbegäran.docx", "A 52381-2024")</f>
        <v/>
      </c>
      <c r="Y203">
        <f>HYPERLINK("https://klasma.github.io/Logging_1446/tillsynsmail/A 52381-2024 tillsynsbegäran mail.docx", "A 52381-2024")</f>
        <v/>
      </c>
    </row>
    <row r="204" ht="15" customHeight="1">
      <c r="A204" t="inlineStr">
        <is>
          <t>A 41689-2023</t>
        </is>
      </c>
      <c r="B204" s="1" t="n">
        <v>45176</v>
      </c>
      <c r="C204" s="1" t="n">
        <v>46013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56545-2023</t>
        </is>
      </c>
      <c r="B205" s="1" t="n">
        <v>45243.58105324074</v>
      </c>
      <c r="C205" s="1" t="n">
        <v>46013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38103-2023</t>
        </is>
      </c>
      <c r="B206" s="1" t="n">
        <v>45161</v>
      </c>
      <c r="C206" s="1" t="n">
        <v>46013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53909-2023</t>
        </is>
      </c>
      <c r="B207" s="1" t="n">
        <v>45231.55700231482</v>
      </c>
      <c r="C207" s="1" t="n">
        <v>46013</v>
      </c>
      <c r="D207" t="inlineStr">
        <is>
          <t>VÄSTRA GÖTALANDS LÄN</t>
        </is>
      </c>
      <c r="E207" t="inlineStr">
        <is>
          <t>KARLSBORG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44577-2023</t>
        </is>
      </c>
      <c r="B208" s="1" t="n">
        <v>45183</v>
      </c>
      <c r="C208" s="1" t="n">
        <v>46013</v>
      </c>
      <c r="D208" t="inlineStr">
        <is>
          <t>VÄSTRA GÖTALANDS LÄN</t>
        </is>
      </c>
      <c r="E208" t="inlineStr">
        <is>
          <t>KARLSBORG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10415-2025</t>
        </is>
      </c>
      <c r="B209" s="1" t="n">
        <v>45720.63358796296</v>
      </c>
      <c r="C209" s="1" t="n">
        <v>46013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59047-2023</t>
        </is>
      </c>
      <c r="B210" s="1" t="n">
        <v>45252.73967592593</v>
      </c>
      <c r="C210" s="1" t="n">
        <v>46013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37383-2022</t>
        </is>
      </c>
      <c r="B211" s="1" t="n">
        <v>44809.40762731482</v>
      </c>
      <c r="C211" s="1" t="n">
        <v>46013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16918-2025</t>
        </is>
      </c>
      <c r="B212" s="1" t="n">
        <v>45755.37185185185</v>
      </c>
      <c r="C212" s="1" t="n">
        <v>46013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13010-2025</t>
        </is>
      </c>
      <c r="B213" s="1" t="n">
        <v>45734.52155092593</v>
      </c>
      <c r="C213" s="1" t="n">
        <v>46013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42825-2024</t>
        </is>
      </c>
      <c r="B214" s="1" t="n">
        <v>45566.60034722222</v>
      </c>
      <c r="C214" s="1" t="n">
        <v>46013</v>
      </c>
      <c r="D214" t="inlineStr">
        <is>
          <t>VÄSTRA GÖTALANDS LÄN</t>
        </is>
      </c>
      <c r="E214" t="inlineStr">
        <is>
          <t>KARLSBORG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46013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57235-2022</t>
        </is>
      </c>
      <c r="B216" s="1" t="n">
        <v>44895.67813657408</v>
      </c>
      <c r="C216" s="1" t="n">
        <v>46013</v>
      </c>
      <c r="D216" t="inlineStr">
        <is>
          <t>VÄSTRA GÖTALANDS LÄN</t>
        </is>
      </c>
      <c r="E216" t="inlineStr">
        <is>
          <t>KARLSBORG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32314-2021</t>
        </is>
      </c>
      <c r="B217" s="1" t="n">
        <v>44371.53730324074</v>
      </c>
      <c r="C217" s="1" t="n">
        <v>46013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19125-2025</t>
        </is>
      </c>
      <c r="B218" s="1" t="n">
        <v>45768.8713425926</v>
      </c>
      <c r="C218" s="1" t="n">
        <v>46013</v>
      </c>
      <c r="D218" t="inlineStr">
        <is>
          <t>VÄSTRA GÖTALANDS LÄN</t>
        </is>
      </c>
      <c r="E218" t="inlineStr">
        <is>
          <t>KARLSBORG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19126-2025</t>
        </is>
      </c>
      <c r="B219" s="1" t="n">
        <v>45768.87210648148</v>
      </c>
      <c r="C219" s="1" t="n">
        <v>46013</v>
      </c>
      <c r="D219" t="inlineStr">
        <is>
          <t>VÄSTRA GÖTALANDS LÄN</t>
        </is>
      </c>
      <c r="E219" t="inlineStr">
        <is>
          <t>KARLSBORG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59404-2022</t>
        </is>
      </c>
      <c r="B220" s="1" t="n">
        <v>44906.9374537037</v>
      </c>
      <c r="C220" s="1" t="n">
        <v>46013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62304-2021</t>
        </is>
      </c>
      <c r="B221" s="1" t="n">
        <v>44503.38475694445</v>
      </c>
      <c r="C221" s="1" t="n">
        <v>46013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15958-2022</t>
        </is>
      </c>
      <c r="B222" s="1" t="n">
        <v>44664.84104166667</v>
      </c>
      <c r="C222" s="1" t="n">
        <v>46013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46013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30136-2024</t>
        </is>
      </c>
      <c r="B224" s="1" t="n">
        <v>45489.56859953704</v>
      </c>
      <c r="C224" s="1" t="n">
        <v>46013</v>
      </c>
      <c r="D224" t="inlineStr">
        <is>
          <t>VÄSTRA GÖTALANDS LÄN</t>
        </is>
      </c>
      <c r="E224" t="inlineStr">
        <is>
          <t>KARLSBORG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59877-2021</t>
        </is>
      </c>
      <c r="B225" s="1" t="n">
        <v>44494</v>
      </c>
      <c r="C225" s="1" t="n">
        <v>46013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20564-2024</t>
        </is>
      </c>
      <c r="B226" s="1" t="n">
        <v>45436</v>
      </c>
      <c r="C226" s="1" t="n">
        <v>46013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2100-2023</t>
        </is>
      </c>
      <c r="B227" s="1" t="n">
        <v>44939.71349537037</v>
      </c>
      <c r="C227" s="1" t="n">
        <v>46013</v>
      </c>
      <c r="D227" t="inlineStr">
        <is>
          <t>VÄSTRA GÖTALANDS LÄN</t>
        </is>
      </c>
      <c r="E227" t="inlineStr">
        <is>
          <t>KARLSBORG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46013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26017-2023</t>
        </is>
      </c>
      <c r="B229" s="1" t="n">
        <v>45090.95387731482</v>
      </c>
      <c r="C229" s="1" t="n">
        <v>46013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46013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18623-2022</t>
        </is>
      </c>
      <c r="B231" s="1" t="n">
        <v>44687.44261574074</v>
      </c>
      <c r="C231" s="1" t="n">
        <v>46013</v>
      </c>
      <c r="D231" t="inlineStr">
        <is>
          <t>VÄSTRA GÖTALANDS LÄN</t>
        </is>
      </c>
      <c r="E231" t="inlineStr">
        <is>
          <t>KARLSBORG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44906.89612268518</v>
      </c>
      <c r="C232" s="1" t="n">
        <v>46013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46013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46013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46013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46013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46013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46013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46013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46013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46013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46013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46013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46013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46013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46013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46013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46013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46013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13252-2024</t>
        </is>
      </c>
      <c r="B250" s="1" t="n">
        <v>45386.57976851852</v>
      </c>
      <c r="C250" s="1" t="n">
        <v>46013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41943-2024</t>
        </is>
      </c>
      <c r="B251" s="1" t="n">
        <v>45561.57412037037</v>
      </c>
      <c r="C251" s="1" t="n">
        <v>46013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7977-2025</t>
        </is>
      </c>
      <c r="B252" s="1" t="n">
        <v>45707.46462962963</v>
      </c>
      <c r="C252" s="1" t="n">
        <v>46013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57915-2024</t>
        </is>
      </c>
      <c r="B253" s="1" t="n">
        <v>45631.49766203704</v>
      </c>
      <c r="C253" s="1" t="n">
        <v>46013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46013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46013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46013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46013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46013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46013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46013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8984-2025</t>
        </is>
      </c>
      <c r="B261" s="1" t="n">
        <v>45713.53513888889</v>
      </c>
      <c r="C261" s="1" t="n">
        <v>46013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10667-2025</t>
        </is>
      </c>
      <c r="B262" s="1" t="n">
        <v>45721.76960648148</v>
      </c>
      <c r="C262" s="1" t="n">
        <v>46013</v>
      </c>
      <c r="D262" t="inlineStr">
        <is>
          <t>VÄSTRA GÖTALANDS LÄN</t>
        </is>
      </c>
      <c r="E262" t="inlineStr">
        <is>
          <t>KARLSBORG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2025-12-22T10:30:56Z</dcterms:created>
  <dcterms:modified xmlns:dcterms="http://purl.org/dc/terms/" xmlns:xsi="http://www.w3.org/2001/XMLSchema-instance" xsi:type="dcterms:W3CDTF">2025-12-22T10:30:56Z</dcterms:modified>
</cp:coreProperties>
</file>