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46225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46225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Talltita
Älg
Mindre märgborre
Vågbandad barkbock
Tjäder</t>
        </is>
      </c>
      <c r="W5">
        <f>HYPERLINK("https://klasma.github.io/Logging_1446/artfynd/A 22877-2026 artfynd.xlsx", "A 22877-2026")</f>
        <v/>
      </c>
      <c r="X5">
        <f>HYPERLINK("https://klasma.github.io/Logging_1446/kartor/A 22877-2026 karta.png", "A 22877-2026")</f>
        <v/>
      </c>
      <c r="Y5">
        <f>HYPERLINK("https://klasma.github.io/Logging_1446/kartor_geotiff/A 22877-2026 georefererad karta.tif", "A 22877-2026")</f>
        <v/>
      </c>
      <c r="AA5">
        <f>HYPERLINK("https://klasma.github.io/Logging_1446/klagomål/A 22877-2026 FSC-klagomål.docx", "A 22877-2026")</f>
        <v/>
      </c>
      <c r="AB5">
        <f>HYPERLINK("https://klasma.github.io/Logging_1446/klagomålsmail/A 22877-2026 FSC-klagomål mail.docx", "A 22877-2026")</f>
        <v/>
      </c>
      <c r="AC5">
        <f>HYPERLINK("https://klasma.github.io/Logging_1446/tillsyn/A 22877-2026 tillsynsbegäran.docx", "A 22877-2026")</f>
        <v/>
      </c>
      <c r="AD5">
        <f>HYPERLINK("https://klasma.github.io/Logging_1446/tillsynsmail/A 22877-2026 tillsynsbegäran mail.docx", "A 22877-2026")</f>
        <v/>
      </c>
      <c r="AE5">
        <f>HYPERLINK("https://klasma.github.io/Logging_1446/fåglar/A 22877-2026 prioriterade fågelarter.docx", "A 22877-2026")</f>
        <v/>
      </c>
    </row>
    <row r="6" ht="15" customHeight="1">
      <c r="A6" t="inlineStr">
        <is>
          <t>A 47703-2021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44448</v>
      </c>
      <c r="E6" s="1" t="n">
        <v>46225</v>
      </c>
      <c r="F6" t="inlineStr">
        <is>
          <t>VÄSTRA GÖTALANDS LÄN</t>
        </is>
      </c>
      <c r="G6" t="inlineStr">
        <is>
          <t>KARLSBORG</t>
        </is>
      </c>
      <c r="I6" t="n">
        <v>12.9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Kattfotslav
Tretåig hackspett
Spillkråka
Orre</t>
        </is>
      </c>
      <c r="W6">
        <f>HYPERLINK("https://klasma.github.io/Logging_1446/artfynd/A 47703-2021 artfynd.xlsx", "A 47703-2021")</f>
        <v/>
      </c>
      <c r="X6">
        <f>HYPERLINK("https://klasma.github.io/Logging_1446/kartor/A 47703-2021 karta.png", "A 47703-2021")</f>
        <v/>
      </c>
      <c r="Y6">
        <f>HYPERLINK("https://klasma.github.io/Logging_1446/kartor_geotiff/A 47703-2021 georefererad karta.tif", "A 47703-2021")</f>
        <v/>
      </c>
      <c r="Z6">
        <f>HYPERLINK("https://klasma.github.io/Logging_1446/knärot/A 47703-2021 karta knärot.png", "A 47703-2021")</f>
        <v/>
      </c>
      <c r="AA6">
        <f>HYPERLINK("https://klasma.github.io/Logging_1446/klagomål/A 47703-2021 FSC-klagomål.docx", "A 47703-2021")</f>
        <v/>
      </c>
      <c r="AB6">
        <f>HYPERLINK("https://klasma.github.io/Logging_1446/klagomålsmail/A 47703-2021 FSC-klagomål mail.docx", "A 47703-2021")</f>
        <v/>
      </c>
      <c r="AC6">
        <f>HYPERLINK("https://klasma.github.io/Logging_1446/tillsyn/A 47703-2021 tillsynsbegäran.docx", "A 47703-2021")</f>
        <v/>
      </c>
      <c r="AD6">
        <f>HYPERLINK("https://klasma.github.io/Logging_1446/tillsynsmail/A 47703-2021 tillsynsbegäran mail.docx", "A 47703-2021")</f>
        <v/>
      </c>
      <c r="AE6">
        <f>HYPERLINK("https://klasma.github.io/Logging_1446/fåglar/A 47703-2021 prioriterade fågelarter.docx", "A 47703-2021")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46225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46225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46225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46225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46225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46225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46225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46225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46225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46225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Dropptaggsvamp
Tallfingersvamp</t>
        </is>
      </c>
      <c r="W16">
        <f>HYPERLINK("https://klasma.github.io/Logging_1446/artfynd/A 43626-2023 artfynd.xlsx", "A 43626-2023")</f>
        <v/>
      </c>
      <c r="X16">
        <f>HYPERLINK("https://klasma.github.io/Logging_1446/kartor/A 43626-2023 karta.png", "A 43626-2023")</f>
        <v/>
      </c>
      <c r="Y16">
        <f>HYPERLINK("https://klasma.github.io/Logging_1446/kartor_geotiff/A 43626-2023 georefererad karta.tif", "A 43626-2023")</f>
        <v/>
      </c>
      <c r="AA16">
        <f>HYPERLINK("https://klasma.github.io/Logging_1446/klagomål/A 43626-2023 FSC-klagomål.docx", "A 43626-2023")</f>
        <v/>
      </c>
      <c r="AB16">
        <f>HYPERLINK("https://klasma.github.io/Logging_1446/klagomålsmail/A 43626-2023 FSC-klagomål mail.docx", "A 43626-2023")</f>
        <v/>
      </c>
      <c r="AC16">
        <f>HYPERLINK("https://klasma.github.io/Logging_1446/tillsyn/A 43626-2023 tillsynsbegäran.docx", "A 43626-2023")</f>
        <v/>
      </c>
      <c r="AD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4448-2026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46045</v>
      </c>
      <c r="E18" s="1" t="n">
        <v>46225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Övriga Aktiebolag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HYPERLINK("https://klasma.github.io/Logging_1446/artfynd/A 4448-2026 artfynd.xlsx", "A 4448-2026")</f>
        <v/>
      </c>
      <c r="X18">
        <f>HYPERLINK("https://klasma.github.io/Logging_1446/kartor/A 4448-2026 karta.png", "A 4448-2026")</f>
        <v/>
      </c>
      <c r="Y18">
        <f>HYPERLINK("https://klasma.github.io/Logging_1446/kartor_geotiff/A 4448-2026 georefererad karta.tif", "A 4448-2026")</f>
        <v/>
      </c>
      <c r="AA18">
        <f>HYPERLINK("https://klasma.github.io/Logging_1446/klagomål/A 4448-2026 FSC-klagomål.docx", "A 4448-2026")</f>
        <v/>
      </c>
      <c r="AB18">
        <f>HYPERLINK("https://klasma.github.io/Logging_1446/klagomålsmail/A 4448-2026 FSC-klagomål mail.docx", "A 4448-2026")</f>
        <v/>
      </c>
      <c r="AC18">
        <f>HYPERLINK("https://klasma.github.io/Logging_1446/tillsyn/A 4448-2026 tillsynsbegäran.docx", "A 4448-2026")</f>
        <v/>
      </c>
      <c r="AD18">
        <f>HYPERLINK("https://klasma.github.io/Logging_1446/tillsynsmail/A 4448-2026 tillsynsbegäran mail.docx", "A 4448-2026")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46225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46225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23268-2022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44720</v>
      </c>
      <c r="E21" s="1" t="n">
        <v>46225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snok</t>
        </is>
      </c>
      <c r="W21">
        <f>HYPERLINK("https://klasma.github.io/Logging_1446/artfynd/A 23268-2022 artfynd.xlsx", "A 23268-2022")</f>
        <v/>
      </c>
      <c r="X21">
        <f>HYPERLINK("https://klasma.github.io/Logging_1446/kartor/A 23268-2022 karta.png", "A 23268-2022")</f>
        <v/>
      </c>
      <c r="Y21">
        <f>HYPERLINK("https://klasma.github.io/Logging_1446/kartor_geotiff/A 23268-2022 georefererad karta.tif", "A 23268-2022")</f>
        <v/>
      </c>
      <c r="AA21">
        <f>HYPERLINK("https://klasma.github.io/Logging_1446/klagomål/A 23268-2022 FSC-klagomål.docx", "A 23268-2022")</f>
        <v/>
      </c>
      <c r="AB21">
        <f>HYPERLINK("https://klasma.github.io/Logging_1446/klagomålsmail/A 23268-2022 FSC-klagomål mail.docx", "A 23268-2022")</f>
        <v/>
      </c>
      <c r="AC21">
        <f>HYPERLINK("https://klasma.github.io/Logging_1446/tillsyn/A 23268-2022 tillsynsbegäran.docx", "A 23268-2022")</f>
        <v/>
      </c>
      <c r="AD21">
        <f>HYPERLINK("https://klasma.github.io/Logging_1446/tillsynsmail/A 23268-2022 tillsynsbegäran mail.docx", "A 23268-2022")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46225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8984-2025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46225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HYPERLINK("https://klasma.github.io/Logging_1446/artfynd/A 8984-2025 artfynd.xlsx", "A 8984-2025")</f>
        <v/>
      </c>
      <c r="X23">
        <f>HYPERLINK("https://klasma.github.io/Logging_1446/kartor/A 8984-2025 karta.png", "A 8984-2025")</f>
        <v/>
      </c>
      <c r="Y23">
        <f>HYPERLINK("https://klasma.github.io/Logging_1446/kartor_geotiff/A 8984-2025 georefererad karta.tif", "A 8984-2025")</f>
        <v/>
      </c>
      <c r="AA23">
        <f>HYPERLINK("https://klasma.github.io/Logging_1446/klagomål/A 8984-2025 FSC-klagomål.docx", "A 8984-2025")</f>
        <v/>
      </c>
      <c r="AB23">
        <f>HYPERLINK("https://klasma.github.io/Logging_1446/klagomålsmail/A 8984-2025 FSC-klagomål mail.docx", "A 8984-2025")</f>
        <v/>
      </c>
      <c r="AC23">
        <f>HYPERLINK("https://klasma.github.io/Logging_1446/tillsyn/A 8984-2025 tillsynsbegäran.docx", "A 8984-2025")</f>
        <v/>
      </c>
      <c r="AD23">
        <f>HYPERLINK("https://klasma.github.io/Logging_1446/tillsynsmail/A 8984-2025 tillsynsbegäran mail.docx", "A 8984-2025")</f>
        <v/>
      </c>
      <c r="AE23">
        <f>HYPERLINK("https://klasma.github.io/Logging_1446/fåglar/A 8984-2025 prioriterade fågelarter.docx", "A 8984-2025")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46225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23973-2023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45075</v>
      </c>
      <c r="E25" s="1" t="n">
        <v>46225</v>
      </c>
      <c r="F25" t="inlineStr">
        <is>
          <t>VÄSTRA GÖTALANDS LÄN</t>
        </is>
      </c>
      <c r="G25" t="inlineStr">
        <is>
          <t>KARLSBORG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Orre</t>
        </is>
      </c>
      <c r="W25">
        <f>HYPERLINK("https://klasma.github.io/Logging_1446/artfynd/A 23973-2023 artfynd.xlsx", "A 23973-2023")</f>
        <v/>
      </c>
      <c r="X25">
        <f>HYPERLINK("https://klasma.github.io/Logging_1446/kartor/A 23973-2023 karta.png", "A 23973-2023")</f>
        <v/>
      </c>
      <c r="Y25">
        <f>HYPERLINK("https://klasma.github.io/Logging_1446/kartor_geotiff/A 23973-2023 georefererad karta.tif", "A 23973-2023")</f>
        <v/>
      </c>
      <c r="AA25">
        <f>HYPERLINK("https://klasma.github.io/Logging_1446/klagomål/A 23973-2023 FSC-klagomål.docx", "A 23973-2023")</f>
        <v/>
      </c>
      <c r="AB25">
        <f>HYPERLINK("https://klasma.github.io/Logging_1446/klagomålsmail/A 23973-2023 FSC-klagomål mail.docx", "A 23973-2023")</f>
        <v/>
      </c>
      <c r="AC25">
        <f>HYPERLINK("https://klasma.github.io/Logging_1446/tillsyn/A 23973-2023 tillsynsbegäran.docx", "A 23973-2023")</f>
        <v/>
      </c>
      <c r="AD25">
        <f>HYPERLINK("https://klasma.github.io/Logging_1446/tillsynsmail/A 23973-2023 tillsynsbegäran mail.docx", "A 23973-2023")</f>
        <v/>
      </c>
      <c r="AE25">
        <f>HYPERLINK("https://klasma.github.io/Logging_1446/fåglar/A 23973-2023 prioriterade fågelarter.docx", "A 23973-2023")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46225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9337-2025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45714</v>
      </c>
      <c r="E27" s="1" t="n">
        <v>46225</v>
      </c>
      <c r="F27" t="inlineStr">
        <is>
          <t>VÄSTRA GÖTALANDS LÄN</t>
        </is>
      </c>
      <c r="G27" t="inlineStr">
        <is>
          <t>KARLSBORG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HYPERLINK("https://klasma.github.io/Logging_1446/artfynd/A 9337-2025 artfynd.xlsx", "A 9337-2025")</f>
        <v/>
      </c>
      <c r="X27">
        <f>HYPERLINK("https://klasma.github.io/Logging_1446/kartor/A 9337-2025 karta.png", "A 9337-2025")</f>
        <v/>
      </c>
      <c r="Y27">
        <f>HYPERLINK("https://klasma.github.io/Logging_1446/kartor_geotiff/A 9337-2025 georefererad karta.tif", "A 9337-2025")</f>
        <v/>
      </c>
      <c r="AA27">
        <f>HYPERLINK("https://klasma.github.io/Logging_1446/klagomål/A 9337-2025 FSC-klagomål.docx", "A 9337-2025")</f>
        <v/>
      </c>
      <c r="AB27">
        <f>HYPERLINK("https://klasma.github.io/Logging_1446/klagomålsmail/A 9337-2025 FSC-klagomål mail.docx", "A 9337-2025")</f>
        <v/>
      </c>
      <c r="AC27">
        <f>HYPERLINK("https://klasma.github.io/Logging_1446/tillsyn/A 9337-2025 tillsynsbegäran.docx", "A 9337-2025")</f>
        <v/>
      </c>
      <c r="AD27">
        <f>HYPERLINK("https://klasma.github.io/Logging_1446/tillsynsmail/A 9337-2025 tillsynsbegäran mail.docx", "A 9337-2025")</f>
        <v/>
      </c>
    </row>
    <row r="28" ht="15" customHeight="1">
      <c r="A28" t="inlineStr">
        <is>
          <t>A 51531-2023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46225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Kommuner</t>
        </is>
      </c>
      <c r="I28" t="n">
        <v>11.2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HYPERLINK("https://klasma.github.io/Logging_1446/artfynd/A 51531-2023 artfynd.xlsx", "A 51531-2023")</f>
        <v/>
      </c>
      <c r="X28">
        <f>HYPERLINK("https://klasma.github.io/Logging_1446/kartor/A 51531-2023 karta.png", "A 51531-2023")</f>
        <v/>
      </c>
      <c r="Y28">
        <f>HYPERLINK("https://klasma.github.io/Logging_1446/kartor_geotiff/A 51531-2023 georefererad karta.tif", "A 51531-2023")</f>
        <v/>
      </c>
      <c r="AA28">
        <f>HYPERLINK("https://klasma.github.io/Logging_1446/klagomål/A 51531-2023 FSC-klagomål.docx", "A 51531-2023")</f>
        <v/>
      </c>
      <c r="AB28">
        <f>HYPERLINK("https://klasma.github.io/Logging_1446/klagomålsmail/A 51531-2023 FSC-klagomål mail.docx", "A 51531-2023")</f>
        <v/>
      </c>
      <c r="AC28">
        <f>HYPERLINK("https://klasma.github.io/Logging_1446/tillsyn/A 51531-2023 tillsynsbegäran.docx", "A 51531-2023")</f>
        <v/>
      </c>
      <c r="AD28">
        <f>HYPERLINK("https://klasma.github.io/Logging_1446/tillsynsmail/A 51531-2023 tillsynsbegäran mail.docx", "A 51531-2023")</f>
        <v/>
      </c>
    </row>
    <row r="29" ht="15" customHeight="1">
      <c r="A29" t="inlineStr">
        <is>
          <t>A 38103-2023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46225</v>
      </c>
      <c r="F29" t="inlineStr">
        <is>
          <t>VÄSTRA GÖTALANDS LÄN</t>
        </is>
      </c>
      <c r="G29" t="inlineStr">
        <is>
          <t>KARLSBORG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HYPERLINK("https://klasma.github.io/Logging_1446/artfynd/A 38103-2023 artfynd.xlsx", "A 38103-2023")</f>
        <v/>
      </c>
      <c r="X29">
        <f>HYPERLINK("https://klasma.github.io/Logging_1446/kartor/A 38103-2023 karta.png", "A 38103-2023")</f>
        <v/>
      </c>
      <c r="Y29">
        <f>HYPERLINK("https://klasma.github.io/Logging_1446/kartor_geotiff/A 38103-2023 georefererad karta.tif", "A 38103-2023")</f>
        <v/>
      </c>
      <c r="AA29">
        <f>HYPERLINK("https://klasma.github.io/Logging_1446/klagomål/A 38103-2023 FSC-klagomål.docx", "A 38103-2023")</f>
        <v/>
      </c>
      <c r="AB29">
        <f>HYPERLINK("https://klasma.github.io/Logging_1446/klagomålsmail/A 38103-2023 FSC-klagomål mail.docx", "A 38103-2023")</f>
        <v/>
      </c>
      <c r="AC29">
        <f>HYPERLINK("https://klasma.github.io/Logging_1446/tillsyn/A 38103-2023 tillsynsbegäran.docx", "A 38103-2023")</f>
        <v/>
      </c>
      <c r="AD29">
        <f>HYPERLINK("https://klasma.github.io/Logging_1446/tillsynsmail/A 38103-2023 tillsynsbegäran mail.docx", "A 38103-2023")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46225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46225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46225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46225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46225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46225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46225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46225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46225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46225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46225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46225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46225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46225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46225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46225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46225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46225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46225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46225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46225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46225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46225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46225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46225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46225</v>
      </c>
      <c r="F56" t="inlineStr">
        <is>
          <t>VÄSTRA GÖTALANDS LÄN</t>
        </is>
      </c>
      <c r="G56" t="inlineStr">
        <is>
          <t>KARLSBORG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29357-2024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45483</v>
      </c>
      <c r="E57" s="1" t="n">
        <v>46225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46225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46225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46225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45707</v>
      </c>
      <c r="E61" s="1" t="n">
        <v>46225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46225</v>
      </c>
      <c r="F62" t="inlineStr">
        <is>
          <t>VÄSTRA GÖTALANDS LÄN</t>
        </is>
      </c>
      <c r="G62" t="inlineStr">
        <is>
          <t>KARLSBORG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46225</v>
      </c>
      <c r="F63" t="inlineStr">
        <is>
          <t>VÄSTRA GÖTALANDS LÄN</t>
        </is>
      </c>
      <c r="G63" t="inlineStr">
        <is>
          <t>KARLSBORG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46225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46225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46225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14.3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46225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46225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46225</v>
      </c>
      <c r="F69" t="inlineStr">
        <is>
          <t>VÄSTRA GÖTALANDS LÄN</t>
        </is>
      </c>
      <c r="G69" t="inlineStr">
        <is>
          <t>KARLSBORG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46055</v>
      </c>
      <c r="E70" s="1" t="n">
        <v>46225</v>
      </c>
      <c r="F70" t="inlineStr">
        <is>
          <t>VÄSTRA GÖTALANDS LÄN</t>
        </is>
      </c>
      <c r="G70" t="inlineStr">
        <is>
          <t>KARLSBORG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46225</v>
      </c>
      <c r="F71" t="inlineStr">
        <is>
          <t>VÄSTRA GÖTALANDS LÄN</t>
        </is>
      </c>
      <c r="G71" t="inlineStr">
        <is>
          <t>KARLSBORG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46225</v>
      </c>
      <c r="F72" t="inlineStr">
        <is>
          <t>VÄSTRA GÖTALANDS LÄN</t>
        </is>
      </c>
      <c r="G72" t="inlineStr">
        <is>
          <t>KARLSBORG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46010</v>
      </c>
      <c r="E73" s="1" t="n">
        <v>46225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statliga verk och myndigheter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46010</v>
      </c>
      <c r="E74" s="1" t="n">
        <v>46225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46062</v>
      </c>
      <c r="E75" s="1" t="n">
        <v>46225</v>
      </c>
      <c r="F75" t="inlineStr">
        <is>
          <t>VÄSTRA GÖTALANDS LÄN</t>
        </is>
      </c>
      <c r="G75" t="inlineStr">
        <is>
          <t>KARLSBORG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31701-2025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45834</v>
      </c>
      <c r="E76" s="1" t="n">
        <v>46225</v>
      </c>
      <c r="F76" t="inlineStr">
        <is>
          <t>VÄSTRA GÖTALANDS LÄN</t>
        </is>
      </c>
      <c r="G76" t="inlineStr">
        <is>
          <t>KARLSBORG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46010</v>
      </c>
      <c r="E77" s="1" t="n">
        <v>46225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statliga verk och myndigheter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46225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46225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32128-2025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45835</v>
      </c>
      <c r="E80" s="1" t="n">
        <v>46225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46225</v>
      </c>
      <c r="F81" t="inlineStr">
        <is>
          <t>VÄSTRA GÖTALANDS LÄN</t>
        </is>
      </c>
      <c r="G81" t="inlineStr">
        <is>
          <t>KARLSBORG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46225</v>
      </c>
      <c r="F82" t="inlineStr">
        <is>
          <t>VÄSTRA GÖTALANDS LÄN</t>
        </is>
      </c>
      <c r="G82" t="inlineStr">
        <is>
          <t>KARLSBORG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46225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46225</v>
      </c>
      <c r="F84" t="inlineStr">
        <is>
          <t>VÄSTRA GÖTALANDS LÄN</t>
        </is>
      </c>
      <c r="G84" t="inlineStr">
        <is>
          <t>KARLSBORG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46225</v>
      </c>
      <c r="F85" t="inlineStr">
        <is>
          <t>VÄSTRA GÖTALANDS LÄN</t>
        </is>
      </c>
      <c r="G85" t="inlineStr">
        <is>
          <t>KARLSBORG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46079</v>
      </c>
      <c r="E86" s="1" t="n">
        <v>46225</v>
      </c>
      <c r="F86" t="inlineStr">
        <is>
          <t>VÄSTRA GÖTALANDS LÄN</t>
        </is>
      </c>
      <c r="G86" t="inlineStr">
        <is>
          <t>KARLSBORG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46225</v>
      </c>
      <c r="F87" t="inlineStr">
        <is>
          <t>VÄSTRA GÖTALANDS LÄN</t>
        </is>
      </c>
      <c r="G87" t="inlineStr">
        <is>
          <t>KARLSBORG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46225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58129-2024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45632</v>
      </c>
      <c r="E89" s="1" t="n">
        <v>46225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46225</v>
      </c>
      <c r="F90" t="inlineStr">
        <is>
          <t>VÄSTRA GÖTALANDS LÄN</t>
        </is>
      </c>
      <c r="G90" t="inlineStr">
        <is>
          <t>KARLSBORG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46225</v>
      </c>
      <c r="F91" t="inlineStr">
        <is>
          <t>VÄSTRA GÖTALANDS LÄN</t>
        </is>
      </c>
      <c r="G91" t="inlineStr">
        <is>
          <t>KARLSBORG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46225</v>
      </c>
      <c r="F92" t="inlineStr">
        <is>
          <t>VÄSTRA GÖTALANDS LÄN</t>
        </is>
      </c>
      <c r="G92" t="inlineStr">
        <is>
          <t>KARLSBORG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46225</v>
      </c>
      <c r="F93" t="inlineStr">
        <is>
          <t>VÄSTRA GÖTALANDS LÄN</t>
        </is>
      </c>
      <c r="G93" t="inlineStr">
        <is>
          <t>KARLSBORG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46225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45942</v>
      </c>
      <c r="E95" s="1" t="n">
        <v>46225</v>
      </c>
      <c r="F95" t="inlineStr">
        <is>
          <t>VÄSTRA GÖTALANDS LÄN</t>
        </is>
      </c>
      <c r="G95" t="inlineStr">
        <is>
          <t>KARLSBORG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46225</v>
      </c>
      <c r="F96" t="inlineStr">
        <is>
          <t>VÄSTRA GÖTALANDS LÄN</t>
        </is>
      </c>
      <c r="G96" t="inlineStr">
        <is>
          <t>KARLSBORG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46225</v>
      </c>
      <c r="F97" t="inlineStr">
        <is>
          <t>VÄSTRA GÖTALANDS LÄN</t>
        </is>
      </c>
      <c r="G97" t="inlineStr">
        <is>
          <t>KARLSBORG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46225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18541-2026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46225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46225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18546-2026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46127</v>
      </c>
      <c r="E101" s="1" t="n">
        <v>46225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46127</v>
      </c>
      <c r="E102" s="1" t="n">
        <v>46225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18564-2026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46127</v>
      </c>
      <c r="E103" s="1" t="n">
        <v>46225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45742</v>
      </c>
      <c r="E104" s="1" t="n">
        <v>46225</v>
      </c>
      <c r="F104" t="inlineStr">
        <is>
          <t>VÄSTRA GÖTALANDS LÄN</t>
        </is>
      </c>
      <c r="G104" t="inlineStr">
        <is>
          <t>KARLSBORG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46225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44595</v>
      </c>
      <c r="E106" s="1" t="n">
        <v>46225</v>
      </c>
      <c r="F106" t="inlineStr">
        <is>
          <t>VÄSTRA GÖTALANDS LÄN</t>
        </is>
      </c>
      <c r="G106" t="inlineStr">
        <is>
          <t>KARLSBORG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46225</v>
      </c>
      <c r="F107" t="inlineStr">
        <is>
          <t>VÄSTRA GÖTALANDS LÄN</t>
        </is>
      </c>
      <c r="G107" t="inlineStr">
        <is>
          <t>KARLSBORG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45566</v>
      </c>
      <c r="E108" s="1" t="n">
        <v>46225</v>
      </c>
      <c r="F108" t="inlineStr">
        <is>
          <t>VÄSTRA GÖTALANDS LÄN</t>
        </is>
      </c>
      <c r="G108" t="inlineStr">
        <is>
          <t>KARLSBORG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46225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45565</v>
      </c>
      <c r="E110" s="1" t="n">
        <v>46225</v>
      </c>
      <c r="F110" t="inlineStr">
        <is>
          <t>VÄSTRA GÖTALANDS LÄN</t>
        </is>
      </c>
      <c r="G110" t="inlineStr">
        <is>
          <t>KARLSBORG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46225</v>
      </c>
      <c r="F111" t="inlineStr">
        <is>
          <t>VÄSTRA GÖTALANDS LÄN</t>
        </is>
      </c>
      <c r="G111" t="inlineStr">
        <is>
          <t>KARLSBORG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46225</v>
      </c>
      <c r="F112" t="inlineStr">
        <is>
          <t>VÄSTRA GÖTALANDS LÄN</t>
        </is>
      </c>
      <c r="G112" t="inlineStr">
        <is>
          <t>KARLSBORG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46225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46225</v>
      </c>
      <c r="F114" t="inlineStr">
        <is>
          <t>VÄSTRA GÖTALANDS LÄN</t>
        </is>
      </c>
      <c r="G114" t="inlineStr">
        <is>
          <t>KARLSBORG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46225</v>
      </c>
      <c r="F115" t="inlineStr">
        <is>
          <t>VÄSTRA GÖTALANDS LÄN</t>
        </is>
      </c>
      <c r="G115" t="inlineStr">
        <is>
          <t>KARLSBORG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45566</v>
      </c>
      <c r="E116" s="1" t="n">
        <v>46225</v>
      </c>
      <c r="F116" t="inlineStr">
        <is>
          <t>VÄSTRA GÖTALANDS LÄN</t>
        </is>
      </c>
      <c r="G116" t="inlineStr">
        <is>
          <t>KARLSBORG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46225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46225</v>
      </c>
      <c r="F118" t="inlineStr">
        <is>
          <t>VÄSTRA GÖTALANDS LÄN</t>
        </is>
      </c>
      <c r="G118" t="inlineStr">
        <is>
          <t>KARLSBORG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46225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46225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46225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10.2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35441-2024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45531</v>
      </c>
      <c r="E122" s="1" t="n">
        <v>46225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46225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46225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46142</v>
      </c>
      <c r="E125" s="1" t="n">
        <v>46225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46225</v>
      </c>
      <c r="F126" t="inlineStr">
        <is>
          <t>VÄSTRA GÖTALANDS LÄN</t>
        </is>
      </c>
      <c r="G126" t="inlineStr">
        <is>
          <t>KARLSBORG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46225</v>
      </c>
      <c r="F127" t="inlineStr">
        <is>
          <t>VÄSTRA GÖTALANDS LÄN</t>
        </is>
      </c>
      <c r="G127" t="inlineStr">
        <is>
          <t>KARLSBORG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46225</v>
      </c>
      <c r="F128" t="inlineStr">
        <is>
          <t>VÄSTRA GÖTALANDS LÄN</t>
        </is>
      </c>
      <c r="G128" t="inlineStr">
        <is>
          <t>KARLSBORG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46225</v>
      </c>
      <c r="F129" t="inlineStr">
        <is>
          <t>VÄSTRA GÖTALANDS LÄN</t>
        </is>
      </c>
      <c r="G129" t="inlineStr">
        <is>
          <t>KARLSBORG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45589</v>
      </c>
      <c r="E130" s="1" t="n">
        <v>46225</v>
      </c>
      <c r="F130" t="inlineStr">
        <is>
          <t>VÄSTRA GÖTALANDS LÄN</t>
        </is>
      </c>
      <c r="G130" t="inlineStr">
        <is>
          <t>KARLSBORG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46225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46143</v>
      </c>
      <c r="E132" s="1" t="n">
        <v>46225</v>
      </c>
      <c r="F132" t="inlineStr">
        <is>
          <t>VÄSTRA GÖTALANDS LÄN</t>
        </is>
      </c>
      <c r="G132" t="inlineStr">
        <is>
          <t>KARLSBORG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46225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12.6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46225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46225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44929</v>
      </c>
      <c r="E136" s="1" t="n">
        <v>46225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  <c r="X136">
        <f>HYPERLINK("https://klasma.github.io/Logging_1446/kartor/A 412-2023 karta.png", "A 412-2023")</f>
        <v/>
      </c>
      <c r="Y136">
        <f>HYPERLINK("https://klasma.github.io/Logging_1446/kartor_geotiff/A 412-2023 georefererad karta.tif", "A 412-2023")</f>
        <v/>
      </c>
      <c r="AA136">
        <f>HYPERLINK("https://klasma.github.io/Logging_1446/klagomål/A 412-2023 FSC-klagomål.docx", "A 412-2023")</f>
        <v/>
      </c>
      <c r="AB136">
        <f>HYPERLINK("https://klasma.github.io/Logging_1446/klagomålsmail/A 412-2023 FSC-klagomål mail.docx", "A 412-2023")</f>
        <v/>
      </c>
      <c r="AC136">
        <f>HYPERLINK("https://klasma.github.io/Logging_1446/tillsyn/A 412-2023 tillsynsbegäran.docx", "A 412-2023")</f>
        <v/>
      </c>
      <c r="AD136">
        <f>HYPERLINK("https://klasma.github.io/Logging_1446/tillsynsmail/A 412-2023 tillsynsbegäran mail.docx", "A 412-2023")</f>
        <v/>
      </c>
    </row>
    <row r="137" ht="15" customHeight="1">
      <c r="A137" t="inlineStr">
        <is>
          <t>A 10828-2024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45369</v>
      </c>
      <c r="E137" s="1" t="n">
        <v>46225</v>
      </c>
      <c r="F137" t="inlineStr">
        <is>
          <t>VÄSTRA GÖTALANDS LÄN</t>
        </is>
      </c>
      <c r="G137" t="inlineStr">
        <is>
          <t>KARLSBORG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46225</v>
      </c>
      <c r="F138" t="inlineStr">
        <is>
          <t>VÄSTRA GÖTALANDS LÄN</t>
        </is>
      </c>
      <c r="G138" t="inlineStr">
        <is>
          <t>KARLSBORG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46225</v>
      </c>
      <c r="F139" t="inlineStr">
        <is>
          <t>VÄSTRA GÖTALANDS LÄN</t>
        </is>
      </c>
      <c r="G139" t="inlineStr">
        <is>
          <t>KARLSBORG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45257</v>
      </c>
      <c r="E140" s="1" t="n">
        <v>46225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46225</v>
      </c>
      <c r="F141" t="inlineStr">
        <is>
          <t>VÄSTRA GÖTALANDS LÄN</t>
        </is>
      </c>
      <c r="G141" t="inlineStr">
        <is>
          <t>KARLSBORG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46225</v>
      </c>
      <c r="F142" t="inlineStr">
        <is>
          <t>VÄSTRA GÖTALANDS LÄN</t>
        </is>
      </c>
      <c r="G142" t="inlineStr">
        <is>
          <t>KARLSBORG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44755</v>
      </c>
      <c r="E143" s="1" t="n">
        <v>46225</v>
      </c>
      <c r="F143" t="inlineStr">
        <is>
          <t>VÄSTRA GÖTALANDS LÄN</t>
        </is>
      </c>
      <c r="G143" t="inlineStr">
        <is>
          <t>KARLSBORG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46225</v>
      </c>
      <c r="F144" t="inlineStr">
        <is>
          <t>VÄSTRA GÖTALANDS LÄN</t>
        </is>
      </c>
      <c r="G144" t="inlineStr">
        <is>
          <t>KARLSBORG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46225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46225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46160</v>
      </c>
      <c r="E147" s="1" t="n">
        <v>46225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46225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46225</v>
      </c>
      <c r="F149" t="inlineStr">
        <is>
          <t>VÄSTRA GÖTALANDS LÄN</t>
        </is>
      </c>
      <c r="G149" t="inlineStr">
        <is>
          <t>KARLSBORG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46225</v>
      </c>
      <c r="F150" t="inlineStr">
        <is>
          <t>VÄSTRA GÖTALANDS LÄN</t>
        </is>
      </c>
      <c r="G150" t="inlineStr">
        <is>
          <t>KARLSBORG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46225</v>
      </c>
      <c r="F151" t="inlineStr">
        <is>
          <t>VÄSTRA GÖTALANDS LÄN</t>
        </is>
      </c>
      <c r="G151" t="inlineStr">
        <is>
          <t>KARLSBORG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46225</v>
      </c>
      <c r="F152" t="inlineStr">
        <is>
          <t>VÄSTRA GÖTALANDS LÄN</t>
        </is>
      </c>
      <c r="G152" t="inlineStr">
        <is>
          <t>KARLSBORG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46225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46225</v>
      </c>
      <c r="F154" t="inlineStr">
        <is>
          <t>VÄSTRA GÖTALANDS LÄN</t>
        </is>
      </c>
      <c r="G154" t="inlineStr">
        <is>
          <t>KARLSBORG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46225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70945-2021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44538</v>
      </c>
      <c r="E156" s="1" t="n">
        <v>46225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46225</v>
      </c>
      <c r="F157" t="inlineStr">
        <is>
          <t>VÄSTRA GÖTALANDS LÄN</t>
        </is>
      </c>
      <c r="G157" t="inlineStr">
        <is>
          <t>KARLSBORG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46225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46225</v>
      </c>
      <c r="F159" t="inlineStr">
        <is>
          <t>VÄSTRA GÖTALANDS LÄN</t>
        </is>
      </c>
      <c r="G159" t="inlineStr">
        <is>
          <t>KARLSBORG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46225</v>
      </c>
      <c r="F160" t="inlineStr">
        <is>
          <t>VÄSTRA GÖTALANDS LÄN</t>
        </is>
      </c>
      <c r="G160" t="inlineStr">
        <is>
          <t>KARLSBORG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46225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46225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46225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46225</v>
      </c>
      <c r="F164" t="inlineStr">
        <is>
          <t>VÄSTRA GÖTALANDS LÄN</t>
        </is>
      </c>
      <c r="G164" t="inlineStr">
        <is>
          <t>KARLSBORG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46225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45394</v>
      </c>
      <c r="E166" s="1" t="n">
        <v>46225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46225</v>
      </c>
      <c r="F167" t="inlineStr">
        <is>
          <t>VÄSTRA GÖTALANDS LÄN</t>
        </is>
      </c>
      <c r="G167" t="inlineStr">
        <is>
          <t>KARLSBORG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70783-2021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46225</v>
      </c>
      <c r="F168" t="inlineStr">
        <is>
          <t>VÄSTRA GÖTALANDS LÄN</t>
        </is>
      </c>
      <c r="G168" t="inlineStr">
        <is>
          <t>KARLSBORG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46225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46225</v>
      </c>
      <c r="F170" t="inlineStr">
        <is>
          <t>VÄSTRA GÖTALANDS LÄN</t>
        </is>
      </c>
      <c r="G170" t="inlineStr">
        <is>
          <t>KARLSBORG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46225</v>
      </c>
      <c r="F171" t="inlineStr">
        <is>
          <t>VÄSTRA GÖTALANDS LÄN</t>
        </is>
      </c>
      <c r="G171" t="inlineStr">
        <is>
          <t>KARLSBORG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46225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46225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46225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59887-2021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46225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statliga verk och myndigheter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59890-2021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46225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statliga verk och myndigheter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46225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69341-2021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46225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46225</v>
      </c>
      <c r="F179" t="inlineStr">
        <is>
          <t>VÄSTRA GÖTALANDS LÄN</t>
        </is>
      </c>
      <c r="G179" t="inlineStr">
        <is>
          <t>KARLSBORG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45631</v>
      </c>
      <c r="E180" s="1" t="n">
        <v>46225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45742</v>
      </c>
      <c r="E181" s="1" t="n">
        <v>46225</v>
      </c>
      <c r="F181" t="inlineStr">
        <is>
          <t>VÄSTRA GÖTALANDS LÄN</t>
        </is>
      </c>
      <c r="G181" t="inlineStr">
        <is>
          <t>KARLSBORG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23500-2023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45076</v>
      </c>
      <c r="E182" s="1" t="n">
        <v>46225</v>
      </c>
      <c r="F182" t="inlineStr">
        <is>
          <t>VÄSTRA GÖTALANDS LÄN</t>
        </is>
      </c>
      <c r="G182" t="inlineStr">
        <is>
          <t>KARLSBORG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46225</v>
      </c>
      <c r="F183" t="inlineStr">
        <is>
          <t>VÄSTRA GÖTALANDS LÄN</t>
        </is>
      </c>
      <c r="G183" t="inlineStr">
        <is>
          <t>KARLSBORG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45233</v>
      </c>
      <c r="E184" s="1" t="n">
        <v>46225</v>
      </c>
      <c r="F184" t="inlineStr">
        <is>
          <t>VÄSTRA GÖTALANDS LÄN</t>
        </is>
      </c>
      <c r="G184" t="inlineStr">
        <is>
          <t>KARLSBORG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46225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46225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46225</v>
      </c>
      <c r="F187" t="inlineStr">
        <is>
          <t>VÄSTRA GÖTALANDS LÄN</t>
        </is>
      </c>
      <c r="G187" t="inlineStr">
        <is>
          <t>KARLSBORG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44577-2023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46225</v>
      </c>
      <c r="F188" t="inlineStr">
        <is>
          <t>VÄSTRA GÖTALANDS LÄN</t>
        </is>
      </c>
      <c r="G188" t="inlineStr">
        <is>
          <t>KARLSBORG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46225</v>
      </c>
      <c r="F189" t="inlineStr">
        <is>
          <t>VÄSTRA GÖTALANDS LÄN</t>
        </is>
      </c>
      <c r="G189" t="inlineStr">
        <is>
          <t>KARLSBORG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46225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46225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42825-2024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46225</v>
      </c>
      <c r="F192" t="inlineStr">
        <is>
          <t>VÄSTRA GÖTALANDS LÄN</t>
        </is>
      </c>
      <c r="G192" t="inlineStr">
        <is>
          <t>KARLSBORG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46225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46225</v>
      </c>
      <c r="F194" t="inlineStr">
        <is>
          <t>VÄSTRA GÖTALANDS LÄN</t>
        </is>
      </c>
      <c r="G194" t="inlineStr">
        <is>
          <t>KARLSBORG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44906</v>
      </c>
      <c r="E195" s="1" t="n">
        <v>46225</v>
      </c>
      <c r="F195" t="inlineStr">
        <is>
          <t>VÄSTRA GÖTALANDS LÄN</t>
        </is>
      </c>
      <c r="G195" t="inlineStr">
        <is>
          <t>KARLSBORG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44503</v>
      </c>
      <c r="E196" s="1" t="n">
        <v>46225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44664</v>
      </c>
      <c r="E197" s="1" t="n">
        <v>46225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15396-2024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45401</v>
      </c>
      <c r="E198" s="1" t="n">
        <v>46225</v>
      </c>
      <c r="F198" t="inlineStr">
        <is>
          <t>VÄSTRA GÖTALANDS LÄN</t>
        </is>
      </c>
      <c r="G198" t="inlineStr">
        <is>
          <t>KARLSBORG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45489</v>
      </c>
      <c r="E199" s="1" t="n">
        <v>46225</v>
      </c>
      <c r="F199" t="inlineStr">
        <is>
          <t>VÄSTRA GÖTALANDS LÄN</t>
        </is>
      </c>
      <c r="G199" t="inlineStr">
        <is>
          <t>KARLSBORG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44494</v>
      </c>
      <c r="E200" s="1" t="n">
        <v>46225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statliga verk och myndigheter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46225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46225</v>
      </c>
      <c r="F202" t="inlineStr">
        <is>
          <t>VÄSTRA GÖTALANDS LÄN</t>
        </is>
      </c>
      <c r="G202" t="inlineStr">
        <is>
          <t>KARLSBORG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46225</v>
      </c>
      <c r="F203" t="inlineStr">
        <is>
          <t>VÄSTRA GÖTALANDS LÄN</t>
        </is>
      </c>
      <c r="G203" t="inlineStr">
        <is>
          <t>KARLSBORG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46225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44687</v>
      </c>
      <c r="E205" s="1" t="n">
        <v>46225</v>
      </c>
      <c r="F205" t="inlineStr">
        <is>
          <t>VÄSTRA GÖTALANDS LÄN</t>
        </is>
      </c>
      <c r="G205" t="inlineStr">
        <is>
          <t>KARLSBORG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44906</v>
      </c>
      <c r="E206" s="1" t="n">
        <v>46225</v>
      </c>
      <c r="F206" t="inlineStr">
        <is>
          <t>VÄSTRA GÖTALANDS LÄN</t>
        </is>
      </c>
      <c r="G206" t="inlineStr">
        <is>
          <t>KARLSBORG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44809</v>
      </c>
      <c r="E207" s="1" t="n">
        <v>46225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44972</v>
      </c>
      <c r="E208" s="1" t="n">
        <v>46225</v>
      </c>
      <c r="F208" t="inlineStr">
        <is>
          <t>VÄSTRA GÖTALANDS LÄN</t>
        </is>
      </c>
      <c r="G208" t="inlineStr">
        <is>
          <t>KARLSBORG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46225</v>
      </c>
      <c r="F209" t="inlineStr">
        <is>
          <t>VÄSTRA GÖTALANDS LÄN</t>
        </is>
      </c>
      <c r="G209" t="inlineStr">
        <is>
          <t>KARLSBORG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46225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45394</v>
      </c>
      <c r="E211" s="1" t="n">
        <v>46225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44795</v>
      </c>
      <c r="E212" s="1" t="n">
        <v>46225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58127-2024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45632</v>
      </c>
      <c r="E213" s="1" t="n">
        <v>46225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46225</v>
      </c>
      <c r="F214" t="inlineStr">
        <is>
          <t>VÄSTRA GÖTALANDS LÄN</t>
        </is>
      </c>
      <c r="G214" t="inlineStr">
        <is>
          <t>KARLSBORG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46225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57454-2024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45630</v>
      </c>
      <c r="E216" s="1" t="n">
        <v>46225</v>
      </c>
      <c r="F216" t="inlineStr">
        <is>
          <t>VÄSTRA GÖTALANDS LÄN</t>
        </is>
      </c>
      <c r="G216" t="inlineStr">
        <is>
          <t>KARLSBORG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46225</v>
      </c>
      <c r="F217" t="inlineStr">
        <is>
          <t>VÄSTRA GÖTALANDS LÄN</t>
        </is>
      </c>
      <c r="G217" t="inlineStr">
        <is>
          <t>KARLSBORG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46225</v>
      </c>
      <c r="F218" t="inlineStr">
        <is>
          <t>VÄSTRA GÖTALANDS LÄN</t>
        </is>
      </c>
      <c r="G218" t="inlineStr">
        <is>
          <t>KARLSBORG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46225</v>
      </c>
      <c r="F219" t="inlineStr">
        <is>
          <t>VÄSTRA GÖTALANDS LÄN</t>
        </is>
      </c>
      <c r="G219" t="inlineStr">
        <is>
          <t>KARLSBORG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44428</v>
      </c>
      <c r="E220" s="1" t="n">
        <v>46225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Kyrkan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46225</v>
      </c>
      <c r="F221" t="inlineStr">
        <is>
          <t>VÄSTRA GÖTALANDS LÄN</t>
        </is>
      </c>
      <c r="G221" t="inlineStr">
        <is>
          <t>KARLSBORG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45478</v>
      </c>
      <c r="E222" s="1" t="n">
        <v>46225</v>
      </c>
      <c r="F222" t="inlineStr">
        <is>
          <t>VÄSTRA GÖTALANDS LÄN</t>
        </is>
      </c>
      <c r="G222" t="inlineStr">
        <is>
          <t>KARLSBORG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46225</v>
      </c>
      <c r="F223" t="inlineStr">
        <is>
          <t>VÄSTRA GÖTALANDS LÄN</t>
        </is>
      </c>
      <c r="G223" t="inlineStr">
        <is>
          <t>KARLSBORG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46225</v>
      </c>
      <c r="F224" t="inlineStr">
        <is>
          <t>VÄSTRA GÖTALANDS LÄN</t>
        </is>
      </c>
      <c r="G224" t="inlineStr">
        <is>
          <t>KARLSBORG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46225</v>
      </c>
      <c r="F225" t="inlineStr">
        <is>
          <t>VÄSTRA GÖTALANDS LÄN</t>
        </is>
      </c>
      <c r="G225" t="inlineStr">
        <is>
          <t>KARLSBORG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57915-2024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45631</v>
      </c>
      <c r="E226" s="1" t="n">
        <v>46225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53898-2021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44469</v>
      </c>
      <c r="E227" s="1" t="n">
        <v>46225</v>
      </c>
      <c r="F227" t="inlineStr">
        <is>
          <t>VÄSTRA GÖTALANDS LÄN</t>
        </is>
      </c>
      <c r="G227" t="inlineStr">
        <is>
          <t>KARLSBORG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45224-2021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44439</v>
      </c>
      <c r="E228" s="1" t="n">
        <v>46225</v>
      </c>
      <c r="F228" t="inlineStr">
        <is>
          <t>VÄSTRA GÖTALANDS LÄN</t>
        </is>
      </c>
      <c r="G228" t="inlineStr">
        <is>
          <t>KARLSBORG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46225</v>
      </c>
      <c r="F229" t="inlineStr">
        <is>
          <t>VÄSTRA GÖTALANDS LÄN</t>
        </is>
      </c>
      <c r="G229" t="inlineStr">
        <is>
          <t>KARLSBORG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46225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45789</v>
      </c>
      <c r="E231" s="1" t="n">
        <v>46225</v>
      </c>
      <c r="F231" t="inlineStr">
        <is>
          <t>VÄSTRA GÖTALANDS LÄN</t>
        </is>
      </c>
      <c r="G231" t="inlineStr">
        <is>
          <t>KARLSBORG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45721</v>
      </c>
      <c r="E232" s="1" t="n">
        <v>46225</v>
      </c>
      <c r="F232" t="inlineStr">
        <is>
          <t>VÄSTRA GÖTALANDS LÄN</t>
        </is>
      </c>
      <c r="G232" t="inlineStr">
        <is>
          <t>KARLSBORG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46225</v>
      </c>
      <c r="F233" t="inlineStr">
        <is>
          <t>VÄSTRA GÖTALANDS LÄN</t>
        </is>
      </c>
      <c r="G233" t="inlineStr">
        <is>
          <t>KARLSBORG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46225</v>
      </c>
      <c r="F234" t="inlineStr">
        <is>
          <t>VÄSTRA GÖTALANDS LÄN</t>
        </is>
      </c>
      <c r="G234" t="inlineStr">
        <is>
          <t>KARLSBORG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46225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46225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46225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2026-07-22T01:36:13Z</dcterms:created>
  <dcterms:modified xmlns:dcterms="http://purl.org/dc/terms/" xmlns:xsi="http://www.w3.org/2001/XMLSchema-instance" xsi:type="dcterms:W3CDTF">2026-07-22T01:36:13Z</dcterms:modified>
</cp:coreProperties>
</file>