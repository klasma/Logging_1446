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46310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46310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46310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46310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46310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45184</v>
      </c>
      <c r="E10" s="1" t="n">
        <v>46310</v>
      </c>
      <c r="F10" t="inlineStr">
        <is>
          <t>VÄSTRA GÖTALANDS LÄN</t>
        </is>
      </c>
      <c r="G10" t="inlineStr">
        <is>
          <t>KARLSBORG</t>
        </is>
      </c>
      <c r="I10" t="n">
        <v>0.7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Dropptaggsvamp
Tallfingersvamp</t>
        </is>
      </c>
      <c r="W10">
        <f>HYPERLINK("https://klasma.github.io/Logging_1446/artfynd/A 43626-2023 artfynd.xlsx", "A 43626-2023")</f>
        <v/>
      </c>
      <c r="X10">
        <f>HYPERLINK("https://klasma.github.io/Logging_1446/kartor/A 43626-2023 karta.png", "A 43626-2023")</f>
        <v/>
      </c>
      <c r="Y10">
        <f>HYPERLINK("https://klasma.github.io/Logging_1446/kartor_geotiff/A 43626-2023 georefererad karta.tif", "A 43626-2023")</f>
        <v/>
      </c>
      <c r="AA10">
        <f>HYPERLINK("https://klasma.github.io/Logging_1446/klagomål/A 43626-2023 FSC-klagomål.docx", "A 43626-2023")</f>
        <v/>
      </c>
      <c r="AB10">
        <f>HYPERLINK("https://klasma.github.io/Logging_1446/klagomålsmail/A 43626-2023 FSC-klagomål mail.docx", "A 43626-2023")</f>
        <v/>
      </c>
      <c r="AC10">
        <f>HYPERLINK("https://klasma.github.io/Logging_1446/tillsyn/A 43626-2023 tillsynsbegäran.docx", "A 43626-2023")</f>
        <v/>
      </c>
      <c r="AD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45545</v>
      </c>
      <c r="E11" s="1" t="n">
        <v>46310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5.4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Kungsfågel</t>
        </is>
      </c>
      <c r="W11">
        <f>HYPERLINK("https://klasma.github.io/Logging_1446/artfynd/A 38204-2024 artfynd.xlsx", "A 38204-2024")</f>
        <v/>
      </c>
      <c r="X11">
        <f>HYPERLINK("https://klasma.github.io/Logging_1446/kartor/A 38204-2024 karta.png", "A 38204-2024")</f>
        <v/>
      </c>
      <c r="Y11">
        <f>HYPERLINK("https://klasma.github.io/Logging_1446/kartor_geotiff/A 38204-2024 georefererad karta.tif", "A 38204-2024")</f>
        <v/>
      </c>
      <c r="Z11">
        <f>HYPERLINK("https://klasma.github.io/Logging_1446/knärot/A 38204-2024 karta knärot.png", "A 38204-2024")</f>
        <v/>
      </c>
      <c r="AA11">
        <f>HYPERLINK("https://klasma.github.io/Logging_1446/klagomål/A 38204-2024 FSC-klagomål.docx", "A 38204-2024")</f>
        <v/>
      </c>
      <c r="AB11">
        <f>HYPERLINK("https://klasma.github.io/Logging_1446/klagomålsmail/A 38204-2024 FSC-klagomål mail.docx", "A 38204-2024")</f>
        <v/>
      </c>
      <c r="AC11">
        <f>HYPERLINK("https://klasma.github.io/Logging_1446/tillsyn/A 38204-2024 tillsynsbegäran.docx", "A 38204-2024")</f>
        <v/>
      </c>
      <c r="AD11">
        <f>HYPERLINK("https://klasma.github.io/Logging_1446/tillsynsmail/A 38204-2024 tillsynsbegäran mail.docx", "A 38204-2024")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46310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46310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42778-2024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46310</v>
      </c>
      <c r="F15" t="inlineStr">
        <is>
          <t>VÄSTRA GÖTALANDS LÄN</t>
        </is>
      </c>
      <c r="G15" t="inlineStr">
        <is>
          <t>KARLSBORG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HYPERLINK("https://klasma.github.io/Logging_1446/artfynd/A 42778-2024 artfynd.xlsx", "A 42778-2024")</f>
        <v/>
      </c>
      <c r="X15">
        <f>HYPERLINK("https://klasma.github.io/Logging_1446/kartor/A 42778-2024 karta.png", "A 42778-2024")</f>
        <v/>
      </c>
      <c r="Y15">
        <f>HYPERLINK("https://klasma.github.io/Logging_1446/kartor_geotiff/A 42778-2024 georefererad karta.tif", "A 42778-2024")</f>
        <v/>
      </c>
      <c r="AA15">
        <f>HYPERLINK("https://klasma.github.io/Logging_1446/klagomål/A 42778-2024 FSC-klagomål.docx", "A 42778-2024")</f>
        <v/>
      </c>
      <c r="AB15">
        <f>HYPERLINK("https://klasma.github.io/Logging_1446/klagomålsmail/A 42778-2024 FSC-klagomål mail.docx", "A 42778-2024")</f>
        <v/>
      </c>
      <c r="AC15">
        <f>HYPERLINK("https://klasma.github.io/Logging_1446/tillsyn/A 42778-2024 tillsynsbegäran.docx", "A 42778-2024")</f>
        <v/>
      </c>
      <c r="AD15">
        <f>HYPERLINK("https://klasma.github.io/Logging_1446/tillsynsmail/A 42778-2024 tillsynsbegäran mail.docx", "A 42778-2024")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46310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46310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18567-2026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46127</v>
      </c>
      <c r="E18" s="1" t="n">
        <v>46310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2.6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HYPERLINK("https://klasma.github.io/Logging_1446/artfynd/A 18567-2026 artfynd.xlsx", "A 18567-2026")</f>
        <v/>
      </c>
      <c r="X18">
        <f>HYPERLINK("https://klasma.github.io/Logging_1446/kartor/A 18567-2026 karta.png", "A 18567-2026")</f>
        <v/>
      </c>
      <c r="Y18">
        <f>HYPERLINK("https://klasma.github.io/Logging_1446/kartor_geotiff/A 18567-2026 georefererad karta.tif", "A 18567-2026")</f>
        <v/>
      </c>
      <c r="AA18">
        <f>HYPERLINK("https://klasma.github.io/Logging_1446/klagomål/A 18567-2026 FSC-klagomål.docx", "A 18567-2026")</f>
        <v/>
      </c>
      <c r="AB18">
        <f>HYPERLINK("https://klasma.github.io/Logging_1446/klagomålsmail/A 18567-2026 FSC-klagomål mail.docx", "A 18567-2026")</f>
        <v/>
      </c>
      <c r="AC18">
        <f>HYPERLINK("https://klasma.github.io/Logging_1446/tillsyn/A 18567-2026 tillsynsbegäran.docx", "A 18567-2026")</f>
        <v/>
      </c>
      <c r="AD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46310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Blåsippa</t>
        </is>
      </c>
      <c r="W19">
        <f>HYPERLINK("https://klasma.github.io/Logging_1446/artfynd/A 29484-2025 artfynd.xlsx", "A 29484-2025")</f>
        <v/>
      </c>
      <c r="X19">
        <f>HYPERLINK("https://klasma.github.io/Logging_1446/kartor/A 29484-2025 karta.png", "A 29484-2025")</f>
        <v/>
      </c>
      <c r="Y19">
        <f>HYPERLINK("https://klasma.github.io/Logging_1446/kartor_geotiff/A 29484-2025 georefererad karta.tif", "A 29484-2025")</f>
        <v/>
      </c>
      <c r="AA19">
        <f>HYPERLINK("https://klasma.github.io/Logging_1446/klagomål/A 29484-2025 FSC-klagomål.docx", "A 29484-2025")</f>
        <v/>
      </c>
      <c r="AB19">
        <f>HYPERLINK("https://klasma.github.io/Logging_1446/klagomålsmail/A 29484-2025 FSC-klagomål mail.docx", "A 29484-2025")</f>
        <v/>
      </c>
      <c r="AC19">
        <f>HYPERLINK("https://klasma.github.io/Logging_1446/tillsyn/A 29484-2025 tillsynsbegäran.docx", "A 29484-2025")</f>
        <v/>
      </c>
      <c r="AD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46310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HYPERLINK("https://klasma.github.io/Logging_1446/artfynd/A 8984-2025 artfynd.xlsx", "A 8984-2025")</f>
        <v/>
      </c>
      <c r="X20">
        <f>HYPERLINK("https://klasma.github.io/Logging_1446/kartor/A 8984-2025 karta.png", "A 8984-2025")</f>
        <v/>
      </c>
      <c r="Y20">
        <f>HYPERLINK("https://klasma.github.io/Logging_1446/kartor_geotiff/A 8984-2025 georefererad karta.tif", "A 8984-2025")</f>
        <v/>
      </c>
      <c r="AA20">
        <f>HYPERLINK("https://klasma.github.io/Logging_1446/klagomål/A 8984-2025 FSC-klagomål.docx", "A 8984-2025")</f>
        <v/>
      </c>
      <c r="AB20">
        <f>HYPERLINK("https://klasma.github.io/Logging_1446/klagomålsmail/A 8984-2025 FSC-klagomål mail.docx", "A 8984-2025")</f>
        <v/>
      </c>
      <c r="AC20">
        <f>HYPERLINK("https://klasma.github.io/Logging_1446/tillsyn/A 8984-2025 tillsynsbegäran.docx", "A 8984-2025")</f>
        <v/>
      </c>
      <c r="AD20">
        <f>HYPERLINK("https://klasma.github.io/Logging_1446/tillsynsmail/A 8984-2025 tillsynsbegäran mail.docx", "A 8984-2025")</f>
        <v/>
      </c>
      <c r="AE20">
        <f>HYPERLINK("https://klasma.github.io/Logging_1446/fåglar/A 8984-2025 prioriterade fågelarter.docx", "A 8984-2025")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46310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51531-2023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46310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Kommuner</t>
        </is>
      </c>
      <c r="I22" t="n">
        <v>11.2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Revlummer</t>
        </is>
      </c>
      <c r="W22">
        <f>HYPERLINK("https://klasma.github.io/Logging_1446/artfynd/A 51531-2023 artfynd.xlsx", "A 51531-2023")</f>
        <v/>
      </c>
      <c r="X22">
        <f>HYPERLINK("https://klasma.github.io/Logging_1446/kartor/A 51531-2023 karta.png", "A 51531-2023")</f>
        <v/>
      </c>
      <c r="Y22">
        <f>HYPERLINK("https://klasma.github.io/Logging_1446/kartor_geotiff/A 51531-2023 georefererad karta.tif", "A 51531-2023")</f>
        <v/>
      </c>
      <c r="AA22">
        <f>HYPERLINK("https://klasma.github.io/Logging_1446/klagomål/A 51531-2023 FSC-klagomål.docx", "A 51531-2023")</f>
        <v/>
      </c>
      <c r="AB22">
        <f>HYPERLINK("https://klasma.github.io/Logging_1446/klagomålsmail/A 51531-2023 FSC-klagomål mail.docx", "A 51531-2023")</f>
        <v/>
      </c>
      <c r="AC22">
        <f>HYPERLINK("https://klasma.github.io/Logging_1446/tillsyn/A 51531-2023 tillsynsbegäran.docx", "A 51531-2023")</f>
        <v/>
      </c>
      <c r="AD22">
        <f>HYPERLINK("https://klasma.github.io/Logging_1446/tillsynsmail/A 51531-2023 tillsynsbegäran mail.docx", "A 51531-2023")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46310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46310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46310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46310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46310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46310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46310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46310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46310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46310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46310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46310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46310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45489</v>
      </c>
      <c r="E37" s="1" t="n">
        <v>46310</v>
      </c>
      <c r="F37" t="inlineStr">
        <is>
          <t>VÄSTRA GÖTALANDS LÄN</t>
        </is>
      </c>
      <c r="G37" t="inlineStr">
        <is>
          <t>KARLSBORG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45742</v>
      </c>
      <c r="E38" s="1" t="n">
        <v>46310</v>
      </c>
      <c r="F38" t="inlineStr">
        <is>
          <t>VÄSTRA GÖTALANDS LÄN</t>
        </is>
      </c>
      <c r="G38" t="inlineStr">
        <is>
          <t>KARLSBORG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46310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45630</v>
      </c>
      <c r="E40" s="1" t="n">
        <v>46310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46310</v>
      </c>
      <c r="F41" t="inlineStr">
        <is>
          <t>VÄSTRA GÖTALANDS LÄN</t>
        </is>
      </c>
      <c r="G41" t="inlineStr">
        <is>
          <t>KARLSBORG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45680</v>
      </c>
      <c r="E42" s="1" t="n">
        <v>46310</v>
      </c>
      <c r="F42" t="inlineStr">
        <is>
          <t>VÄSTRA GÖTALANDS LÄN</t>
        </is>
      </c>
      <c r="G42" t="inlineStr">
        <is>
          <t>KARLSBORG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46310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65313-2021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46310</v>
      </c>
      <c r="F44" t="inlineStr">
        <is>
          <t>VÄSTRA GÖTALANDS LÄN</t>
        </is>
      </c>
      <c r="G44" t="inlineStr">
        <is>
          <t>KARLSBORG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46310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46310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45804</v>
      </c>
      <c r="E47" s="1" t="n">
        <v>46310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45453</v>
      </c>
      <c r="E48" s="1" t="n">
        <v>46310</v>
      </c>
      <c r="F48" t="inlineStr">
        <is>
          <t>VÄSTRA GÖTALANDS LÄN</t>
        </is>
      </c>
      <c r="G48" t="inlineStr">
        <is>
          <t>KARLSBORG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44595</v>
      </c>
      <c r="E49" s="1" t="n">
        <v>46310</v>
      </c>
      <c r="F49" t="inlineStr">
        <is>
          <t>VÄSTRA GÖTALANDS LÄN</t>
        </is>
      </c>
      <c r="G49" t="inlineStr">
        <is>
          <t>KARLSBORG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7978-2025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45707</v>
      </c>
      <c r="E50" s="1" t="n">
        <v>46310</v>
      </c>
      <c r="F50" t="inlineStr">
        <is>
          <t>VÄSTRA GÖTALANDS LÄN</t>
        </is>
      </c>
      <c r="G50" t="inlineStr">
        <is>
          <t>KARLSBORG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46310</v>
      </c>
      <c r="F51" t="inlineStr">
        <is>
          <t>VÄSTRA GÖTALANDS LÄN</t>
        </is>
      </c>
      <c r="G51" t="inlineStr">
        <is>
          <t>KARLSBORG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13076-2023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46310</v>
      </c>
      <c r="F52" t="inlineStr">
        <is>
          <t>VÄSTRA GÖTALANDS LÄN</t>
        </is>
      </c>
      <c r="G52" t="inlineStr">
        <is>
          <t>KARLSBORG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45524</v>
      </c>
      <c r="E53" s="1" t="n">
        <v>46310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46310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45218</v>
      </c>
      <c r="E55" s="1" t="n">
        <v>46310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10415-2025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45720</v>
      </c>
      <c r="E56" s="1" t="n">
        <v>46310</v>
      </c>
      <c r="F56" t="inlineStr">
        <is>
          <t>VÄSTRA GÖTALANDS LÄN</t>
        </is>
      </c>
      <c r="G56" t="inlineStr">
        <is>
          <t>KARLSBORG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46310</v>
      </c>
      <c r="F57" t="inlineStr">
        <is>
          <t>VÄSTRA GÖTALANDS LÄN</t>
        </is>
      </c>
      <c r="G57" t="inlineStr">
        <is>
          <t>KARLSBORG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32128-2025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45835</v>
      </c>
      <c r="E58" s="1" t="n">
        <v>46310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31701-2025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45834</v>
      </c>
      <c r="E59" s="1" t="n">
        <v>46310</v>
      </c>
      <c r="F59" t="inlineStr">
        <is>
          <t>VÄSTRA GÖTALANDS LÄN</t>
        </is>
      </c>
      <c r="G59" t="inlineStr">
        <is>
          <t>KARLSBORG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45160</v>
      </c>
      <c r="E60" s="1" t="n">
        <v>46310</v>
      </c>
      <c r="F60" t="inlineStr">
        <is>
          <t>VÄSTRA GÖTALANDS LÄN</t>
        </is>
      </c>
      <c r="G60" t="inlineStr">
        <is>
          <t>KARLSBORG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70945-2021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44538</v>
      </c>
      <c r="E61" s="1" t="n">
        <v>46310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46310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46310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46310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42757-2024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45566</v>
      </c>
      <c r="E65" s="1" t="n">
        <v>46310</v>
      </c>
      <c r="F65" t="inlineStr">
        <is>
          <t>VÄSTRA GÖTALANDS LÄN</t>
        </is>
      </c>
      <c r="G65" t="inlineStr">
        <is>
          <t>KARLSBORG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46310</v>
      </c>
      <c r="F66" t="inlineStr">
        <is>
          <t>VÄSTRA GÖTALANDS LÄN</t>
        </is>
      </c>
      <c r="G66" t="inlineStr">
        <is>
          <t>KARLSBORG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57454-2024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45630</v>
      </c>
      <c r="E67" s="1" t="n">
        <v>46310</v>
      </c>
      <c r="F67" t="inlineStr">
        <is>
          <t>VÄSTRA GÖTALANDS LÄN</t>
        </is>
      </c>
      <c r="G67" t="inlineStr">
        <is>
          <t>KARLSBORG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46310</v>
      </c>
      <c r="F68" t="inlineStr">
        <is>
          <t>VÄSTRA GÖTALANDS LÄN</t>
        </is>
      </c>
      <c r="G68" t="inlineStr">
        <is>
          <t>KARLSBORG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46310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35930-2025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45862</v>
      </c>
      <c r="E70" s="1" t="n">
        <v>46310</v>
      </c>
      <c r="F70" t="inlineStr">
        <is>
          <t>VÄSTRA GÖTALANDS LÄN</t>
        </is>
      </c>
      <c r="G70" t="inlineStr">
        <is>
          <t>KARLSBORG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46310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45166</v>
      </c>
      <c r="E72" s="1" t="n">
        <v>46310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45166</v>
      </c>
      <c r="E73" s="1" t="n">
        <v>46310</v>
      </c>
      <c r="F73" t="inlineStr">
        <is>
          <t>VÄSTRA GÖTALANDS LÄN</t>
        </is>
      </c>
      <c r="G73" t="inlineStr">
        <is>
          <t>KARLSBORG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57915-2024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45631</v>
      </c>
      <c r="E74" s="1" t="n">
        <v>46310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Sveaskog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46310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46310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45247-2025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46310</v>
      </c>
      <c r="F77" t="inlineStr">
        <is>
          <t>VÄSTRA GÖTALANDS LÄN</t>
        </is>
      </c>
      <c r="G77" t="inlineStr">
        <is>
          <t>KARLSBORG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46310</v>
      </c>
      <c r="F78" t="inlineStr">
        <is>
          <t>VÄSTRA GÖTALANDS LÄN</t>
        </is>
      </c>
      <c r="G78" t="inlineStr">
        <is>
          <t>KARLSBORG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46310</v>
      </c>
      <c r="F79" t="inlineStr">
        <is>
          <t>VÄSTRA GÖTALANDS LÄN</t>
        </is>
      </c>
      <c r="G79" t="inlineStr">
        <is>
          <t>KARLSBORG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46310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46310</v>
      </c>
      <c r="F81" t="inlineStr">
        <is>
          <t>VÄSTRA GÖTALANDS LÄN</t>
        </is>
      </c>
      <c r="G81" t="inlineStr">
        <is>
          <t>KARLSBORG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46310</v>
      </c>
      <c r="F82" t="inlineStr">
        <is>
          <t>VÄSTRA GÖTALANDS LÄN</t>
        </is>
      </c>
      <c r="G82" t="inlineStr">
        <is>
          <t>KARLSBORG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46310</v>
      </c>
      <c r="F83" t="inlineStr">
        <is>
          <t>VÄSTRA GÖTALANDS LÄN</t>
        </is>
      </c>
      <c r="G83" t="inlineStr">
        <is>
          <t>KARLSBORG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46310</v>
      </c>
      <c r="F84" t="inlineStr">
        <is>
          <t>VÄSTRA GÖTALANDS LÄN</t>
        </is>
      </c>
      <c r="G84" t="inlineStr">
        <is>
          <t>KARLSBORG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46310</v>
      </c>
      <c r="F85" t="inlineStr">
        <is>
          <t>VÄSTRA GÖTALANDS LÄN</t>
        </is>
      </c>
      <c r="G85" t="inlineStr">
        <is>
          <t>KARLSBORG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46310</v>
      </c>
      <c r="F86" t="inlineStr">
        <is>
          <t>VÄSTRA GÖTALANDS LÄN</t>
        </is>
      </c>
      <c r="G86" t="inlineStr">
        <is>
          <t>KARLSBORG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46310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46310</v>
      </c>
      <c r="F88" t="inlineStr">
        <is>
          <t>VÄSTRA GÖTALANDS LÄN</t>
        </is>
      </c>
      <c r="G88" t="inlineStr">
        <is>
          <t>KARLSBORG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46310</v>
      </c>
      <c r="F89" t="inlineStr">
        <is>
          <t>VÄSTRA GÖTALANDS LÄN</t>
        </is>
      </c>
      <c r="G89" t="inlineStr">
        <is>
          <t>KARLSBORG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46310</v>
      </c>
      <c r="F90" t="inlineStr">
        <is>
          <t>VÄSTRA GÖTALANDS LÄN</t>
        </is>
      </c>
      <c r="G90" t="inlineStr">
        <is>
          <t>KARLSBORG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46310</v>
      </c>
      <c r="F91" t="inlineStr">
        <is>
          <t>VÄSTRA GÖTALANDS LÄN</t>
        </is>
      </c>
      <c r="G91" t="inlineStr">
        <is>
          <t>KARLSBORG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46310</v>
      </c>
      <c r="F92" t="inlineStr">
        <is>
          <t>VÄSTRA GÖTALANDS LÄN</t>
        </is>
      </c>
      <c r="G92" t="inlineStr">
        <is>
          <t>KARLSBORG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45603</v>
      </c>
      <c r="E93" s="1" t="n">
        <v>46310</v>
      </c>
      <c r="F93" t="inlineStr">
        <is>
          <t>VÄSTRA GÖTALANDS LÄN</t>
        </is>
      </c>
      <c r="G93" t="inlineStr">
        <is>
          <t>KARLSBORG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45942</v>
      </c>
      <c r="E94" s="1" t="n">
        <v>46310</v>
      </c>
      <c r="F94" t="inlineStr">
        <is>
          <t>VÄSTRA GÖTALANDS LÄN</t>
        </is>
      </c>
      <c r="G94" t="inlineStr">
        <is>
          <t>KARLSBORG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46310</v>
      </c>
      <c r="F95" t="inlineStr">
        <is>
          <t>VÄSTRA GÖTALANDS LÄN</t>
        </is>
      </c>
      <c r="G95" t="inlineStr">
        <is>
          <t>KARLSBORG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58127-2024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45632</v>
      </c>
      <c r="E96" s="1" t="n">
        <v>46310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46310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statliga verk och myndigheter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46079</v>
      </c>
      <c r="E98" s="1" t="n">
        <v>46310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46310</v>
      </c>
      <c r="F99" t="inlineStr">
        <is>
          <t>VÄSTRA GÖTALANDS LÄN</t>
        </is>
      </c>
      <c r="G99" t="inlineStr">
        <is>
          <t>KARLSBORG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46310</v>
      </c>
      <c r="F100" t="inlineStr">
        <is>
          <t>VÄSTRA GÖTALANDS LÄN</t>
        </is>
      </c>
      <c r="G100" t="inlineStr">
        <is>
          <t>KARLSBORG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46310</v>
      </c>
      <c r="F101" t="inlineStr">
        <is>
          <t>VÄSTRA GÖTALANDS LÄN</t>
        </is>
      </c>
      <c r="G101" t="inlineStr">
        <is>
          <t>KARLSBORG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46310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46310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46310</v>
      </c>
      <c r="F104" t="inlineStr">
        <is>
          <t>VÄSTRA GÖTALANDS LÄN</t>
        </is>
      </c>
      <c r="G104" t="inlineStr">
        <is>
          <t>KARLSBORG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46310</v>
      </c>
      <c r="F105" t="inlineStr">
        <is>
          <t>VÄSTRA GÖTALANDS LÄN</t>
        </is>
      </c>
      <c r="G105" t="inlineStr">
        <is>
          <t>KARLSBORG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44906</v>
      </c>
      <c r="E106" s="1" t="n">
        <v>46310</v>
      </c>
      <c r="F106" t="inlineStr">
        <is>
          <t>VÄSTRA GÖTALANDS LÄN</t>
        </is>
      </c>
      <c r="G106" t="inlineStr">
        <is>
          <t>KARLSBORG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46310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46310</v>
      </c>
      <c r="F108" t="inlineStr">
        <is>
          <t>VÄSTRA GÖTALANDS LÄN</t>
        </is>
      </c>
      <c r="G108" t="inlineStr">
        <is>
          <t>KARLSBORG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46310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40129-2023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46310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46310</v>
      </c>
      <c r="F111" t="inlineStr">
        <is>
          <t>VÄSTRA GÖTALANDS LÄN</t>
        </is>
      </c>
      <c r="G111" t="inlineStr">
        <is>
          <t>KARLSBORG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46310</v>
      </c>
      <c r="F112" t="inlineStr">
        <is>
          <t>VÄSTRA GÖTALANDS LÄN</t>
        </is>
      </c>
      <c r="G112" t="inlineStr">
        <is>
          <t>KARLSBORG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46310</v>
      </c>
      <c r="F113" t="inlineStr">
        <is>
          <t>VÄSTRA GÖTALANDS LÄN</t>
        </is>
      </c>
      <c r="G113" t="inlineStr">
        <is>
          <t>KARLSBORG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45394</v>
      </c>
      <c r="E114" s="1" t="n">
        <v>46310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44906</v>
      </c>
      <c r="E115" s="1" t="n">
        <v>46310</v>
      </c>
      <c r="F115" t="inlineStr">
        <is>
          <t>VÄSTRA GÖTALANDS LÄN</t>
        </is>
      </c>
      <c r="G115" t="inlineStr">
        <is>
          <t>KARLSBORG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46310</v>
      </c>
      <c r="F116" t="inlineStr">
        <is>
          <t>VÄSTRA GÖTALANDS LÄN</t>
        </is>
      </c>
      <c r="G116" t="inlineStr">
        <is>
          <t>KARLSBORG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44687</v>
      </c>
      <c r="E117" s="1" t="n">
        <v>46310</v>
      </c>
      <c r="F117" t="inlineStr">
        <is>
          <t>VÄSTRA GÖTALANDS LÄN</t>
        </is>
      </c>
      <c r="G117" t="inlineStr">
        <is>
          <t>KARLSBORG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46310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45992</v>
      </c>
      <c r="E119" s="1" t="n">
        <v>46310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46310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18564-2026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46310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46310</v>
      </c>
      <c r="F122" t="inlineStr">
        <is>
          <t>VÄSTRA GÖTALANDS LÄN</t>
        </is>
      </c>
      <c r="G122" t="inlineStr">
        <is>
          <t>KARLSBORG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46310</v>
      </c>
      <c r="F123" t="inlineStr">
        <is>
          <t>VÄSTRA GÖTALANDS LÄN</t>
        </is>
      </c>
      <c r="G123" t="inlineStr">
        <is>
          <t>KARLSBORG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46310</v>
      </c>
      <c r="F124" t="inlineStr">
        <is>
          <t>VÄSTRA GÖTALANDS LÄN</t>
        </is>
      </c>
      <c r="G124" t="inlineStr">
        <is>
          <t>KARLSBORG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46310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46310</v>
      </c>
      <c r="F126" t="inlineStr">
        <is>
          <t>VÄSTRA GÖTALANDS LÄN</t>
        </is>
      </c>
      <c r="G126" t="inlineStr">
        <is>
          <t>KARLSBORG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46310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46310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46310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45369</v>
      </c>
      <c r="E130" s="1" t="n">
        <v>46310</v>
      </c>
      <c r="F130" t="inlineStr">
        <is>
          <t>VÄSTRA GÖTALANDS LÄN</t>
        </is>
      </c>
      <c r="G130" t="inlineStr">
        <is>
          <t>KARLSBORG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46310</v>
      </c>
      <c r="F131" t="inlineStr">
        <is>
          <t>VÄSTRA GÖTALANDS LÄN</t>
        </is>
      </c>
      <c r="G131" t="inlineStr">
        <is>
          <t>KARLSBORG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46310</v>
      </c>
      <c r="F132" t="inlineStr">
        <is>
          <t>VÄSTRA GÖTALANDS LÄN</t>
        </is>
      </c>
      <c r="G132" t="inlineStr">
        <is>
          <t>KARLSBORG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46310</v>
      </c>
      <c r="F133" t="inlineStr">
        <is>
          <t>VÄSTRA GÖTALANDS LÄN</t>
        </is>
      </c>
      <c r="G133" t="inlineStr">
        <is>
          <t>KARLSBORG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46310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46310</v>
      </c>
      <c r="F135" t="inlineStr">
        <is>
          <t>VÄSTRA GÖTALANDS LÄN</t>
        </is>
      </c>
      <c r="G135" t="inlineStr">
        <is>
          <t>KARLSBORG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46310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44795</v>
      </c>
      <c r="E137" s="1" t="n">
        <v>46310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44785</v>
      </c>
      <c r="E138" s="1" t="n">
        <v>46310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35441-2024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45531</v>
      </c>
      <c r="E139" s="1" t="n">
        <v>46310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46310</v>
      </c>
      <c r="F140" t="inlineStr">
        <is>
          <t>VÄSTRA GÖTALANDS LÄN</t>
        </is>
      </c>
      <c r="G140" t="inlineStr">
        <is>
          <t>KARLSBORG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46310</v>
      </c>
      <c r="F141" t="inlineStr">
        <is>
          <t>VÄSTRA GÖTALANDS LÄN</t>
        </is>
      </c>
      <c r="G141" t="inlineStr">
        <is>
          <t>KARLSBORG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46310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46310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46310</v>
      </c>
      <c r="F144" t="inlineStr">
        <is>
          <t>VÄSTRA GÖTALANDS LÄN</t>
        </is>
      </c>
      <c r="G144" t="inlineStr">
        <is>
          <t>KARLSBORG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46310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45233</v>
      </c>
      <c r="E146" s="1" t="n">
        <v>46310</v>
      </c>
      <c r="F146" t="inlineStr">
        <is>
          <t>VÄSTRA GÖTALANDS LÄN</t>
        </is>
      </c>
      <c r="G146" t="inlineStr">
        <is>
          <t>KARLSBORG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46310</v>
      </c>
      <c r="F147" t="inlineStr">
        <is>
          <t>VÄSTRA GÖTALANDS LÄN</t>
        </is>
      </c>
      <c r="G147" t="inlineStr">
        <is>
          <t>KARLSBORG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46310</v>
      </c>
      <c r="F148" t="inlineStr">
        <is>
          <t>VÄSTRA GÖTALANDS LÄN</t>
        </is>
      </c>
      <c r="G148" t="inlineStr">
        <is>
          <t>KARLSBORG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46310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46310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statliga verk och myndigheter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46310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46310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46310</v>
      </c>
      <c r="F153" t="inlineStr">
        <is>
          <t>VÄSTRA GÖTALANDS LÄN</t>
        </is>
      </c>
      <c r="G153" t="inlineStr">
        <is>
          <t>KARLSBORG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46143</v>
      </c>
      <c r="E154" s="1" t="n">
        <v>46310</v>
      </c>
      <c r="F154" t="inlineStr">
        <is>
          <t>VÄSTRA GÖTALANDS LÄN</t>
        </is>
      </c>
      <c r="G154" t="inlineStr">
        <is>
          <t>KARLSBORG</t>
        </is>
      </c>
      <c r="I154" t="n">
        <v>14.6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46310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46310</v>
      </c>
      <c r="F156" t="inlineStr">
        <is>
          <t>VÄSTRA GÖTALANDS LÄN</t>
        </is>
      </c>
      <c r="G156" t="inlineStr">
        <is>
          <t>KARLSBORG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23500-2023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45076</v>
      </c>
      <c r="E157" s="1" t="n">
        <v>46310</v>
      </c>
      <c r="F157" t="inlineStr">
        <is>
          <t>VÄSTRA GÖTALANDS LÄN</t>
        </is>
      </c>
      <c r="G157" t="inlineStr">
        <is>
          <t>KARLSBORG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46310</v>
      </c>
      <c r="F158" t="inlineStr">
        <is>
          <t>VÄSTRA GÖTALANDS LÄN</t>
        </is>
      </c>
      <c r="G158" t="inlineStr">
        <is>
          <t>KARLSBORG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46310</v>
      </c>
      <c r="F159" t="inlineStr">
        <is>
          <t>VÄSTRA GÖTALANDS LÄN</t>
        </is>
      </c>
      <c r="G159" t="inlineStr">
        <is>
          <t>KARLSBORG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46310</v>
      </c>
      <c r="F160" t="inlineStr">
        <is>
          <t>VÄSTRA GÖTALANDS LÄN</t>
        </is>
      </c>
      <c r="G160" t="inlineStr">
        <is>
          <t>KARLSBORG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46310</v>
      </c>
      <c r="F161" t="inlineStr">
        <is>
          <t>VÄSTRA GÖTALANDS LÄN</t>
        </is>
      </c>
      <c r="G161" t="inlineStr">
        <is>
          <t>KARLSBORG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46310</v>
      </c>
      <c r="F162" t="inlineStr">
        <is>
          <t>VÄSTRA GÖTALANDS LÄN</t>
        </is>
      </c>
      <c r="G162" t="inlineStr">
        <is>
          <t>KARLSBORG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46310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29357-2024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45483</v>
      </c>
      <c r="E164" s="1" t="n">
        <v>46310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45719</v>
      </c>
      <c r="E165" s="1" t="n">
        <v>46310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46310</v>
      </c>
      <c r="F166" t="inlineStr">
        <is>
          <t>VÄSTRA GÖTALANDS LÄN</t>
        </is>
      </c>
      <c r="G166" t="inlineStr">
        <is>
          <t>KARLSBORG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46310</v>
      </c>
      <c r="F167" t="inlineStr">
        <is>
          <t>VÄSTRA GÖTALANDS LÄN</t>
        </is>
      </c>
      <c r="G167" t="inlineStr">
        <is>
          <t>KARLSBORG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44929</v>
      </c>
      <c r="E168" s="1" t="n">
        <v>46310</v>
      </c>
      <c r="F168" t="inlineStr">
        <is>
          <t>VÄSTRA GÖTALANDS LÄN</t>
        </is>
      </c>
      <c r="G168" t="inlineStr">
        <is>
          <t>KARLSBORG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  <c r="X168">
        <f>HYPERLINK("https://klasma.github.io/Logging_1446/kartor/A 412-2023 karta.png", "A 412-2023")</f>
        <v/>
      </c>
      <c r="Y168">
        <f>HYPERLINK("https://klasma.github.io/Logging_1446/kartor_geotiff/A 412-2023 georefererad karta.tif", "A 412-2023")</f>
        <v/>
      </c>
      <c r="AA168">
        <f>HYPERLINK("https://klasma.github.io/Logging_1446/klagomål/A 412-2023 FSC-klagomål.docx", "A 412-2023")</f>
        <v/>
      </c>
      <c r="AB168">
        <f>HYPERLINK("https://klasma.github.io/Logging_1446/klagomålsmail/A 412-2023 FSC-klagomål mail.docx", "A 412-2023")</f>
        <v/>
      </c>
      <c r="AC168">
        <f>HYPERLINK("https://klasma.github.io/Logging_1446/tillsyn/A 412-2023 tillsynsbegäran.docx", "A 412-2023")</f>
        <v/>
      </c>
      <c r="AD168">
        <f>HYPERLINK("https://klasma.github.io/Logging_1446/tillsynsmail/A 412-2023 tillsynsbegäran mail.docx", "A 412-2023")</f>
        <v/>
      </c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46310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46310</v>
      </c>
      <c r="F170" t="inlineStr">
        <is>
          <t>VÄSTRA GÖTALANDS LÄN</t>
        </is>
      </c>
      <c r="G170" t="inlineStr">
        <is>
          <t>KARLSBORG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46310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12.6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46310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46310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46310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46310</v>
      </c>
      <c r="F175" t="inlineStr">
        <is>
          <t>VÄSTRA GÖTALANDS LÄN</t>
        </is>
      </c>
      <c r="G175" t="inlineStr">
        <is>
          <t>KARLSBORG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57913-2024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45631</v>
      </c>
      <c r="E176" s="1" t="n">
        <v>46310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46310</v>
      </c>
      <c r="F177" t="inlineStr">
        <is>
          <t>VÄSTRA GÖTALANDS LÄN</t>
        </is>
      </c>
      <c r="G177" t="inlineStr">
        <is>
          <t>KARLSBORG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46310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Aktiebolag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46310</v>
      </c>
      <c r="F179" t="inlineStr">
        <is>
          <t>VÄSTRA GÖTALANDS LÄN</t>
        </is>
      </c>
      <c r="G179" t="inlineStr">
        <is>
          <t>KARLSBORG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46160</v>
      </c>
      <c r="E180" s="1" t="n">
        <v>46310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46310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46310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58129-2024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45632</v>
      </c>
      <c r="E183" s="1" t="n">
        <v>46310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45394</v>
      </c>
      <c r="E184" s="1" t="n">
        <v>46310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46230</v>
      </c>
      <c r="E185" s="1" t="n">
        <v>46310</v>
      </c>
      <c r="F185" t="inlineStr">
        <is>
          <t>VÄSTRA GÖTALANDS LÄN</t>
        </is>
      </c>
      <c r="G185" t="inlineStr">
        <is>
          <t>KARLSBORG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46310</v>
      </c>
      <c r="F186" t="inlineStr">
        <is>
          <t>VÄSTRA GÖTALANDS LÄN</t>
        </is>
      </c>
      <c r="G186" t="inlineStr">
        <is>
          <t>KARLSBORG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46310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46276</v>
      </c>
      <c r="E188" s="1" t="n">
        <v>46310</v>
      </c>
      <c r="F188" t="inlineStr">
        <is>
          <t>VÄSTRA GÖTALANDS LÄN</t>
        </is>
      </c>
      <c r="G188" t="inlineStr">
        <is>
          <t>KARLSBORG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44906</v>
      </c>
      <c r="E189" s="1" t="n">
        <v>46310</v>
      </c>
      <c r="F189" t="inlineStr">
        <is>
          <t>VÄSTRA GÖTALANDS LÄN</t>
        </is>
      </c>
      <c r="G189" t="inlineStr">
        <is>
          <t>KARLSBORG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46310</v>
      </c>
      <c r="F190" t="inlineStr">
        <is>
          <t>VÄSTRA GÖTALANDS LÄN</t>
        </is>
      </c>
      <c r="G190" t="inlineStr">
        <is>
          <t>KARLSBORG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45089</v>
      </c>
      <c r="E191" s="1" t="n">
        <v>46310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46310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15396-2024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45401</v>
      </c>
      <c r="E193" s="1" t="n">
        <v>46310</v>
      </c>
      <c r="F193" t="inlineStr">
        <is>
          <t>VÄSTRA GÖTALANDS LÄN</t>
        </is>
      </c>
      <c r="G193" t="inlineStr">
        <is>
          <t>KARLSBORG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46310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statliga verk och myndigheter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46288</v>
      </c>
      <c r="E195" s="1" t="n">
        <v>46310</v>
      </c>
      <c r="F195" t="inlineStr">
        <is>
          <t>VÄSTRA GÖTALANDS LÄN</t>
        </is>
      </c>
      <c r="G195" t="inlineStr">
        <is>
          <t>KARLSBORG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46310</v>
      </c>
      <c r="F196" t="inlineStr">
        <is>
          <t>VÄSTRA GÖTALANDS LÄN</t>
        </is>
      </c>
      <c r="G196" t="inlineStr">
        <is>
          <t>KARLSBORG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46310</v>
      </c>
      <c r="F197" t="inlineStr">
        <is>
          <t>VÄSTRA GÖTALANDS LÄN</t>
        </is>
      </c>
      <c r="G197" t="inlineStr">
        <is>
          <t>KARLSBORG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45575</v>
      </c>
      <c r="E198" s="1" t="n">
        <v>46310</v>
      </c>
      <c r="F198" t="inlineStr">
        <is>
          <t>VÄSTRA GÖTALANDS LÄN</t>
        </is>
      </c>
      <c r="G198" t="inlineStr">
        <is>
          <t>KARLSBORG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46171</v>
      </c>
      <c r="E199" s="1" t="n">
        <v>46310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46310</v>
      </c>
      <c r="F200" t="inlineStr">
        <is>
          <t>VÄSTRA GÖTALANDS LÄN</t>
        </is>
      </c>
      <c r="G200" t="inlineStr">
        <is>
          <t>KARLSBORG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42825-2024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46310</v>
      </c>
      <c r="F201" t="inlineStr">
        <is>
          <t>VÄSTRA GÖTALANDS LÄN</t>
        </is>
      </c>
      <c r="G201" t="inlineStr">
        <is>
          <t>KARLSBORG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46310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46310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46310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46310</v>
      </c>
      <c r="F205" t="inlineStr">
        <is>
          <t>VÄSTRA GÖTALANDS LÄN</t>
        </is>
      </c>
      <c r="G205" t="inlineStr">
        <is>
          <t>KARLSBORG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46310</v>
      </c>
      <c r="F206" t="inlineStr">
        <is>
          <t>VÄSTRA GÖTALANDS LÄN</t>
        </is>
      </c>
      <c r="G206" t="inlineStr">
        <is>
          <t>KARLSBORG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46310</v>
      </c>
      <c r="F207" t="inlineStr">
        <is>
          <t>VÄSTRA GÖTALANDS LÄN</t>
        </is>
      </c>
      <c r="G207" t="inlineStr">
        <is>
          <t>KARLSBORG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46300</v>
      </c>
      <c r="E208" s="1" t="n">
        <v>46310</v>
      </c>
      <c r="F208" t="inlineStr">
        <is>
          <t>VÄSTRA GÖTALANDS LÄN</t>
        </is>
      </c>
      <c r="G208" t="inlineStr">
        <is>
          <t>KARLSBORG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46310</v>
      </c>
      <c r="F209" t="inlineStr">
        <is>
          <t>VÄSTRA GÖTALANDS LÄN</t>
        </is>
      </c>
      <c r="G209" t="inlineStr">
        <is>
          <t>KARLSBORG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46310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46300</v>
      </c>
      <c r="E211" s="1" t="n">
        <v>46310</v>
      </c>
      <c r="F211" t="inlineStr">
        <is>
          <t>VÄSTRA GÖTALANDS LÄN</t>
        </is>
      </c>
      <c r="G211" t="inlineStr">
        <is>
          <t>KARLSBORG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46302</v>
      </c>
      <c r="E212" s="1" t="n">
        <v>46310</v>
      </c>
      <c r="F212" t="inlineStr">
        <is>
          <t>VÄSTRA GÖTALANDS LÄN</t>
        </is>
      </c>
      <c r="G212" t="inlineStr">
        <is>
          <t>KARLSBORG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46310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46310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46260</v>
      </c>
      <c r="E215" s="1" t="n">
        <v>46310</v>
      </c>
      <c r="F215" t="inlineStr">
        <is>
          <t>VÄSTRA GÖTALANDS LÄN</t>
        </is>
      </c>
      <c r="G215" t="inlineStr">
        <is>
          <t>KARLSBORG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46310</v>
      </c>
      <c r="F216" t="inlineStr">
        <is>
          <t>VÄSTRA GÖTALANDS LÄN</t>
        </is>
      </c>
      <c r="G216" t="inlineStr">
        <is>
          <t>KARLSBORG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46310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46310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46310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46310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46310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46310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2026-10-15T02:04:20Z</dcterms:created>
  <dcterms:modified xmlns:dcterms="http://purl.org/dc/terms/" xmlns:xsi="http://www.w3.org/2001/XMLSchema-instance" xsi:type="dcterms:W3CDTF">2026-10-15T02:04:20Z</dcterms:modified>
</cp:coreProperties>
</file>