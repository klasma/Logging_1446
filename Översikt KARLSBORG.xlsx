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46260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46260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46260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46260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46260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46260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46260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46260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46260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46260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46260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46260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46260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Dropptaggsvamp
Tallfingersvamp</t>
        </is>
      </c>
      <c r="W14">
        <f>HYPERLINK("https://klasma.github.io/Logging_1446/artfynd/A 43626-2023 artfynd.xlsx", "A 43626-2023")</f>
        <v/>
      </c>
      <c r="X14">
        <f>HYPERLINK("https://klasma.github.io/Logging_1446/kartor/A 43626-2023 karta.png", "A 43626-2023")</f>
        <v/>
      </c>
      <c r="Y14">
        <f>HYPERLINK("https://klasma.github.io/Logging_1446/kartor_geotiff/A 43626-2023 georefererad karta.tif", "A 43626-2023")</f>
        <v/>
      </c>
      <c r="AA14">
        <f>HYPERLINK("https://klasma.github.io/Logging_1446/klagomål/A 43626-2023 FSC-klagomål.docx", "A 43626-2023")</f>
        <v/>
      </c>
      <c r="AB14">
        <f>HYPERLINK("https://klasma.github.io/Logging_1446/klagomålsmail/A 43626-2023 FSC-klagomål mail.docx", "A 43626-2023")</f>
        <v/>
      </c>
      <c r="AC14">
        <f>HYPERLINK("https://klasma.github.io/Logging_1446/tillsyn/A 43626-2023 tillsynsbegäran.docx", "A 43626-2023")</f>
        <v/>
      </c>
      <c r="AD14">
        <f>HYPERLINK("https://klasma.github.io/Logging_1446/tillsynsmail/A 43626-2023 tillsynsbegäran mail.docx", "A 43626-2023")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46260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46260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46260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4448-2026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46045</v>
      </c>
      <c r="E18" s="1" t="n">
        <v>46260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Övriga Aktiebolag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HYPERLINK("https://klasma.github.io/Logging_1446/artfynd/A 4448-2026 artfynd.xlsx", "A 4448-2026")</f>
        <v/>
      </c>
      <c r="X18">
        <f>HYPERLINK("https://klasma.github.io/Logging_1446/kartor/A 4448-2026 karta.png", "A 4448-2026")</f>
        <v/>
      </c>
      <c r="Y18">
        <f>HYPERLINK("https://klasma.github.io/Logging_1446/kartor_geotiff/A 4448-2026 georefererad karta.tif", "A 4448-2026")</f>
        <v/>
      </c>
      <c r="AA18">
        <f>HYPERLINK("https://klasma.github.io/Logging_1446/klagomål/A 4448-2026 FSC-klagomål.docx", "A 4448-2026")</f>
        <v/>
      </c>
      <c r="AB18">
        <f>HYPERLINK("https://klasma.github.io/Logging_1446/klagomålsmail/A 4448-2026 FSC-klagomål mail.docx", "A 4448-2026")</f>
        <v/>
      </c>
      <c r="AC18">
        <f>HYPERLINK("https://klasma.github.io/Logging_1446/tillsyn/A 4448-2026 tillsynsbegäran.docx", "A 4448-2026")</f>
        <v/>
      </c>
      <c r="AD18">
        <f>HYPERLINK("https://klasma.github.io/Logging_1446/tillsynsmail/A 4448-2026 tillsynsbegäran mail.docx", "A 4448-2026")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46260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18567-2026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46127</v>
      </c>
      <c r="E20" s="1" t="n">
        <v>46260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2.6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Spindelblomster</t>
        </is>
      </c>
      <c r="W20">
        <f>HYPERLINK("https://klasma.github.io/Logging_1446/artfynd/A 18567-2026 artfynd.xlsx", "A 18567-2026")</f>
        <v/>
      </c>
      <c r="X20">
        <f>HYPERLINK("https://klasma.github.io/Logging_1446/kartor/A 18567-2026 karta.png", "A 18567-2026")</f>
        <v/>
      </c>
      <c r="Y20">
        <f>HYPERLINK("https://klasma.github.io/Logging_1446/kartor_geotiff/A 18567-2026 georefererad karta.tif", "A 18567-2026")</f>
        <v/>
      </c>
      <c r="AA20">
        <f>HYPERLINK("https://klasma.github.io/Logging_1446/klagomål/A 18567-2026 FSC-klagomål.docx", "A 18567-2026")</f>
        <v/>
      </c>
      <c r="AB20">
        <f>HYPERLINK("https://klasma.github.io/Logging_1446/klagomålsmail/A 18567-2026 FSC-klagomål mail.docx", "A 18567-2026")</f>
        <v/>
      </c>
      <c r="AC20">
        <f>HYPERLINK("https://klasma.github.io/Logging_1446/tillsyn/A 18567-2026 tillsynsbegäran.docx", "A 18567-2026")</f>
        <v/>
      </c>
      <c r="AD20">
        <f>HYPERLINK("https://klasma.github.io/Logging_1446/tillsynsmail/A 18567-2026 tillsynsbegäran mail.docx", "A 18567-2026")</f>
        <v/>
      </c>
    </row>
    <row r="21" ht="15" customHeight="1">
      <c r="A21" t="inlineStr">
        <is>
          <t>A 29484-2025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46260</v>
      </c>
      <c r="F21" t="inlineStr">
        <is>
          <t>VÄSTRA GÖTALANDS LÄN</t>
        </is>
      </c>
      <c r="G21" t="inlineStr">
        <is>
          <t>KARLSBORG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Blåsippa</t>
        </is>
      </c>
      <c r="W21">
        <f>HYPERLINK("https://klasma.github.io/Logging_1446/artfynd/A 29484-2025 artfynd.xlsx", "A 29484-2025")</f>
        <v/>
      </c>
      <c r="X21">
        <f>HYPERLINK("https://klasma.github.io/Logging_1446/kartor/A 29484-2025 karta.png", "A 29484-2025")</f>
        <v/>
      </c>
      <c r="Y21">
        <f>HYPERLINK("https://klasma.github.io/Logging_1446/kartor_geotiff/A 29484-2025 georefererad karta.tif", "A 29484-2025")</f>
        <v/>
      </c>
      <c r="AA21">
        <f>HYPERLINK("https://klasma.github.io/Logging_1446/klagomål/A 29484-2025 FSC-klagomål.docx", "A 29484-2025")</f>
        <v/>
      </c>
      <c r="AB21">
        <f>HYPERLINK("https://klasma.github.io/Logging_1446/klagomålsmail/A 29484-2025 FSC-klagomål mail.docx", "A 29484-2025")</f>
        <v/>
      </c>
      <c r="AC21">
        <f>HYPERLINK("https://klasma.github.io/Logging_1446/tillsyn/A 29484-2025 tillsynsbegäran.docx", "A 29484-2025")</f>
        <v/>
      </c>
      <c r="AD21">
        <f>HYPERLINK("https://klasma.github.io/Logging_1446/tillsynsmail/A 29484-2025 tillsynsbegäran mail.docx", "A 29484-2025")</f>
        <v/>
      </c>
    </row>
    <row r="22" ht="15" customHeight="1">
      <c r="A22" t="inlineStr">
        <is>
          <t>A 8984-2025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46260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HYPERLINK("https://klasma.github.io/Logging_1446/artfynd/A 8984-2025 artfynd.xlsx", "A 8984-2025")</f>
        <v/>
      </c>
      <c r="X22">
        <f>HYPERLINK("https://klasma.github.io/Logging_1446/kartor/A 8984-2025 karta.png", "A 8984-2025")</f>
        <v/>
      </c>
      <c r="Y22">
        <f>HYPERLINK("https://klasma.github.io/Logging_1446/kartor_geotiff/A 8984-2025 georefererad karta.tif", "A 8984-2025")</f>
        <v/>
      </c>
      <c r="AA22">
        <f>HYPERLINK("https://klasma.github.io/Logging_1446/klagomål/A 8984-2025 FSC-klagomål.docx", "A 8984-2025")</f>
        <v/>
      </c>
      <c r="AB22">
        <f>HYPERLINK("https://klasma.github.io/Logging_1446/klagomålsmail/A 8984-2025 FSC-klagomål mail.docx", "A 8984-2025")</f>
        <v/>
      </c>
      <c r="AC22">
        <f>HYPERLINK("https://klasma.github.io/Logging_1446/tillsyn/A 8984-2025 tillsynsbegäran.docx", "A 8984-2025")</f>
        <v/>
      </c>
      <c r="AD22">
        <f>HYPERLINK("https://klasma.github.io/Logging_1446/tillsynsmail/A 8984-2025 tillsynsbegäran mail.docx", "A 8984-2025")</f>
        <v/>
      </c>
      <c r="AE22">
        <f>HYPERLINK("https://klasma.github.io/Logging_1446/fåglar/A 8984-2025 prioriterade fågelarter.docx", "A 8984-2025")</f>
        <v/>
      </c>
    </row>
    <row r="23" ht="15" customHeight="1">
      <c r="A23" t="inlineStr">
        <is>
          <t>A 42778-2024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45566</v>
      </c>
      <c r="E23" s="1" t="n">
        <v>46260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HYPERLINK("https://klasma.github.io/Logging_1446/artfynd/A 42778-2024 artfynd.xlsx", "A 42778-2024")</f>
        <v/>
      </c>
      <c r="X23">
        <f>HYPERLINK("https://klasma.github.io/Logging_1446/kartor/A 42778-2024 karta.png", "A 42778-2024")</f>
        <v/>
      </c>
      <c r="Y23">
        <f>HYPERLINK("https://klasma.github.io/Logging_1446/kartor_geotiff/A 42778-2024 georefererad karta.tif", "A 42778-2024")</f>
        <v/>
      </c>
      <c r="AA23">
        <f>HYPERLINK("https://klasma.github.io/Logging_1446/klagomål/A 42778-2024 FSC-klagomål.docx", "A 42778-2024")</f>
        <v/>
      </c>
      <c r="AB23">
        <f>HYPERLINK("https://klasma.github.io/Logging_1446/klagomålsmail/A 42778-2024 FSC-klagomål mail.docx", "A 42778-2024")</f>
        <v/>
      </c>
      <c r="AC23">
        <f>HYPERLINK("https://klasma.github.io/Logging_1446/tillsyn/A 42778-2024 tillsynsbegäran.docx", "A 42778-2024")</f>
        <v/>
      </c>
      <c r="AD23">
        <f>HYPERLINK("https://klasma.github.io/Logging_1446/tillsynsmail/A 42778-2024 tillsynsbegäran mail.docx", "A 42778-2024")</f>
        <v/>
      </c>
    </row>
    <row r="24" ht="15" customHeight="1">
      <c r="A24" t="inlineStr">
        <is>
          <t>A 51531-2023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46260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Kommuner</t>
        </is>
      </c>
      <c r="I24" t="n">
        <v>11.2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Revlummer</t>
        </is>
      </c>
      <c r="W24">
        <f>HYPERLINK("https://klasma.github.io/Logging_1446/artfynd/A 51531-2023 artfynd.xlsx", "A 51531-2023")</f>
        <v/>
      </c>
      <c r="X24">
        <f>HYPERLINK("https://klasma.github.io/Logging_1446/kartor/A 51531-2023 karta.png", "A 51531-2023")</f>
        <v/>
      </c>
      <c r="Y24">
        <f>HYPERLINK("https://klasma.github.io/Logging_1446/kartor_geotiff/A 51531-2023 georefererad karta.tif", "A 51531-2023")</f>
        <v/>
      </c>
      <c r="AA24">
        <f>HYPERLINK("https://klasma.github.io/Logging_1446/klagomål/A 51531-2023 FSC-klagomål.docx", "A 51531-2023")</f>
        <v/>
      </c>
      <c r="AB24">
        <f>HYPERLINK("https://klasma.github.io/Logging_1446/klagomålsmail/A 51531-2023 FSC-klagomål mail.docx", "A 51531-2023")</f>
        <v/>
      </c>
      <c r="AC24">
        <f>HYPERLINK("https://klasma.github.io/Logging_1446/tillsyn/A 51531-2023 tillsynsbegäran.docx", "A 51531-2023")</f>
        <v/>
      </c>
      <c r="AD24">
        <f>HYPERLINK("https://klasma.github.io/Logging_1446/tillsynsmail/A 51531-2023 tillsynsbegäran mail.docx", "A 51531-2023")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46260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31801-2026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46230</v>
      </c>
      <c r="E26" s="1" t="n">
        <v>46260</v>
      </c>
      <c r="F26" t="inlineStr">
        <is>
          <t>VÄSTRA GÖTALANDS LÄN</t>
        </is>
      </c>
      <c r="G26" t="inlineStr">
        <is>
          <t>KARLSBORG</t>
        </is>
      </c>
      <c r="I26" t="n">
        <v>1.3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Knärot</t>
        </is>
      </c>
      <c r="W26">
        <f>HYPERLINK("https://klasma.github.io/Logging_1446/artfynd/A 31801-2026 artfynd.xlsx", "A 31801-2026")</f>
        <v/>
      </c>
      <c r="X26">
        <f>HYPERLINK("https://klasma.github.io/Logging_1446/kartor/A 31801-2026 karta.png", "A 31801-2026")</f>
        <v/>
      </c>
      <c r="Y26">
        <f>HYPERLINK("https://klasma.github.io/Logging_1446/kartor_geotiff/A 31801-2026 georefererad karta.tif", "A 31801-2026")</f>
        <v/>
      </c>
      <c r="Z26">
        <f>HYPERLINK("https://klasma.github.io/Logging_1446/knärot/A 31801-2026 karta knärot.png", "A 31801-2026")</f>
        <v/>
      </c>
      <c r="AA26">
        <f>HYPERLINK("https://klasma.github.io/Logging_1446/klagomål/A 31801-2026 FSC-klagomål.docx", "A 31801-2026")</f>
        <v/>
      </c>
      <c r="AB26">
        <f>HYPERLINK("https://klasma.github.io/Logging_1446/klagomålsmail/A 31801-2026 FSC-klagomål mail.docx", "A 31801-2026")</f>
        <v/>
      </c>
      <c r="AC26">
        <f>HYPERLINK("https://klasma.github.io/Logging_1446/tillsyn/A 31801-2026 tillsynsbegäran.docx", "A 31801-2026")</f>
        <v/>
      </c>
      <c r="AD26">
        <f>HYPERLINK("https://klasma.github.io/Logging_1446/tillsynsmail/A 31801-2026 tillsynsbegäran mail.docx", "A 31801-2026")</f>
        <v/>
      </c>
    </row>
    <row r="27" ht="15" customHeight="1">
      <c r="A27" t="inlineStr">
        <is>
          <t>A 59712-2021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44494</v>
      </c>
      <c r="E27" s="1" t="n">
        <v>46260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Ask</t>
        </is>
      </c>
      <c r="W27">
        <f>HYPERLINK("https://klasma.github.io/Logging_1446/artfynd/A 59712-2021 artfynd.xlsx", "A 59712-2021")</f>
        <v/>
      </c>
      <c r="X27">
        <f>HYPERLINK("https://klasma.github.io/Logging_1446/kartor/A 59712-2021 karta.png", "A 59712-2021")</f>
        <v/>
      </c>
      <c r="Y27">
        <f>HYPERLINK("https://klasma.github.io/Logging_1446/kartor_geotiff/A 59712-2021 georefererad karta.tif", "A 59712-2021")</f>
        <v/>
      </c>
      <c r="AA27">
        <f>HYPERLINK("https://klasma.github.io/Logging_1446/klagomål/A 59712-2021 FSC-klagomål.docx", "A 59712-2021")</f>
        <v/>
      </c>
      <c r="AB27">
        <f>HYPERLINK("https://klasma.github.io/Logging_1446/klagomålsmail/A 59712-2021 FSC-klagomål mail.docx", "A 59712-2021")</f>
        <v/>
      </c>
      <c r="AC27">
        <f>HYPERLINK("https://klasma.github.io/Logging_1446/tillsyn/A 59712-2021 tillsynsbegäran.docx", "A 59712-2021")</f>
        <v/>
      </c>
      <c r="AD27">
        <f>HYPERLINK("https://klasma.github.io/Logging_1446/tillsynsmail/A 59712-2021 tillsynsbegäran mail.docx", "A 59712-2021")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46260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38103-2023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46260</v>
      </c>
      <c r="F29" t="inlineStr">
        <is>
          <t>VÄSTRA GÖTALANDS LÄN</t>
        </is>
      </c>
      <c r="G29" t="inlineStr">
        <is>
          <t>KARLSBORG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HYPERLINK("https://klasma.github.io/Logging_1446/artfynd/A 38103-2023 artfynd.xlsx", "A 38103-2023")</f>
        <v/>
      </c>
      <c r="X29">
        <f>HYPERLINK("https://klasma.github.io/Logging_1446/kartor/A 38103-2023 karta.png", "A 38103-2023")</f>
        <v/>
      </c>
      <c r="Y29">
        <f>HYPERLINK("https://klasma.github.io/Logging_1446/kartor_geotiff/A 38103-2023 georefererad karta.tif", "A 38103-2023")</f>
        <v/>
      </c>
      <c r="AA29">
        <f>HYPERLINK("https://klasma.github.io/Logging_1446/klagomål/A 38103-2023 FSC-klagomål.docx", "A 38103-2023")</f>
        <v/>
      </c>
      <c r="AB29">
        <f>HYPERLINK("https://klasma.github.io/Logging_1446/klagomålsmail/A 38103-2023 FSC-klagomål mail.docx", "A 38103-2023")</f>
        <v/>
      </c>
      <c r="AC29">
        <f>HYPERLINK("https://klasma.github.io/Logging_1446/tillsyn/A 38103-2023 tillsynsbegäran.docx", "A 38103-2023")</f>
        <v/>
      </c>
      <c r="AD29">
        <f>HYPERLINK("https://klasma.github.io/Logging_1446/tillsynsmail/A 38103-2023 tillsynsbegäran mail.docx", "A 38103-2023")</f>
        <v/>
      </c>
    </row>
    <row r="30" ht="15" customHeight="1">
      <c r="A30" t="inlineStr">
        <is>
          <t>A 53909-2023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46260</v>
      </c>
      <c r="F30" t="inlineStr">
        <is>
          <t>VÄSTRA GÖTALANDS LÄN</t>
        </is>
      </c>
      <c r="G30" t="inlineStr">
        <is>
          <t>KARLSBORG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HYPERLINK("https://klasma.github.io/Logging_1446/artfynd/A 53909-2023 artfynd.xlsx", "A 53909-2023")</f>
        <v/>
      </c>
      <c r="X30">
        <f>HYPERLINK("https://klasma.github.io/Logging_1446/kartor/A 53909-2023 karta.png", "A 53909-2023")</f>
        <v/>
      </c>
      <c r="Y30">
        <f>HYPERLINK("https://klasma.github.io/Logging_1446/kartor_geotiff/A 53909-2023 georefererad karta.tif", "A 53909-2023")</f>
        <v/>
      </c>
      <c r="AA30">
        <f>HYPERLINK("https://klasma.github.io/Logging_1446/klagomål/A 53909-2023 FSC-klagomål.docx", "A 53909-2023")</f>
        <v/>
      </c>
      <c r="AB30">
        <f>HYPERLINK("https://klasma.github.io/Logging_1446/klagomålsmail/A 53909-2023 FSC-klagomål mail.docx", "A 53909-2023")</f>
        <v/>
      </c>
      <c r="AC30">
        <f>HYPERLINK("https://klasma.github.io/Logging_1446/tillsyn/A 53909-2023 tillsynsbegäran.docx", "A 53909-2023")</f>
        <v/>
      </c>
      <c r="AD30">
        <f>HYPERLINK("https://klasma.github.io/Logging_1446/tillsynsmail/A 53909-2023 tillsynsbegäran mail.docx", "A 53909-2023")</f>
        <v/>
      </c>
    </row>
    <row r="31" ht="15" customHeight="1">
      <c r="A31" t="inlineStr">
        <is>
          <t>A 23973-2023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46260</v>
      </c>
      <c r="F31" t="inlineStr">
        <is>
          <t>VÄSTRA GÖTALANDS LÄN</t>
        </is>
      </c>
      <c r="G31" t="inlineStr">
        <is>
          <t>KARLSBORG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Orre</t>
        </is>
      </c>
      <c r="W31">
        <f>HYPERLINK("https://klasma.github.io/Logging_1446/artfynd/A 23973-2023 artfynd.xlsx", "A 23973-2023")</f>
        <v/>
      </c>
      <c r="X31">
        <f>HYPERLINK("https://klasma.github.io/Logging_1446/kartor/A 23973-2023 karta.png", "A 23973-2023")</f>
        <v/>
      </c>
      <c r="Y31">
        <f>HYPERLINK("https://klasma.github.io/Logging_1446/kartor_geotiff/A 23973-2023 georefererad karta.tif", "A 23973-2023")</f>
        <v/>
      </c>
      <c r="AA31">
        <f>HYPERLINK("https://klasma.github.io/Logging_1446/klagomål/A 23973-2023 FSC-klagomål.docx", "A 23973-2023")</f>
        <v/>
      </c>
      <c r="AB31">
        <f>HYPERLINK("https://klasma.github.io/Logging_1446/klagomålsmail/A 23973-2023 FSC-klagomål mail.docx", "A 23973-2023")</f>
        <v/>
      </c>
      <c r="AC31">
        <f>HYPERLINK("https://klasma.github.io/Logging_1446/tillsyn/A 23973-2023 tillsynsbegäran.docx", "A 23973-2023")</f>
        <v/>
      </c>
      <c r="AD31">
        <f>HYPERLINK("https://klasma.github.io/Logging_1446/tillsynsmail/A 23973-2023 tillsynsbegäran mail.docx", "A 23973-2023")</f>
        <v/>
      </c>
      <c r="AE31">
        <f>HYPERLINK("https://klasma.github.io/Logging_1446/fåglar/A 23973-2023 prioriterade fågelarter.docx", "A 23973-2023")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46260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46260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46260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46260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46260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46260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46260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46260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46260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46260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46260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46260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46260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46260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46260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46260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46260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46260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46260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46260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46260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46260</v>
      </c>
      <c r="F53" t="inlineStr">
        <is>
          <t>VÄSTRA GÖTALANDS LÄN</t>
        </is>
      </c>
      <c r="G53" t="inlineStr">
        <is>
          <t>KARLSBORG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45566</v>
      </c>
      <c r="E54" s="1" t="n">
        <v>46260</v>
      </c>
      <c r="F54" t="inlineStr">
        <is>
          <t>VÄSTRA GÖTALANDS LÄN</t>
        </is>
      </c>
      <c r="G54" t="inlineStr">
        <is>
          <t>KARLSBORG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57454-2024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45630</v>
      </c>
      <c r="E55" s="1" t="n">
        <v>46260</v>
      </c>
      <c r="F55" t="inlineStr">
        <is>
          <t>VÄSTRA GÖTALANDS LÄN</t>
        </is>
      </c>
      <c r="G55" t="inlineStr">
        <is>
          <t>KARLSBORG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46260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46260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46260</v>
      </c>
      <c r="F58" t="inlineStr">
        <is>
          <t>VÄSTRA GÖTALANDS LÄN</t>
        </is>
      </c>
      <c r="G58" t="inlineStr">
        <is>
          <t>KARLSBORG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45394</v>
      </c>
      <c r="E59" s="1" t="n">
        <v>46260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46260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46260</v>
      </c>
      <c r="F61" t="inlineStr">
        <is>
          <t>VÄSTRA GÖTALANDS LÄN</t>
        </is>
      </c>
      <c r="G61" t="inlineStr">
        <is>
          <t>KARLSBORG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28528-2024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46260</v>
      </c>
      <c r="F62" t="inlineStr">
        <is>
          <t>VÄSTRA GÖTALANDS LÄN</t>
        </is>
      </c>
      <c r="G62" t="inlineStr">
        <is>
          <t>KARLSBORG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25696-2023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46260</v>
      </c>
      <c r="F63" t="inlineStr">
        <is>
          <t>VÄSTRA GÖTALANDS LÄN</t>
        </is>
      </c>
      <c r="G63" t="inlineStr">
        <is>
          <t>KARLSBORG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45183</v>
      </c>
      <c r="E64" s="1" t="n">
        <v>46260</v>
      </c>
      <c r="F64" t="inlineStr">
        <is>
          <t>VÄSTRA GÖTALANDS LÄN</t>
        </is>
      </c>
      <c r="G64" t="inlineStr">
        <is>
          <t>KARLSBORG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26016-2023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45090</v>
      </c>
      <c r="E65" s="1" t="n">
        <v>46260</v>
      </c>
      <c r="F65" t="inlineStr">
        <is>
          <t>VÄSTRA GÖTALANDS LÄN</t>
        </is>
      </c>
      <c r="G65" t="inlineStr">
        <is>
          <t>KARLSBORG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46260</v>
      </c>
      <c r="F66" t="inlineStr">
        <is>
          <t>VÄSTRA GÖTALANDS LÄN</t>
        </is>
      </c>
      <c r="G66" t="inlineStr">
        <is>
          <t>KARLSBORG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58127-2024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45632</v>
      </c>
      <c r="E67" s="1" t="n">
        <v>46260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Sveaskog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46260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statliga verk och myndigheter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45548</v>
      </c>
      <c r="E69" s="1" t="n">
        <v>46260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46260</v>
      </c>
      <c r="F70" t="inlineStr">
        <is>
          <t>VÄSTRA GÖTALANDS LÄN</t>
        </is>
      </c>
      <c r="G70" t="inlineStr">
        <is>
          <t>KARLSBORG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46260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4439-2026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46260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Aktiebolag</t>
        </is>
      </c>
      <c r="I72" t="n">
        <v>14.3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46260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46260</v>
      </c>
      <c r="F74" t="inlineStr">
        <is>
          <t>VÄSTRA GÖTALANDS LÄN</t>
        </is>
      </c>
      <c r="G74" t="inlineStr">
        <is>
          <t>KARLSBORG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46260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70783-2021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44537</v>
      </c>
      <c r="E76" s="1" t="n">
        <v>46260</v>
      </c>
      <c r="F76" t="inlineStr">
        <is>
          <t>VÄSTRA GÖTALANDS LÄN</t>
        </is>
      </c>
      <c r="G76" t="inlineStr">
        <is>
          <t>KARLSBORG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46260</v>
      </c>
      <c r="F77" t="inlineStr">
        <is>
          <t>VÄSTRA GÖTALANDS LÄN</t>
        </is>
      </c>
      <c r="G77" t="inlineStr">
        <is>
          <t>KARLSBORG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29490-2025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46260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45575</v>
      </c>
      <c r="E79" s="1" t="n">
        <v>46260</v>
      </c>
      <c r="F79" t="inlineStr">
        <is>
          <t>VÄSTRA GÖTALANDS LÄN</t>
        </is>
      </c>
      <c r="G79" t="inlineStr">
        <is>
          <t>KARLSBORG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46260</v>
      </c>
      <c r="F80" t="inlineStr">
        <is>
          <t>VÄSTRA GÖTALANDS LÄN</t>
        </is>
      </c>
      <c r="G80" t="inlineStr">
        <is>
          <t>KARLSBORG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46260</v>
      </c>
      <c r="F81" t="inlineStr">
        <is>
          <t>VÄSTRA GÖTALANDS LÄN</t>
        </is>
      </c>
      <c r="G81" t="inlineStr">
        <is>
          <t>KARLSBORG</t>
        </is>
      </c>
      <c r="I81" t="n">
        <v>7.3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44895</v>
      </c>
      <c r="E82" s="1" t="n">
        <v>46260</v>
      </c>
      <c r="F82" t="inlineStr">
        <is>
          <t>VÄSTRA GÖTALANDS LÄN</t>
        </is>
      </c>
      <c r="G82" t="inlineStr">
        <is>
          <t>KARLSBORG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46260</v>
      </c>
      <c r="F83" t="inlineStr">
        <is>
          <t>VÄSTRA GÖTALANDS LÄN</t>
        </is>
      </c>
      <c r="G83" t="inlineStr">
        <is>
          <t>KARLSBORG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46260</v>
      </c>
      <c r="F84" t="inlineStr">
        <is>
          <t>VÄSTRA GÖTALANDS LÄN</t>
        </is>
      </c>
      <c r="G84" t="inlineStr">
        <is>
          <t>KARLSBORG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46260</v>
      </c>
      <c r="F85" t="inlineStr">
        <is>
          <t>VÄSTRA GÖTALANDS LÄN</t>
        </is>
      </c>
      <c r="G85" t="inlineStr">
        <is>
          <t>KARLSBORG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46010</v>
      </c>
      <c r="E86" s="1" t="n">
        <v>46260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statliga verk och myndigheter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46260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46260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statliga verk och myndigheter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46010</v>
      </c>
      <c r="E89" s="1" t="n">
        <v>46260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statliga verk och myndigheter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63733-2025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46010</v>
      </c>
      <c r="E90" s="1" t="n">
        <v>46260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statliga verk och myndigheter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46062</v>
      </c>
      <c r="E91" s="1" t="n">
        <v>46260</v>
      </c>
      <c r="F91" t="inlineStr">
        <is>
          <t>VÄSTRA GÖTALANDS LÄN</t>
        </is>
      </c>
      <c r="G91" t="inlineStr">
        <is>
          <t>KARLSBORG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45169</v>
      </c>
      <c r="E92" s="1" t="n">
        <v>46260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9130-2026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46069</v>
      </c>
      <c r="E93" s="1" t="n">
        <v>46260</v>
      </c>
      <c r="F93" t="inlineStr">
        <is>
          <t>VÄSTRA GÖTALANDS LÄN</t>
        </is>
      </c>
      <c r="G93" t="inlineStr">
        <is>
          <t>KARLSBORG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42757-2025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46260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Kyrkan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45589</v>
      </c>
      <c r="E95" s="1" t="n">
        <v>46260</v>
      </c>
      <c r="F95" t="inlineStr">
        <is>
          <t>VÄSTRA GÖTALANDS LÄN</t>
        </is>
      </c>
      <c r="G95" t="inlineStr">
        <is>
          <t>KARLSBORG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14525-2024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45394</v>
      </c>
      <c r="E96" s="1" t="n">
        <v>46260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44906</v>
      </c>
      <c r="E97" s="1" t="n">
        <v>46260</v>
      </c>
      <c r="F97" t="inlineStr">
        <is>
          <t>VÄSTRA GÖTALANDS LÄN</t>
        </is>
      </c>
      <c r="G97" t="inlineStr">
        <is>
          <t>KARLSBORG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44687</v>
      </c>
      <c r="E98" s="1" t="n">
        <v>46260</v>
      </c>
      <c r="F98" t="inlineStr">
        <is>
          <t>VÄSTRA GÖTALANDS LÄN</t>
        </is>
      </c>
      <c r="G98" t="inlineStr">
        <is>
          <t>KARLSBORG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45916</v>
      </c>
      <c r="E99" s="1" t="n">
        <v>46260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Kyrkan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46079</v>
      </c>
      <c r="E100" s="1" t="n">
        <v>46260</v>
      </c>
      <c r="F100" t="inlineStr">
        <is>
          <t>VÄSTRA GÖTALANDS LÄN</t>
        </is>
      </c>
      <c r="G100" t="inlineStr">
        <is>
          <t>KARLSBORG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46260</v>
      </c>
      <c r="F101" t="inlineStr">
        <is>
          <t>VÄSTRA GÖTALANDS LÄN</t>
        </is>
      </c>
      <c r="G101" t="inlineStr">
        <is>
          <t>KARLSBORG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46260</v>
      </c>
      <c r="F102" t="inlineStr">
        <is>
          <t>VÄSTRA GÖTALANDS LÄN</t>
        </is>
      </c>
      <c r="G102" t="inlineStr">
        <is>
          <t>KARLSBORG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46260</v>
      </c>
      <c r="F103" t="inlineStr">
        <is>
          <t>VÄSTRA GÖTALANDS LÄN</t>
        </is>
      </c>
      <c r="G103" t="inlineStr">
        <is>
          <t>KARLSBORG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44944</v>
      </c>
      <c r="E104" s="1" t="n">
        <v>46260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Övriga Aktiebolag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47262-2025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46260</v>
      </c>
      <c r="F105" t="inlineStr">
        <is>
          <t>VÄSTRA GÖTALANDS LÄN</t>
        </is>
      </c>
      <c r="G105" t="inlineStr">
        <is>
          <t>KARLSBORG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46260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44937</v>
      </c>
      <c r="E107" s="1" t="n">
        <v>46260</v>
      </c>
      <c r="F107" t="inlineStr">
        <is>
          <t>VÄSTRA GÖTALANDS LÄN</t>
        </is>
      </c>
      <c r="G107" t="inlineStr">
        <is>
          <t>KARLSBORG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45566</v>
      </c>
      <c r="E108" s="1" t="n">
        <v>46260</v>
      </c>
      <c r="F108" t="inlineStr">
        <is>
          <t>VÄSTRA GÖTALANDS LÄN</t>
        </is>
      </c>
      <c r="G108" t="inlineStr">
        <is>
          <t>KARLSBORG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45614</v>
      </c>
      <c r="E109" s="1" t="n">
        <v>46260</v>
      </c>
      <c r="F109" t="inlineStr">
        <is>
          <t>VÄSTRA GÖTALANDS LÄN</t>
        </is>
      </c>
      <c r="G109" t="inlineStr">
        <is>
          <t>KARLSBORG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34314-2024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45524</v>
      </c>
      <c r="E110" s="1" t="n">
        <v>46260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Aktiebolag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45942</v>
      </c>
      <c r="E111" s="1" t="n">
        <v>46260</v>
      </c>
      <c r="F111" t="inlineStr">
        <is>
          <t>VÄSTRA GÖTALANDS LÄN</t>
        </is>
      </c>
      <c r="G111" t="inlineStr">
        <is>
          <t>KARLSBORG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46260</v>
      </c>
      <c r="F112" t="inlineStr">
        <is>
          <t>VÄSTRA GÖTALANDS LÄN</t>
        </is>
      </c>
      <c r="G112" t="inlineStr">
        <is>
          <t>KARLSBORG</t>
        </is>
      </c>
      <c r="I112" t="n">
        <v>7.3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46260</v>
      </c>
      <c r="F113" t="inlineStr">
        <is>
          <t>VÄSTRA GÖTALANDS LÄN</t>
        </is>
      </c>
      <c r="G113" t="inlineStr">
        <is>
          <t>KARLSBORG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44944</v>
      </c>
      <c r="E114" s="1" t="n">
        <v>46260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46260</v>
      </c>
      <c r="F115" t="inlineStr">
        <is>
          <t>VÄSTRA GÖTALANDS LÄN</t>
        </is>
      </c>
      <c r="G115" t="inlineStr">
        <is>
          <t>KARLSBORG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26914-2024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45470</v>
      </c>
      <c r="E116" s="1" t="n">
        <v>46260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34670-2022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44795</v>
      </c>
      <c r="E117" s="1" t="n">
        <v>46260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46260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25999-2023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46260</v>
      </c>
      <c r="F119" t="inlineStr">
        <is>
          <t>VÄSTRA GÖTALANDS LÄN</t>
        </is>
      </c>
      <c r="G119" t="inlineStr">
        <is>
          <t>KARLSBORG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46260</v>
      </c>
      <c r="F120" t="inlineStr">
        <is>
          <t>VÄSTRA GÖTALANDS LÄN</t>
        </is>
      </c>
      <c r="G120" t="inlineStr">
        <is>
          <t>KARLSBORG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46260</v>
      </c>
      <c r="F121" t="inlineStr">
        <is>
          <t>VÄSTRA GÖTALANDS LÄN</t>
        </is>
      </c>
      <c r="G121" t="inlineStr">
        <is>
          <t>KARLSBORG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46260</v>
      </c>
      <c r="F122" t="inlineStr">
        <is>
          <t>VÄSTRA GÖTALANDS LÄN</t>
        </is>
      </c>
      <c r="G122" t="inlineStr">
        <is>
          <t>KARLSBORG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24594-2022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44727</v>
      </c>
      <c r="E123" s="1" t="n">
        <v>46260</v>
      </c>
      <c r="F123" t="inlineStr">
        <is>
          <t>VÄSTRA GÖTALANDS LÄN</t>
        </is>
      </c>
      <c r="G123" t="inlineStr">
        <is>
          <t>KARLSBORG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45233</v>
      </c>
      <c r="E124" s="1" t="n">
        <v>46260</v>
      </c>
      <c r="F124" t="inlineStr">
        <is>
          <t>VÄSTRA GÖTALANDS LÄN</t>
        </is>
      </c>
      <c r="G124" t="inlineStr">
        <is>
          <t>KARLSBORG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17002-2025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45755</v>
      </c>
      <c r="E125" s="1" t="n">
        <v>46260</v>
      </c>
      <c r="F125" t="inlineStr">
        <is>
          <t>VÄSTRA GÖTALANDS LÄN</t>
        </is>
      </c>
      <c r="G125" t="inlineStr">
        <is>
          <t>KARLSBORG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48385-2025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46260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9.4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59111-2025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45988</v>
      </c>
      <c r="E127" s="1" t="n">
        <v>46260</v>
      </c>
      <c r="F127" t="inlineStr">
        <is>
          <t>VÄSTRA GÖTALANDS LÄN</t>
        </is>
      </c>
      <c r="G127" t="inlineStr">
        <is>
          <t>KARLSBORG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33122-2022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44785</v>
      </c>
      <c r="E128" s="1" t="n">
        <v>46260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35441-2024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45531</v>
      </c>
      <c r="E129" s="1" t="n">
        <v>46260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9.800000000000001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46260</v>
      </c>
      <c r="F130" t="inlineStr">
        <is>
          <t>VÄSTRA GÖTALANDS LÄN</t>
        </is>
      </c>
      <c r="G130" t="inlineStr">
        <is>
          <t>KARLSBORG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45489</v>
      </c>
      <c r="E131" s="1" t="n">
        <v>46260</v>
      </c>
      <c r="F131" t="inlineStr">
        <is>
          <t>VÄSTRA GÖTALANDS LÄN</t>
        </is>
      </c>
      <c r="G131" t="inlineStr">
        <is>
          <t>KARLSBORG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45742</v>
      </c>
      <c r="E132" s="1" t="n">
        <v>46260</v>
      </c>
      <c r="F132" t="inlineStr">
        <is>
          <t>VÄSTRA GÖTALANDS LÄN</t>
        </is>
      </c>
      <c r="G132" t="inlineStr">
        <is>
          <t>KARLSBORG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65313-2021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46260</v>
      </c>
      <c r="F133" t="inlineStr">
        <is>
          <t>VÄSTRA GÖTALANDS LÄN</t>
        </is>
      </c>
      <c r="G133" t="inlineStr">
        <is>
          <t>KARLSBORG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45090</v>
      </c>
      <c r="E134" s="1" t="n">
        <v>46260</v>
      </c>
      <c r="F134" t="inlineStr">
        <is>
          <t>VÄSTRA GÖTALANDS LÄN</t>
        </is>
      </c>
      <c r="G134" t="inlineStr">
        <is>
          <t>KARLSBORG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45218</v>
      </c>
      <c r="E135" s="1" t="n">
        <v>46260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46260</v>
      </c>
      <c r="F136" t="inlineStr">
        <is>
          <t>VÄSTRA GÖTALANDS LÄN</t>
        </is>
      </c>
      <c r="G136" t="inlineStr">
        <is>
          <t>KARLSBORG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46260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46260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46260</v>
      </c>
      <c r="F139" t="inlineStr">
        <is>
          <t>VÄSTRA GÖTALANDS LÄN</t>
        </is>
      </c>
      <c r="G139" t="inlineStr">
        <is>
          <t>KARLSBORG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32128-2025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45835</v>
      </c>
      <c r="E140" s="1" t="n">
        <v>46260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31701-2025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45834</v>
      </c>
      <c r="E141" s="1" t="n">
        <v>46260</v>
      </c>
      <c r="F141" t="inlineStr">
        <is>
          <t>VÄSTRA GÖTALANDS LÄN</t>
        </is>
      </c>
      <c r="G141" t="inlineStr">
        <is>
          <t>KARLSBORG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21014-2026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46143</v>
      </c>
      <c r="E142" s="1" t="n">
        <v>46260</v>
      </c>
      <c r="F142" t="inlineStr">
        <is>
          <t>VÄSTRA GÖTALANDS LÄN</t>
        </is>
      </c>
      <c r="G142" t="inlineStr">
        <is>
          <t>KARLSBORG</t>
        </is>
      </c>
      <c r="I142" t="n">
        <v>14.6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20940-2026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46142</v>
      </c>
      <c r="E143" s="1" t="n">
        <v>46260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46260</v>
      </c>
      <c r="F144" t="inlineStr">
        <is>
          <t>VÄSTRA GÖTALANDS LÄN</t>
        </is>
      </c>
      <c r="G144" t="inlineStr">
        <is>
          <t>KARLSBORG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46260</v>
      </c>
      <c r="F145" t="inlineStr">
        <is>
          <t>VÄSTRA GÖTALANDS LÄN</t>
        </is>
      </c>
      <c r="G145" t="inlineStr">
        <is>
          <t>KARLSBORG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57915-2024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45631</v>
      </c>
      <c r="E146" s="1" t="n">
        <v>46260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46021</v>
      </c>
      <c r="E147" s="1" t="n">
        <v>46260</v>
      </c>
      <c r="F147" t="inlineStr">
        <is>
          <t>VÄSTRA GÖTALANDS LÄN</t>
        </is>
      </c>
      <c r="G147" t="inlineStr">
        <is>
          <t>KARLSBORG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45561</v>
      </c>
      <c r="E148" s="1" t="n">
        <v>46260</v>
      </c>
      <c r="F148" t="inlineStr">
        <is>
          <t>VÄSTRA GÖTALANDS LÄN</t>
        </is>
      </c>
      <c r="G148" t="inlineStr">
        <is>
          <t>KARLSBORG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13252-2024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45386</v>
      </c>
      <c r="E149" s="1" t="n">
        <v>46260</v>
      </c>
      <c r="F149" t="inlineStr">
        <is>
          <t>VÄSTRA GÖTALANDS LÄN</t>
        </is>
      </c>
      <c r="G149" t="inlineStr">
        <is>
          <t>KARLSBORG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46260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Aktiebolag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21988-2026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46260</v>
      </c>
      <c r="F151" t="inlineStr">
        <is>
          <t>VÄSTRA GÖTALANDS LÄN</t>
        </is>
      </c>
      <c r="G151" t="inlineStr">
        <is>
          <t>KARLSBORG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46260</v>
      </c>
      <c r="F152" t="inlineStr">
        <is>
          <t>VÄSTRA GÖTALANDS LÄN</t>
        </is>
      </c>
      <c r="G152" t="inlineStr">
        <is>
          <t>KARLSBORG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44906</v>
      </c>
      <c r="E153" s="1" t="n">
        <v>46260</v>
      </c>
      <c r="F153" t="inlineStr">
        <is>
          <t>VÄSTRA GÖTALANDS LÄN</t>
        </is>
      </c>
      <c r="G153" t="inlineStr">
        <is>
          <t>KARLSBORG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48888-2023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46260</v>
      </c>
      <c r="F154" t="inlineStr">
        <is>
          <t>VÄSTRA GÖTALANDS LÄN</t>
        </is>
      </c>
      <c r="G154" t="inlineStr">
        <is>
          <t>KARLSBORG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45589</v>
      </c>
      <c r="E155" s="1" t="n">
        <v>46260</v>
      </c>
      <c r="F155" t="inlineStr">
        <is>
          <t>VÄSTRA GÖTALANDS LÄN</t>
        </is>
      </c>
      <c r="G155" t="inlineStr">
        <is>
          <t>KARLSBORG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45716</v>
      </c>
      <c r="E156" s="1" t="n">
        <v>46260</v>
      </c>
      <c r="F156" t="inlineStr">
        <is>
          <t>VÄSTRA GÖTALANDS LÄN</t>
        </is>
      </c>
      <c r="G156" t="inlineStr">
        <is>
          <t>KARLSBORG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44972</v>
      </c>
      <c r="E157" s="1" t="n">
        <v>46260</v>
      </c>
      <c r="F157" t="inlineStr">
        <is>
          <t>VÄSTRA GÖTALANDS LÄN</t>
        </is>
      </c>
      <c r="G157" t="inlineStr">
        <is>
          <t>KARLSBORG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23500-2023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45076</v>
      </c>
      <c r="E158" s="1" t="n">
        <v>46260</v>
      </c>
      <c r="F158" t="inlineStr">
        <is>
          <t>VÄSTRA GÖTALANDS LÄN</t>
        </is>
      </c>
      <c r="G158" t="inlineStr">
        <is>
          <t>KARLSBORG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61559-2023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46260</v>
      </c>
      <c r="F159" t="inlineStr">
        <is>
          <t>VÄSTRA GÖTALANDS LÄN</t>
        </is>
      </c>
      <c r="G159" t="inlineStr">
        <is>
          <t>KARLSBORG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46260</v>
      </c>
      <c r="F160" t="inlineStr">
        <is>
          <t>VÄSTRA GÖTALANDS LÄN</t>
        </is>
      </c>
      <c r="G160" t="inlineStr">
        <is>
          <t>KARLSBORG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24541-2026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46260</v>
      </c>
      <c r="F161" t="inlineStr">
        <is>
          <t>VÄSTRA GÖTALANDS LÄN</t>
        </is>
      </c>
      <c r="G161" t="inlineStr">
        <is>
          <t>KARLSBORG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35930-2025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45862</v>
      </c>
      <c r="E162" s="1" t="n">
        <v>46260</v>
      </c>
      <c r="F162" t="inlineStr">
        <is>
          <t>VÄSTRA GÖTALANDS LÄN</t>
        </is>
      </c>
      <c r="G162" t="inlineStr">
        <is>
          <t>KARLSBORG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46171</v>
      </c>
      <c r="E163" s="1" t="n">
        <v>46260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46260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58533-2023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46260</v>
      </c>
      <c r="F165" t="inlineStr">
        <is>
          <t>VÄSTRA GÖTALANDS LÄN</t>
        </is>
      </c>
      <c r="G165" t="inlineStr">
        <is>
          <t>KARLSBORG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46260</v>
      </c>
      <c r="F166" t="inlineStr">
        <is>
          <t>VÄSTRA GÖTALANDS LÄN</t>
        </is>
      </c>
      <c r="G166" t="inlineStr">
        <is>
          <t>KARLSBORG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37363-2022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44809</v>
      </c>
      <c r="E167" s="1" t="n">
        <v>46260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29357-2024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45483</v>
      </c>
      <c r="E168" s="1" t="n">
        <v>46260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46260</v>
      </c>
      <c r="F169" t="inlineStr">
        <is>
          <t>VÄSTRA GÖTALANDS LÄN</t>
        </is>
      </c>
      <c r="G169" t="inlineStr">
        <is>
          <t>KARLSBORG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45719</v>
      </c>
      <c r="E170" s="1" t="n">
        <v>46260</v>
      </c>
      <c r="F170" t="inlineStr">
        <is>
          <t>VÄSTRA GÖTALANDS LÄN</t>
        </is>
      </c>
      <c r="G170" t="inlineStr">
        <is>
          <t>KARLSBORG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46181</v>
      </c>
      <c r="E171" s="1" t="n">
        <v>46260</v>
      </c>
      <c r="F171" t="inlineStr">
        <is>
          <t>VÄSTRA GÖTALANDS LÄN</t>
        </is>
      </c>
      <c r="G171" t="inlineStr">
        <is>
          <t>KARLSBORG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53247-2023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46260</v>
      </c>
      <c r="F172" t="inlineStr">
        <is>
          <t>VÄSTRA GÖTALANDS LÄN</t>
        </is>
      </c>
      <c r="G172" t="inlineStr">
        <is>
          <t>KARLSBORG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44929</v>
      </c>
      <c r="E173" s="1" t="n">
        <v>46260</v>
      </c>
      <c r="F173" t="inlineStr">
        <is>
          <t>VÄSTRA GÖTALANDS LÄN</t>
        </is>
      </c>
      <c r="G173" t="inlineStr">
        <is>
          <t>KARLSBORG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  <c r="X173">
        <f>HYPERLINK("https://klasma.github.io/Logging_1446/kartor/A 412-2023 karta.png", "A 412-2023")</f>
        <v/>
      </c>
      <c r="Y173">
        <f>HYPERLINK("https://klasma.github.io/Logging_1446/kartor_geotiff/A 412-2023 georefererad karta.tif", "A 412-2023")</f>
        <v/>
      </c>
      <c r="AA173">
        <f>HYPERLINK("https://klasma.github.io/Logging_1446/klagomål/A 412-2023 FSC-klagomål.docx", "A 412-2023")</f>
        <v/>
      </c>
      <c r="AB173">
        <f>HYPERLINK("https://klasma.github.io/Logging_1446/klagomålsmail/A 412-2023 FSC-klagomål mail.docx", "A 412-2023")</f>
        <v/>
      </c>
      <c r="AC173">
        <f>HYPERLINK("https://klasma.github.io/Logging_1446/tillsyn/A 412-2023 tillsynsbegäran.docx", "A 412-2023")</f>
        <v/>
      </c>
      <c r="AD173">
        <f>HYPERLINK("https://klasma.github.io/Logging_1446/tillsynsmail/A 412-2023 tillsynsbegäran mail.docx", "A 412-2023")</f>
        <v/>
      </c>
    </row>
    <row r="174" ht="15" customHeight="1">
      <c r="A174" t="inlineStr">
        <is>
          <t>A 27332-2026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46260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12.6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46260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46230</v>
      </c>
      <c r="E176" s="1" t="n">
        <v>46260</v>
      </c>
      <c r="F176" t="inlineStr">
        <is>
          <t>VÄSTRA GÖTALANDS LÄN</t>
        </is>
      </c>
      <c r="G176" t="inlineStr">
        <is>
          <t>KARLSBORG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46260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44755</v>
      </c>
      <c r="E178" s="1" t="n">
        <v>46260</v>
      </c>
      <c r="F178" t="inlineStr">
        <is>
          <t>VÄSTRA GÖTALANDS LÄN</t>
        </is>
      </c>
      <c r="G178" t="inlineStr">
        <is>
          <t>KARLSBORG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46260</v>
      </c>
      <c r="F179" t="inlineStr">
        <is>
          <t>VÄSTRA GÖTALANDS LÄN</t>
        </is>
      </c>
      <c r="G179" t="inlineStr">
        <is>
          <t>KARLSBORG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56545-2023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46260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61211-2022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44908</v>
      </c>
      <c r="E181" s="1" t="n">
        <v>46260</v>
      </c>
      <c r="F181" t="inlineStr">
        <is>
          <t>VÄSTRA GÖTALANDS LÄN</t>
        </is>
      </c>
      <c r="G181" t="inlineStr">
        <is>
          <t>KARLSBORG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57913-2024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45631</v>
      </c>
      <c r="E182" s="1" t="n">
        <v>46260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7977-2025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45707</v>
      </c>
      <c r="E183" s="1" t="n">
        <v>46260</v>
      </c>
      <c r="F183" t="inlineStr">
        <is>
          <t>VÄSTRA GÖTALANDS LÄN</t>
        </is>
      </c>
      <c r="G183" t="inlineStr">
        <is>
          <t>KARLSBORG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46260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58129-2024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45632</v>
      </c>
      <c r="E185" s="1" t="n">
        <v>46260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46206</v>
      </c>
      <c r="E186" s="1" t="n">
        <v>46260</v>
      </c>
      <c r="F186" t="inlineStr">
        <is>
          <t>VÄSTRA GÖTALANDS LÄN</t>
        </is>
      </c>
      <c r="G186" t="inlineStr">
        <is>
          <t>KARLSBORG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14522-2024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45394</v>
      </c>
      <c r="E187" s="1" t="n">
        <v>46260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46160</v>
      </c>
      <c r="E188" s="1" t="n">
        <v>46260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30610-2026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46260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46210</v>
      </c>
      <c r="E190" s="1" t="n">
        <v>46260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48884-2023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45209</v>
      </c>
      <c r="E191" s="1" t="n">
        <v>46260</v>
      </c>
      <c r="F191" t="inlineStr">
        <is>
          <t>VÄSTRA GÖTALANDS LÄN</t>
        </is>
      </c>
      <c r="G191" t="inlineStr">
        <is>
          <t>KARLSBORG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59890-2021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44494</v>
      </c>
      <c r="E192" s="1" t="n">
        <v>46260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statliga verk och myndigheter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44906</v>
      </c>
      <c r="E193" s="1" t="n">
        <v>46260</v>
      </c>
      <c r="F193" t="inlineStr">
        <is>
          <t>VÄSTRA GÖTALANDS LÄN</t>
        </is>
      </c>
      <c r="G193" t="inlineStr">
        <is>
          <t>KARLSBORG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69341-2021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44531</v>
      </c>
      <c r="E194" s="1" t="n">
        <v>46260</v>
      </c>
      <c r="F194" t="inlineStr">
        <is>
          <t>VÄSTRA GÖTALANDS LÄN</t>
        </is>
      </c>
      <c r="G194" t="inlineStr">
        <is>
          <t>KARLSBORG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25697-2023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45089</v>
      </c>
      <c r="E195" s="1" t="n">
        <v>46260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34125-2024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46260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Aktiebolag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15396-2024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45401</v>
      </c>
      <c r="E197" s="1" t="n">
        <v>46260</v>
      </c>
      <c r="F197" t="inlineStr">
        <is>
          <t>VÄSTRA GÖTALANDS LÄN</t>
        </is>
      </c>
      <c r="G197" t="inlineStr">
        <is>
          <t>KARLSBORG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59877-2021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46260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statliga verk och myndigheter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27823-2023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46260</v>
      </c>
      <c r="F199" t="inlineStr">
        <is>
          <t>VÄSTRA GÖTALANDS LÄN</t>
        </is>
      </c>
      <c r="G199" t="inlineStr">
        <is>
          <t>KARLSBORG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53898-2023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45231</v>
      </c>
      <c r="E200" s="1" t="n">
        <v>46260</v>
      </c>
      <c r="F200" t="inlineStr">
        <is>
          <t>VÄSTRA GÖTALANDS LÄN</t>
        </is>
      </c>
      <c r="G200" t="inlineStr">
        <is>
          <t>KARLSBORG</t>
        </is>
      </c>
      <c r="I200" t="n">
        <v>9.5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46260</v>
      </c>
      <c r="F201" t="inlineStr">
        <is>
          <t>VÄSTRA GÖTALANDS LÄN</t>
        </is>
      </c>
      <c r="G201" t="inlineStr">
        <is>
          <t>KARLSBORG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45078</v>
      </c>
      <c r="E202" s="1" t="n">
        <v>46260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46260</v>
      </c>
      <c r="F203" t="inlineStr">
        <is>
          <t>VÄSTRA GÖTALANDS LÄN</t>
        </is>
      </c>
      <c r="G203" t="inlineStr">
        <is>
          <t>KARLSBORG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46260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46260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46260</v>
      </c>
      <c r="F206" t="inlineStr">
        <is>
          <t>VÄSTRA GÖTALANDS LÄN</t>
        </is>
      </c>
      <c r="G206" t="inlineStr">
        <is>
          <t>KARLSBORG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46260</v>
      </c>
      <c r="F207" t="inlineStr">
        <is>
          <t>VÄSTRA GÖTALANDS LÄN</t>
        </is>
      </c>
      <c r="G207" t="inlineStr">
        <is>
          <t>KARLSBORG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45565</v>
      </c>
      <c r="E208" s="1" t="n">
        <v>46260</v>
      </c>
      <c r="F208" t="inlineStr">
        <is>
          <t>VÄSTRA GÖTALANDS LÄN</t>
        </is>
      </c>
      <c r="G208" t="inlineStr">
        <is>
          <t>KARLSBORG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45169</v>
      </c>
      <c r="E209" s="1" t="n">
        <v>46260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Aktiebolag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42724-2024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45566</v>
      </c>
      <c r="E210" s="1" t="n">
        <v>46260</v>
      </c>
      <c r="F210" t="inlineStr">
        <is>
          <t>VÄSTRA GÖTALANDS LÄN</t>
        </is>
      </c>
      <c r="G210" t="inlineStr">
        <is>
          <t>KARLSBORG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44664</v>
      </c>
      <c r="E211" s="1" t="n">
        <v>46260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46260</v>
      </c>
      <c r="F212" t="inlineStr">
        <is>
          <t>VÄSTRA GÖTALANDS LÄN</t>
        </is>
      </c>
      <c r="G212" t="inlineStr">
        <is>
          <t>KARLSBORG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53898-2021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44469</v>
      </c>
      <c r="E213" s="1" t="n">
        <v>46260</v>
      </c>
      <c r="F213" t="inlineStr">
        <is>
          <t>VÄSTRA GÖTALANDS LÄN</t>
        </is>
      </c>
      <c r="G213" t="inlineStr">
        <is>
          <t>KARLSBORG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45224-2021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44439</v>
      </c>
      <c r="E214" s="1" t="n">
        <v>46260</v>
      </c>
      <c r="F214" t="inlineStr">
        <is>
          <t>VÄSTRA GÖTALANDS LÄN</t>
        </is>
      </c>
      <c r="G214" t="inlineStr">
        <is>
          <t>KARLSBORG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46260</v>
      </c>
      <c r="F215" t="inlineStr">
        <is>
          <t>VÄSTRA GÖTALANDS LÄN</t>
        </is>
      </c>
      <c r="G215" t="inlineStr">
        <is>
          <t>KARLSBORG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22435-2025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45786</v>
      </c>
      <c r="E216" s="1" t="n">
        <v>46260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45789</v>
      </c>
      <c r="E217" s="1" t="n">
        <v>46260</v>
      </c>
      <c r="F217" t="inlineStr">
        <is>
          <t>VÄSTRA GÖTALANDS LÄN</t>
        </is>
      </c>
      <c r="G217" t="inlineStr">
        <is>
          <t>KARLSBORG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46260</v>
      </c>
      <c r="F218" t="inlineStr">
        <is>
          <t>VÄSTRA GÖTALANDS LÄN</t>
        </is>
      </c>
      <c r="G218" t="inlineStr">
        <is>
          <t>KARLSBORG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45630</v>
      </c>
      <c r="E219" s="1" t="n">
        <v>46260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Övriga Aktiebolag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45527</v>
      </c>
      <c r="E220" s="1" t="n">
        <v>46260</v>
      </c>
      <c r="F220" t="inlineStr">
        <is>
          <t>VÄSTRA GÖTALANDS LÄN</t>
        </is>
      </c>
      <c r="G220" t="inlineStr">
        <is>
          <t>KARLSBORG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45680</v>
      </c>
      <c r="E221" s="1" t="n">
        <v>46260</v>
      </c>
      <c r="F221" t="inlineStr">
        <is>
          <t>VÄSTRA GÖTALANDS LÄN</t>
        </is>
      </c>
      <c r="G221" t="inlineStr">
        <is>
          <t>KARLSBORG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45804</v>
      </c>
      <c r="E222" s="1" t="n">
        <v>46260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Övriga Aktiebolag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7978-2025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45707</v>
      </c>
      <c r="E223" s="1" t="n">
        <v>46260</v>
      </c>
      <c r="F223" t="inlineStr">
        <is>
          <t>VÄSTRA GÖTALANDS LÄN</t>
        </is>
      </c>
      <c r="G223" t="inlineStr">
        <is>
          <t>KARLSBORG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2395-2024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45468</v>
      </c>
      <c r="E224" s="1" t="n">
        <v>46260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343-2026</t>
        </is>
      </c>
      <c r="B225" t="inlineStr">
        <is>
          <t>samrådsanmälan</t>
        </is>
      </c>
      <c r="C225" t="inlineStr">
        <is>
          <t>Skogsgödsling</t>
        </is>
      </c>
      <c r="D225" s="1" t="n">
        <v>46059</v>
      </c>
      <c r="E225" s="1" t="n">
        <v>46260</v>
      </c>
      <c r="F225" t="inlineStr">
        <is>
          <t>VÄSTRA GÖTALANDS LÄN</t>
        </is>
      </c>
      <c r="G225" t="inlineStr">
        <is>
          <t>KARLSBORG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2026-08-26T01:54:57Z</dcterms:created>
  <dcterms:modified xmlns:dcterms="http://purl.org/dc/terms/" xmlns:xsi="http://www.w3.org/2001/XMLSchema-instance" xsi:type="dcterms:W3CDTF">2026-08-26T01:54:57Z</dcterms:modified>
</cp:coreProperties>
</file>