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46286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46286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46286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46286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46286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46286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46286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46286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46286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46286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46286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46286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46286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46286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8984-2025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46286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9.5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Tjäder</t>
        </is>
      </c>
      <c r="W16">
        <f>HYPERLINK("https://klasma.github.io/Logging_1446/artfynd/A 8984-2025 artfynd.xlsx", "A 8984-2025")</f>
        <v/>
      </c>
      <c r="X16">
        <f>HYPERLINK("https://klasma.github.io/Logging_1446/kartor/A 8984-2025 karta.png", "A 8984-2025")</f>
        <v/>
      </c>
      <c r="Y16">
        <f>HYPERLINK("https://klasma.github.io/Logging_1446/kartor_geotiff/A 8984-2025 georefererad karta.tif", "A 8984-2025")</f>
        <v/>
      </c>
      <c r="AA16">
        <f>HYPERLINK("https://klasma.github.io/Logging_1446/klagomål/A 8984-2025 FSC-klagomål.docx", "A 8984-2025")</f>
        <v/>
      </c>
      <c r="AB16">
        <f>HYPERLINK("https://klasma.github.io/Logging_1446/klagomålsmail/A 8984-2025 FSC-klagomål mail.docx", "A 8984-2025")</f>
        <v/>
      </c>
      <c r="AC16">
        <f>HYPERLINK("https://klasma.github.io/Logging_1446/tillsyn/A 8984-2025 tillsynsbegäran.docx", "A 8984-2025")</f>
        <v/>
      </c>
      <c r="AD16">
        <f>HYPERLINK("https://klasma.github.io/Logging_1446/tillsynsmail/A 8984-2025 tillsynsbegäran mail.docx", "A 8984-2025")</f>
        <v/>
      </c>
      <c r="AE16">
        <f>HYPERLINK("https://klasma.github.io/Logging_1446/fåglar/A 8984-2025 prioriterade fågelarter.docx", "A 8984-2025")</f>
        <v/>
      </c>
    </row>
    <row r="17" ht="15" customHeight="1">
      <c r="A17" t="inlineStr">
        <is>
          <t>A 42778-2024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45566</v>
      </c>
      <c r="E17" s="1" t="n">
        <v>46286</v>
      </c>
      <c r="F17" t="inlineStr">
        <is>
          <t>VÄSTRA GÖTALANDS LÄN</t>
        </is>
      </c>
      <c r="G17" t="inlineStr">
        <is>
          <t>KARLSBORG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HYPERLINK("https://klasma.github.io/Logging_1446/artfynd/A 42778-2024 artfynd.xlsx", "A 42778-2024")</f>
        <v/>
      </c>
      <c r="X17">
        <f>HYPERLINK("https://klasma.github.io/Logging_1446/kartor/A 42778-2024 karta.png", "A 42778-2024")</f>
        <v/>
      </c>
      <c r="Y17">
        <f>HYPERLINK("https://klasma.github.io/Logging_1446/kartor_geotiff/A 42778-2024 georefererad karta.tif", "A 42778-2024")</f>
        <v/>
      </c>
      <c r="AA17">
        <f>HYPERLINK("https://klasma.github.io/Logging_1446/klagomål/A 42778-2024 FSC-klagomål.docx", "A 42778-2024")</f>
        <v/>
      </c>
      <c r="AB17">
        <f>HYPERLINK("https://klasma.github.io/Logging_1446/klagomålsmail/A 42778-2024 FSC-klagomål mail.docx", "A 42778-2024")</f>
        <v/>
      </c>
      <c r="AC17">
        <f>HYPERLINK("https://klasma.github.io/Logging_1446/tillsyn/A 42778-2024 tillsynsbegäran.docx", "A 42778-2024")</f>
        <v/>
      </c>
      <c r="AD17">
        <f>HYPERLINK("https://klasma.github.io/Logging_1446/tillsynsmail/A 42778-2024 tillsynsbegäran mail.docx", "A 42778-2024")</f>
        <v/>
      </c>
    </row>
    <row r="18" ht="15" customHeight="1">
      <c r="A18" t="inlineStr">
        <is>
          <t>A 51531-2023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46286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Kommuner</t>
        </is>
      </c>
      <c r="I18" t="n">
        <v>11.2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Revlummer</t>
        </is>
      </c>
      <c r="W18">
        <f>HYPERLINK("https://klasma.github.io/Logging_1446/artfynd/A 51531-2023 artfynd.xlsx", "A 51531-2023")</f>
        <v/>
      </c>
      <c r="X18">
        <f>HYPERLINK("https://klasma.github.io/Logging_1446/kartor/A 51531-2023 karta.png", "A 51531-2023")</f>
        <v/>
      </c>
      <c r="Y18">
        <f>HYPERLINK("https://klasma.github.io/Logging_1446/kartor_geotiff/A 51531-2023 georefererad karta.tif", "A 51531-2023")</f>
        <v/>
      </c>
      <c r="AA18">
        <f>HYPERLINK("https://klasma.github.io/Logging_1446/klagomål/A 51531-2023 FSC-klagomål.docx", "A 51531-2023")</f>
        <v/>
      </c>
      <c r="AB18">
        <f>HYPERLINK("https://klasma.github.io/Logging_1446/klagomålsmail/A 51531-2023 FSC-klagomål mail.docx", "A 51531-2023")</f>
        <v/>
      </c>
      <c r="AC18">
        <f>HYPERLINK("https://klasma.github.io/Logging_1446/tillsyn/A 51531-2023 tillsynsbegäran.docx", "A 51531-2023")</f>
        <v/>
      </c>
      <c r="AD18">
        <f>HYPERLINK("https://klasma.github.io/Logging_1446/tillsynsmail/A 51531-2023 tillsynsbegäran mail.docx", "A 51531-2023")</f>
        <v/>
      </c>
    </row>
    <row r="19" ht="15" customHeight="1">
      <c r="A19" t="inlineStr">
        <is>
          <t>A 9337-2025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45714</v>
      </c>
      <c r="E19" s="1" t="n">
        <v>46286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HYPERLINK("https://klasma.github.io/Logging_1446/artfynd/A 9337-2025 artfynd.xlsx", "A 9337-2025")</f>
        <v/>
      </c>
      <c r="X19">
        <f>HYPERLINK("https://klasma.github.io/Logging_1446/kartor/A 9337-2025 karta.png", "A 9337-2025")</f>
        <v/>
      </c>
      <c r="Y19">
        <f>HYPERLINK("https://klasma.github.io/Logging_1446/kartor_geotiff/A 9337-2025 georefererad karta.tif", "A 9337-2025")</f>
        <v/>
      </c>
      <c r="AA19">
        <f>HYPERLINK("https://klasma.github.io/Logging_1446/klagomål/A 9337-2025 FSC-klagomål.docx", "A 9337-2025")</f>
        <v/>
      </c>
      <c r="AB19">
        <f>HYPERLINK("https://klasma.github.io/Logging_1446/klagomålsmail/A 9337-2025 FSC-klagomål mail.docx", "A 9337-2025")</f>
        <v/>
      </c>
      <c r="AC19">
        <f>HYPERLINK("https://klasma.github.io/Logging_1446/tillsyn/A 9337-2025 tillsynsbegäran.docx", "A 9337-2025")</f>
        <v/>
      </c>
      <c r="AD19">
        <f>HYPERLINK("https://klasma.github.io/Logging_1446/tillsynsmail/A 9337-2025 tillsynsbegäran mail.docx", "A 9337-2025")</f>
        <v/>
      </c>
    </row>
    <row r="20" ht="15" customHeight="1">
      <c r="A20" t="inlineStr">
        <is>
          <t>A 59712-2021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46286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2</v>
      </c>
      <c r="V20" s="2" t="inlineStr">
        <is>
          <t>Ask</t>
        </is>
      </c>
      <c r="W20">
        <f>HYPERLINK("https://klasma.github.io/Logging_1446/artfynd/A 59712-2021 artfynd.xlsx", "A 59712-2021")</f>
        <v/>
      </c>
      <c r="X20">
        <f>HYPERLINK("https://klasma.github.io/Logging_1446/kartor/A 59712-2021 karta.png", "A 59712-2021")</f>
        <v/>
      </c>
      <c r="Y20">
        <f>HYPERLINK("https://klasma.github.io/Logging_1446/kartor_geotiff/A 59712-2021 georefererad karta.tif", "A 59712-2021")</f>
        <v/>
      </c>
      <c r="AA20">
        <f>HYPERLINK("https://klasma.github.io/Logging_1446/klagomål/A 59712-2021 FSC-klagomål.docx", "A 59712-2021")</f>
        <v/>
      </c>
      <c r="AB20">
        <f>HYPERLINK("https://klasma.github.io/Logging_1446/klagomålsmail/A 59712-2021 FSC-klagomål mail.docx", "A 59712-2021")</f>
        <v/>
      </c>
      <c r="AC20">
        <f>HYPERLINK("https://klasma.github.io/Logging_1446/tillsyn/A 59712-2021 tillsynsbegäran.docx", "A 59712-2021")</f>
        <v/>
      </c>
      <c r="AD20">
        <f>HYPERLINK("https://klasma.github.io/Logging_1446/tillsynsmail/A 59712-2021 tillsynsbegäran mail.docx", "A 59712-2021")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46286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38103-2023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46286</v>
      </c>
      <c r="F22" t="inlineStr">
        <is>
          <t>VÄSTRA GÖTALANDS LÄN</t>
        </is>
      </c>
      <c r="G22" t="inlineStr">
        <is>
          <t>KARLSBORG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HYPERLINK("https://klasma.github.io/Logging_1446/artfynd/A 38103-2023 artfynd.xlsx", "A 38103-2023")</f>
        <v/>
      </c>
      <c r="X22">
        <f>HYPERLINK("https://klasma.github.io/Logging_1446/kartor/A 38103-2023 karta.png", "A 38103-2023")</f>
        <v/>
      </c>
      <c r="Y22">
        <f>HYPERLINK("https://klasma.github.io/Logging_1446/kartor_geotiff/A 38103-2023 georefererad karta.tif", "A 38103-2023")</f>
        <v/>
      </c>
      <c r="AA22">
        <f>HYPERLINK("https://klasma.github.io/Logging_1446/klagomål/A 38103-2023 FSC-klagomål.docx", "A 38103-2023")</f>
        <v/>
      </c>
      <c r="AB22">
        <f>HYPERLINK("https://klasma.github.io/Logging_1446/klagomålsmail/A 38103-2023 FSC-klagomål mail.docx", "A 38103-2023")</f>
        <v/>
      </c>
      <c r="AC22">
        <f>HYPERLINK("https://klasma.github.io/Logging_1446/tillsyn/A 38103-2023 tillsynsbegäran.docx", "A 38103-2023")</f>
        <v/>
      </c>
      <c r="AD22">
        <f>HYPERLINK("https://klasma.github.io/Logging_1446/tillsynsmail/A 38103-2023 tillsynsbegäran mail.docx", "A 38103-2023")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46286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46286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46286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46286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23973-2023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45075</v>
      </c>
      <c r="E27" s="1" t="n">
        <v>46286</v>
      </c>
      <c r="F27" t="inlineStr">
        <is>
          <t>VÄSTRA GÖTALANDS LÄN</t>
        </is>
      </c>
      <c r="G27" t="inlineStr">
        <is>
          <t>KARLSBORG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Orre</t>
        </is>
      </c>
      <c r="W27">
        <f>HYPERLINK("https://klasma.github.io/Logging_1446/artfynd/A 23973-2023 artfynd.xlsx", "A 23973-2023")</f>
        <v/>
      </c>
      <c r="X27">
        <f>HYPERLINK("https://klasma.github.io/Logging_1446/kartor/A 23973-2023 karta.png", "A 23973-2023")</f>
        <v/>
      </c>
      <c r="Y27">
        <f>HYPERLINK("https://klasma.github.io/Logging_1446/kartor_geotiff/A 23973-2023 georefererad karta.tif", "A 23973-2023")</f>
        <v/>
      </c>
      <c r="AA27">
        <f>HYPERLINK("https://klasma.github.io/Logging_1446/klagomål/A 23973-2023 FSC-klagomål.docx", "A 23973-2023")</f>
        <v/>
      </c>
      <c r="AB27">
        <f>HYPERLINK("https://klasma.github.io/Logging_1446/klagomålsmail/A 23973-2023 FSC-klagomål mail.docx", "A 23973-2023")</f>
        <v/>
      </c>
      <c r="AC27">
        <f>HYPERLINK("https://klasma.github.io/Logging_1446/tillsyn/A 23973-2023 tillsynsbegäran.docx", "A 23973-2023")</f>
        <v/>
      </c>
      <c r="AD27">
        <f>HYPERLINK("https://klasma.github.io/Logging_1446/tillsynsmail/A 23973-2023 tillsynsbegäran mail.docx", "A 23973-2023")</f>
        <v/>
      </c>
      <c r="AE27">
        <f>HYPERLINK("https://klasma.github.io/Logging_1446/fåglar/A 23973-2023 prioriterade fågelarter.docx", "A 23973-2023")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46286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46286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46286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46286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46286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46286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46286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46286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46286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46286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46286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46286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46286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46286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Sveaskog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46286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statliga verk och myndigheter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55831-2021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46286</v>
      </c>
      <c r="F43" t="inlineStr">
        <is>
          <t>VÄSTRA GÖTALANDS LÄN</t>
        </is>
      </c>
      <c r="G43" t="inlineStr">
        <is>
          <t>KARLSBORG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46286</v>
      </c>
      <c r="F44" t="inlineStr">
        <is>
          <t>VÄSTRA GÖTALANDS LÄN</t>
        </is>
      </c>
      <c r="G44" t="inlineStr">
        <is>
          <t>KARLSBORG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45524</v>
      </c>
      <c r="E45" s="1" t="n">
        <v>46286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45524</v>
      </c>
      <c r="E46" s="1" t="n">
        <v>46286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46286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45160</v>
      </c>
      <c r="E48" s="1" t="n">
        <v>46286</v>
      </c>
      <c r="F48" t="inlineStr">
        <is>
          <t>VÄSTRA GÖTALANDS LÄN</t>
        </is>
      </c>
      <c r="G48" t="inlineStr">
        <is>
          <t>KARLSBORG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44538</v>
      </c>
      <c r="E49" s="1" t="n">
        <v>46286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44595</v>
      </c>
      <c r="E50" s="1" t="n">
        <v>46286</v>
      </c>
      <c r="F50" t="inlineStr">
        <is>
          <t>VÄSTRA GÖTALANDS LÄN</t>
        </is>
      </c>
      <c r="G50" t="inlineStr">
        <is>
          <t>KARLSBORG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46286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45566</v>
      </c>
      <c r="E52" s="1" t="n">
        <v>46286</v>
      </c>
      <c r="F52" t="inlineStr">
        <is>
          <t>VÄSTRA GÖTALANDS LÄN</t>
        </is>
      </c>
      <c r="G52" t="inlineStr">
        <is>
          <t>KARLSBORG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46286</v>
      </c>
      <c r="F53" t="inlineStr">
        <is>
          <t>VÄSTRA GÖTALANDS LÄN</t>
        </is>
      </c>
      <c r="G53" t="inlineStr">
        <is>
          <t>KARLSBORG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46286</v>
      </c>
      <c r="F54" t="inlineStr">
        <is>
          <t>VÄSTRA GÖTALANDS LÄN</t>
        </is>
      </c>
      <c r="G54" t="inlineStr">
        <is>
          <t>KARLSBORG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46286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46286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46286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46286</v>
      </c>
      <c r="F58" t="inlineStr">
        <is>
          <t>VÄSTRA GÖTALANDS LÄN</t>
        </is>
      </c>
      <c r="G58" t="inlineStr">
        <is>
          <t>KARLSBORG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45089</v>
      </c>
      <c r="E59" s="1" t="n">
        <v>46286</v>
      </c>
      <c r="F59" t="inlineStr">
        <is>
          <t>VÄSTRA GÖTALANDS LÄN</t>
        </is>
      </c>
      <c r="G59" t="inlineStr">
        <is>
          <t>KARLSBORG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46286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45090</v>
      </c>
      <c r="E61" s="1" t="n">
        <v>46286</v>
      </c>
      <c r="F61" t="inlineStr">
        <is>
          <t>VÄSTRA GÖTALANDS LÄN</t>
        </is>
      </c>
      <c r="G61" t="inlineStr">
        <is>
          <t>KARLSBORG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46286</v>
      </c>
      <c r="F62" t="inlineStr">
        <is>
          <t>VÄSTRA GÖTALANDS LÄN</t>
        </is>
      </c>
      <c r="G62" t="inlineStr">
        <is>
          <t>KARLSBORG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45183</v>
      </c>
      <c r="E63" s="1" t="n">
        <v>46286</v>
      </c>
      <c r="F63" t="inlineStr">
        <is>
          <t>VÄSTRA GÖTALANDS LÄN</t>
        </is>
      </c>
      <c r="G63" t="inlineStr">
        <is>
          <t>KARLSBORG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58127-2024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45632</v>
      </c>
      <c r="E64" s="1" t="n">
        <v>46286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Sveaskog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59887-2021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46286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statliga verk och myndigheter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46286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59845-2023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45257</v>
      </c>
      <c r="E67" s="1" t="n">
        <v>46286</v>
      </c>
      <c r="F67" t="inlineStr">
        <is>
          <t>VÄSTRA GÖTALANDS LÄN</t>
        </is>
      </c>
      <c r="G67" t="inlineStr">
        <is>
          <t>KARLSBORG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46286</v>
      </c>
      <c r="F68" t="inlineStr">
        <is>
          <t>VÄSTRA GÖTALANDS LÄN</t>
        </is>
      </c>
      <c r="G68" t="inlineStr">
        <is>
          <t>KARLSBORG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45742</v>
      </c>
      <c r="E69" s="1" t="n">
        <v>46286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70783-2021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46286</v>
      </c>
      <c r="F70" t="inlineStr">
        <is>
          <t>VÄSTRA GÖTALANDS LÄN</t>
        </is>
      </c>
      <c r="G70" t="inlineStr">
        <is>
          <t>KARLSBORG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46286</v>
      </c>
      <c r="F71" t="inlineStr">
        <is>
          <t>VÄSTRA GÖTALANDS LÄN</t>
        </is>
      </c>
      <c r="G71" t="inlineStr">
        <is>
          <t>KARLSBORG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46286</v>
      </c>
      <c r="F72" t="inlineStr">
        <is>
          <t>VÄSTRA GÖTALANDS LÄN</t>
        </is>
      </c>
      <c r="G72" t="inlineStr">
        <is>
          <t>KARLSBORG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46286</v>
      </c>
      <c r="F73" t="inlineStr">
        <is>
          <t>VÄSTRA GÖTALANDS LÄN</t>
        </is>
      </c>
      <c r="G73" t="inlineStr">
        <is>
          <t>KARLSBORG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46286</v>
      </c>
      <c r="F74" t="inlineStr">
        <is>
          <t>VÄSTRA GÖTALANDS LÄN</t>
        </is>
      </c>
      <c r="G74" t="inlineStr">
        <is>
          <t>KARLSBORG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46286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46286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46286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45394</v>
      </c>
      <c r="E78" s="1" t="n">
        <v>46286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44906</v>
      </c>
      <c r="E79" s="1" t="n">
        <v>46286</v>
      </c>
      <c r="F79" t="inlineStr">
        <is>
          <t>VÄSTRA GÖTALANDS LÄN</t>
        </is>
      </c>
      <c r="G79" t="inlineStr">
        <is>
          <t>KARLSBORG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44687</v>
      </c>
      <c r="E80" s="1" t="n">
        <v>46286</v>
      </c>
      <c r="F80" t="inlineStr">
        <is>
          <t>VÄSTRA GÖTALANDS LÄN</t>
        </is>
      </c>
      <c r="G80" t="inlineStr">
        <is>
          <t>KARLSBORG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44944</v>
      </c>
      <c r="E81" s="1" t="n">
        <v>46286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46286</v>
      </c>
      <c r="F82" t="inlineStr">
        <is>
          <t>VÄSTRA GÖTALANDS LÄN</t>
        </is>
      </c>
      <c r="G82" t="inlineStr">
        <is>
          <t>KARLSBORG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46286</v>
      </c>
      <c r="F83" t="inlineStr">
        <is>
          <t>VÄSTRA GÖTALANDS LÄN</t>
        </is>
      </c>
      <c r="G83" t="inlineStr">
        <is>
          <t>KARLSBORG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46286</v>
      </c>
      <c r="F84" t="inlineStr">
        <is>
          <t>VÄSTRA GÖTALANDS LÄN</t>
        </is>
      </c>
      <c r="G84" t="inlineStr">
        <is>
          <t>KARLSBORG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45614</v>
      </c>
      <c r="E85" s="1" t="n">
        <v>46286</v>
      </c>
      <c r="F85" t="inlineStr">
        <is>
          <t>VÄSTRA GÖTALANDS LÄN</t>
        </is>
      </c>
      <c r="G85" t="inlineStr">
        <is>
          <t>KARLSBORG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45524</v>
      </c>
      <c r="E86" s="1" t="n">
        <v>46286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46286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46286</v>
      </c>
      <c r="F88" t="inlineStr">
        <is>
          <t>VÄSTRA GÖTALANDS LÄN</t>
        </is>
      </c>
      <c r="G88" t="inlineStr">
        <is>
          <t>KARLSBORG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45470</v>
      </c>
      <c r="E89" s="1" t="n">
        <v>46286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46286</v>
      </c>
      <c r="F90" t="inlineStr">
        <is>
          <t>VÄSTRA GÖTALANDS LÄN</t>
        </is>
      </c>
      <c r="G90" t="inlineStr">
        <is>
          <t>KARLSBORG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46286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46286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44785</v>
      </c>
      <c r="E93" s="1" t="n">
        <v>46286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25999-2023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45090</v>
      </c>
      <c r="E94" s="1" t="n">
        <v>46286</v>
      </c>
      <c r="F94" t="inlineStr">
        <is>
          <t>VÄSTRA GÖTALANDS LÄN</t>
        </is>
      </c>
      <c r="G94" t="inlineStr">
        <is>
          <t>KARLSBORG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35441-2024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45531</v>
      </c>
      <c r="E95" s="1" t="n">
        <v>46286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9.800000000000001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46286</v>
      </c>
      <c r="F96" t="inlineStr">
        <is>
          <t>VÄSTRA GÖTALANDS LÄN</t>
        </is>
      </c>
      <c r="G96" t="inlineStr">
        <is>
          <t>KARLSBORG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46286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46286</v>
      </c>
      <c r="F98" t="inlineStr">
        <is>
          <t>VÄSTRA GÖTALANDS LÄN</t>
        </is>
      </c>
      <c r="G98" t="inlineStr">
        <is>
          <t>KARLSBORG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45899</v>
      </c>
      <c r="E99" s="1" t="n">
        <v>46286</v>
      </c>
      <c r="F99" t="inlineStr">
        <is>
          <t>VÄSTRA GÖTALANDS LÄN</t>
        </is>
      </c>
      <c r="G99" t="inlineStr">
        <is>
          <t>KARLSBORG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46286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Kyrkan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46286</v>
      </c>
      <c r="F101" t="inlineStr">
        <is>
          <t>VÄSTRA GÖTALANDS LÄN</t>
        </is>
      </c>
      <c r="G101" t="inlineStr">
        <is>
          <t>KARLSBORG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45233</v>
      </c>
      <c r="E102" s="1" t="n">
        <v>46286</v>
      </c>
      <c r="F102" t="inlineStr">
        <is>
          <t>VÄSTRA GÖTALANDS LÄN</t>
        </is>
      </c>
      <c r="G102" t="inlineStr">
        <is>
          <t>KARLSBORG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45916</v>
      </c>
      <c r="E103" s="1" t="n">
        <v>46286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Kyrkan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46286</v>
      </c>
      <c r="F104" t="inlineStr">
        <is>
          <t>VÄSTRA GÖTALANDS LÄN</t>
        </is>
      </c>
      <c r="G104" t="inlineStr">
        <is>
          <t>KARLSBORG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45919</v>
      </c>
      <c r="E105" s="1" t="n">
        <v>46286</v>
      </c>
      <c r="F105" t="inlineStr">
        <is>
          <t>VÄSTRA GÖTALANDS LÄN</t>
        </is>
      </c>
      <c r="G105" t="inlineStr">
        <is>
          <t>KARLSBORG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30136-2024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45489</v>
      </c>
      <c r="E106" s="1" t="n">
        <v>46286</v>
      </c>
      <c r="F106" t="inlineStr">
        <is>
          <t>VÄSTRA GÖTALANDS LÄN</t>
        </is>
      </c>
      <c r="G106" t="inlineStr">
        <is>
          <t>KARLSBORG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45742</v>
      </c>
      <c r="E107" s="1" t="n">
        <v>46286</v>
      </c>
      <c r="F107" t="inlineStr">
        <is>
          <t>VÄSTRA GÖTALANDS LÄN</t>
        </is>
      </c>
      <c r="G107" t="inlineStr">
        <is>
          <t>KARLSBORG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65313-2021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46286</v>
      </c>
      <c r="F108" t="inlineStr">
        <is>
          <t>VÄSTRA GÖTALANDS LÄN</t>
        </is>
      </c>
      <c r="G108" t="inlineStr">
        <is>
          <t>KARLSBORG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21014-2026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46143</v>
      </c>
      <c r="E109" s="1" t="n">
        <v>46286</v>
      </c>
      <c r="F109" t="inlineStr">
        <is>
          <t>VÄSTRA GÖTALANDS LÄN</t>
        </is>
      </c>
      <c r="G109" t="inlineStr">
        <is>
          <t>KARLSBORG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46142</v>
      </c>
      <c r="E110" s="1" t="n">
        <v>46286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46286</v>
      </c>
      <c r="F111" t="inlineStr">
        <is>
          <t>VÄSTRA GÖTALANDS LÄN</t>
        </is>
      </c>
      <c r="G111" t="inlineStr">
        <is>
          <t>KARLSBORG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46286</v>
      </c>
      <c r="F112" t="inlineStr">
        <is>
          <t>VÄSTRA GÖTALANDS LÄN</t>
        </is>
      </c>
      <c r="G112" t="inlineStr">
        <is>
          <t>KARLSBORG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45090</v>
      </c>
      <c r="E113" s="1" t="n">
        <v>46286</v>
      </c>
      <c r="F113" t="inlineStr">
        <is>
          <t>VÄSTRA GÖTALANDS LÄN</t>
        </is>
      </c>
      <c r="G113" t="inlineStr">
        <is>
          <t>KARLSBORG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50985-2023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46286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46286</v>
      </c>
      <c r="F115" t="inlineStr">
        <is>
          <t>VÄSTRA GÖTALANDS LÄN</t>
        </is>
      </c>
      <c r="G115" t="inlineStr">
        <is>
          <t>KARLSBORG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46286</v>
      </c>
      <c r="F116" t="inlineStr">
        <is>
          <t>VÄSTRA GÖTALANDS LÄN</t>
        </is>
      </c>
      <c r="G116" t="inlineStr">
        <is>
          <t>KARLSBORG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45942</v>
      </c>
      <c r="E117" s="1" t="n">
        <v>46286</v>
      </c>
      <c r="F117" t="inlineStr">
        <is>
          <t>VÄSTRA GÖTALANDS LÄN</t>
        </is>
      </c>
      <c r="G117" t="inlineStr">
        <is>
          <t>KARLSBORG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46286</v>
      </c>
      <c r="F118" t="inlineStr">
        <is>
          <t>VÄSTRA GÖTALANDS LÄN</t>
        </is>
      </c>
      <c r="G118" t="inlineStr">
        <is>
          <t>KARLSBORG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57915-2024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45631</v>
      </c>
      <c r="E119" s="1" t="n">
        <v>46286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46286</v>
      </c>
      <c r="F120" t="inlineStr">
        <is>
          <t>VÄSTRA GÖTALANDS LÄN</t>
        </is>
      </c>
      <c r="G120" t="inlineStr">
        <is>
          <t>KARLSBORG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45386</v>
      </c>
      <c r="E121" s="1" t="n">
        <v>46286</v>
      </c>
      <c r="F121" t="inlineStr">
        <is>
          <t>VÄSTRA GÖTALANDS LÄN</t>
        </is>
      </c>
      <c r="G121" t="inlineStr">
        <is>
          <t>KARLSBORG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46286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21988-2026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46153</v>
      </c>
      <c r="E123" s="1" t="n">
        <v>46286</v>
      </c>
      <c r="F123" t="inlineStr">
        <is>
          <t>VÄSTRA GÖTALANDS LÄN</t>
        </is>
      </c>
      <c r="G123" t="inlineStr">
        <is>
          <t>KARLSBORG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44906</v>
      </c>
      <c r="E124" s="1" t="n">
        <v>46286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48888-2023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45209</v>
      </c>
      <c r="E125" s="1" t="n">
        <v>46286</v>
      </c>
      <c r="F125" t="inlineStr">
        <is>
          <t>VÄSTRA GÖTALANDS LÄN</t>
        </is>
      </c>
      <c r="G125" t="inlineStr">
        <is>
          <t>KARLSBORG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46286</v>
      </c>
      <c r="F126" t="inlineStr">
        <is>
          <t>VÄSTRA GÖTALANDS LÄN</t>
        </is>
      </c>
      <c r="G126" t="inlineStr">
        <is>
          <t>KARLSBORG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46286</v>
      </c>
      <c r="F127" t="inlineStr">
        <is>
          <t>VÄSTRA GÖTALANDS LÄN</t>
        </is>
      </c>
      <c r="G127" t="inlineStr">
        <is>
          <t>KARLSBORG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46286</v>
      </c>
      <c r="F128" t="inlineStr">
        <is>
          <t>VÄSTRA GÖTALANDS LÄN</t>
        </is>
      </c>
      <c r="G128" t="inlineStr">
        <is>
          <t>KARLSBORG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57581-2025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46286</v>
      </c>
      <c r="F129" t="inlineStr">
        <is>
          <t>VÄSTRA GÖTALANDS LÄN</t>
        </is>
      </c>
      <c r="G129" t="inlineStr">
        <is>
          <t>KARLSBORG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46286</v>
      </c>
      <c r="F130" t="inlineStr">
        <is>
          <t>VÄSTRA GÖTALANDS LÄN</t>
        </is>
      </c>
      <c r="G130" t="inlineStr">
        <is>
          <t>KARLSBORG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23500-2023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45076</v>
      </c>
      <c r="E131" s="1" t="n">
        <v>46286</v>
      </c>
      <c r="F131" t="inlineStr">
        <is>
          <t>VÄSTRA GÖTALANDS LÄN</t>
        </is>
      </c>
      <c r="G131" t="inlineStr">
        <is>
          <t>KARLSBORG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46286</v>
      </c>
      <c r="F132" t="inlineStr">
        <is>
          <t>VÄSTRA GÖTALANDS LÄN</t>
        </is>
      </c>
      <c r="G132" t="inlineStr">
        <is>
          <t>KARLSBORG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46286</v>
      </c>
      <c r="F133" t="inlineStr">
        <is>
          <t>VÄSTRA GÖTALANDS LÄN</t>
        </is>
      </c>
      <c r="G133" t="inlineStr">
        <is>
          <t>KARLSBORG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46286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46286</v>
      </c>
      <c r="F135" t="inlineStr">
        <is>
          <t>VÄSTRA GÖTALANDS LÄN</t>
        </is>
      </c>
      <c r="G135" t="inlineStr">
        <is>
          <t>KARLSBORG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46286</v>
      </c>
      <c r="F136" t="inlineStr">
        <is>
          <t>VÄSTRA GÖTALANDS LÄN</t>
        </is>
      </c>
      <c r="G136" t="inlineStr">
        <is>
          <t>KARLSBORG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37363-2022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44809</v>
      </c>
      <c r="E137" s="1" t="n">
        <v>46286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29357-2024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45483</v>
      </c>
      <c r="E138" s="1" t="n">
        <v>46286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46286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46286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10007-2025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45719</v>
      </c>
      <c r="E141" s="1" t="n">
        <v>46286</v>
      </c>
      <c r="F141" t="inlineStr">
        <is>
          <t>VÄSTRA GÖTALANDS LÄN</t>
        </is>
      </c>
      <c r="G141" t="inlineStr">
        <is>
          <t>KARLSBORG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46286</v>
      </c>
      <c r="F142" t="inlineStr">
        <is>
          <t>VÄSTRA GÖTALANDS LÄN</t>
        </is>
      </c>
      <c r="G142" t="inlineStr">
        <is>
          <t>KARLSBORG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44929</v>
      </c>
      <c r="E143" s="1" t="n">
        <v>46286</v>
      </c>
      <c r="F143" t="inlineStr">
        <is>
          <t>VÄSTRA GÖTALANDS LÄN</t>
        </is>
      </c>
      <c r="G143" t="inlineStr">
        <is>
          <t>KARLSBORG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  <c r="X143">
        <f>HYPERLINK("https://klasma.github.io/Logging_1446/kartor/A 412-2023 karta.png", "A 412-2023")</f>
        <v/>
      </c>
      <c r="Y143">
        <f>HYPERLINK("https://klasma.github.io/Logging_1446/kartor_geotiff/A 412-2023 georefererad karta.tif", "A 412-2023")</f>
        <v/>
      </c>
      <c r="AA143">
        <f>HYPERLINK("https://klasma.github.io/Logging_1446/klagomål/A 412-2023 FSC-klagomål.docx", "A 412-2023")</f>
        <v/>
      </c>
      <c r="AB143">
        <f>HYPERLINK("https://klasma.github.io/Logging_1446/klagomålsmail/A 412-2023 FSC-klagomål mail.docx", "A 412-2023")</f>
        <v/>
      </c>
      <c r="AC143">
        <f>HYPERLINK("https://klasma.github.io/Logging_1446/tillsyn/A 412-2023 tillsynsbegäran.docx", "A 412-2023")</f>
        <v/>
      </c>
      <c r="AD143">
        <f>HYPERLINK("https://klasma.github.io/Logging_1446/tillsynsmail/A 412-2023 tillsynsbegäran mail.docx", "A 412-2023")</f>
        <v/>
      </c>
    </row>
    <row r="144" ht="15" customHeight="1">
      <c r="A144" t="inlineStr">
        <is>
          <t>A 64011-2025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46286</v>
      </c>
      <c r="F144" t="inlineStr">
        <is>
          <t>VÄSTRA GÖTALANDS LÄN</t>
        </is>
      </c>
      <c r="G144" t="inlineStr">
        <is>
          <t>KARLSBORG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46286</v>
      </c>
      <c r="F145" t="inlineStr">
        <is>
          <t>VÄSTRA GÖTALANDS LÄN</t>
        </is>
      </c>
      <c r="G145" t="inlineStr">
        <is>
          <t>KARLSBORG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46286</v>
      </c>
      <c r="F146" t="inlineStr">
        <is>
          <t>VÄSTRA GÖTALANDS LÄN</t>
        </is>
      </c>
      <c r="G146" t="inlineStr">
        <is>
          <t>KARLSBORG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44755</v>
      </c>
      <c r="E147" s="1" t="n">
        <v>46286</v>
      </c>
      <c r="F147" t="inlineStr">
        <is>
          <t>VÄSTRA GÖTALANDS LÄN</t>
        </is>
      </c>
      <c r="G147" t="inlineStr">
        <is>
          <t>KARLSBORG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24541-2026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46286</v>
      </c>
      <c r="F148" t="inlineStr">
        <is>
          <t>VÄSTRA GÖTALANDS LÄN</t>
        </is>
      </c>
      <c r="G148" t="inlineStr">
        <is>
          <t>KARLSBORG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46286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24724-2026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46171</v>
      </c>
      <c r="E150" s="1" t="n">
        <v>46286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46171</v>
      </c>
      <c r="E151" s="1" t="n">
        <v>46286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46286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46286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14.3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46286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61211-2022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44908</v>
      </c>
      <c r="E155" s="1" t="n">
        <v>46286</v>
      </c>
      <c r="F155" t="inlineStr">
        <is>
          <t>VÄSTRA GÖTALANDS LÄN</t>
        </is>
      </c>
      <c r="G155" t="inlineStr">
        <is>
          <t>KARLSBORG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46286</v>
      </c>
      <c r="F156" t="inlineStr">
        <is>
          <t>VÄSTRA GÖTALANDS LÄN</t>
        </is>
      </c>
      <c r="G156" t="inlineStr">
        <is>
          <t>KARLSBORG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46055</v>
      </c>
      <c r="E157" s="1" t="n">
        <v>46286</v>
      </c>
      <c r="F157" t="inlineStr">
        <is>
          <t>VÄSTRA GÖTALANDS LÄN</t>
        </is>
      </c>
      <c r="G157" t="inlineStr">
        <is>
          <t>KARLSBORG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57913-2024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45631</v>
      </c>
      <c r="E158" s="1" t="n">
        <v>46286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45707</v>
      </c>
      <c r="E159" s="1" t="n">
        <v>46286</v>
      </c>
      <c r="F159" t="inlineStr">
        <is>
          <t>VÄSTRA GÖTALANDS LÄN</t>
        </is>
      </c>
      <c r="G159" t="inlineStr">
        <is>
          <t>KARLSBORG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46286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statliga verk och myndigheter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63731-2025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46286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46286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statliga verk och myndigheter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46010</v>
      </c>
      <c r="E163" s="1" t="n">
        <v>46286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statliga verk och myndigheter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7644-2026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46062</v>
      </c>
      <c r="E164" s="1" t="n">
        <v>46286</v>
      </c>
      <c r="F164" t="inlineStr">
        <is>
          <t>VÄSTRA GÖTALANDS LÄN</t>
        </is>
      </c>
      <c r="G164" t="inlineStr">
        <is>
          <t>KARLSBORG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46286</v>
      </c>
      <c r="F165" t="inlineStr">
        <is>
          <t>VÄSTRA GÖTALANDS LÄN</t>
        </is>
      </c>
      <c r="G165" t="inlineStr">
        <is>
          <t>KARLSBORG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46286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46286</v>
      </c>
      <c r="F167" t="inlineStr">
        <is>
          <t>VÄSTRA GÖTALANDS LÄN</t>
        </is>
      </c>
      <c r="G167" t="inlineStr">
        <is>
          <t>KARLSBORG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58129-2024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45632</v>
      </c>
      <c r="E168" s="1" t="n">
        <v>46286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46079</v>
      </c>
      <c r="E169" s="1" t="n">
        <v>46286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46286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46286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45394</v>
      </c>
      <c r="E172" s="1" t="n">
        <v>46286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27333-2026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46286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46286</v>
      </c>
      <c r="F174" t="inlineStr">
        <is>
          <t>VÄSTRA GÖTALANDS LÄN</t>
        </is>
      </c>
      <c r="G174" t="inlineStr">
        <is>
          <t>KARLSBORG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59890-2021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46286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statliga verk och myndigheter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44906</v>
      </c>
      <c r="E176" s="1" t="n">
        <v>46286</v>
      </c>
      <c r="F176" t="inlineStr">
        <is>
          <t>VÄSTRA GÖTALANDS LÄN</t>
        </is>
      </c>
      <c r="G176" t="inlineStr">
        <is>
          <t>KARLSBORG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46286</v>
      </c>
      <c r="F177" t="inlineStr">
        <is>
          <t>VÄSTRA GÖTALANDS LÄN</t>
        </is>
      </c>
      <c r="G177" t="inlineStr">
        <is>
          <t>KARLSBORG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46127</v>
      </c>
      <c r="E178" s="1" t="n">
        <v>46286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45089</v>
      </c>
      <c r="E179" s="1" t="n">
        <v>46286</v>
      </c>
      <c r="F179" t="inlineStr">
        <is>
          <t>VÄSTRA GÖTALANDS LÄN</t>
        </is>
      </c>
      <c r="G179" t="inlineStr">
        <is>
          <t>KARLSBORG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46286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15396-2024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45401</v>
      </c>
      <c r="E181" s="1" t="n">
        <v>46286</v>
      </c>
      <c r="F181" t="inlineStr">
        <is>
          <t>VÄSTRA GÖTALANDS LÄN</t>
        </is>
      </c>
      <c r="G181" t="inlineStr">
        <is>
          <t>KARLSBORG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44494</v>
      </c>
      <c r="E182" s="1" t="n">
        <v>46286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statliga verk och myndigheter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46286</v>
      </c>
      <c r="F183" t="inlineStr">
        <is>
          <t>VÄSTRA GÖTALANDS LÄN</t>
        </is>
      </c>
      <c r="G183" t="inlineStr">
        <is>
          <t>KARLSBORG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45098</v>
      </c>
      <c r="E184" s="1" t="n">
        <v>46286</v>
      </c>
      <c r="F184" t="inlineStr">
        <is>
          <t>VÄSTRA GÖTALANDS LÄN</t>
        </is>
      </c>
      <c r="G184" t="inlineStr">
        <is>
          <t>KARLSBORG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53898-2023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46286</v>
      </c>
      <c r="F185" t="inlineStr">
        <is>
          <t>VÄSTRA GÖTALANDS LÄN</t>
        </is>
      </c>
      <c r="G185" t="inlineStr">
        <is>
          <t>KARLSBORG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45575</v>
      </c>
      <c r="E186" s="1" t="n">
        <v>46286</v>
      </c>
      <c r="F186" t="inlineStr">
        <is>
          <t>VÄSTRA GÖTALANDS LÄN</t>
        </is>
      </c>
      <c r="G186" t="inlineStr">
        <is>
          <t>KARLSBORG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22890-2026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46160</v>
      </c>
      <c r="E187" s="1" t="n">
        <v>46286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30610-2026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46210</v>
      </c>
      <c r="E188" s="1" t="n">
        <v>46286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46286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46286</v>
      </c>
      <c r="F190" t="inlineStr">
        <is>
          <t>VÄSTRA GÖTALANDS LÄN</t>
        </is>
      </c>
      <c r="G190" t="inlineStr">
        <is>
          <t>KARLSBORG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46286</v>
      </c>
      <c r="F191" t="inlineStr">
        <is>
          <t>VÄSTRA GÖTALANDS LÄN</t>
        </is>
      </c>
      <c r="G191" t="inlineStr">
        <is>
          <t>KARLSBORG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58573-2023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46286</v>
      </c>
      <c r="F192" t="inlineStr">
        <is>
          <t>VÄSTRA GÖTALANDS LÄN</t>
        </is>
      </c>
      <c r="G192" t="inlineStr">
        <is>
          <t>KARLSBORG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44809</v>
      </c>
      <c r="E193" s="1" t="n">
        <v>46286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46286</v>
      </c>
      <c r="F194" t="inlineStr">
        <is>
          <t>VÄSTRA GÖTALANDS LÄN</t>
        </is>
      </c>
      <c r="G194" t="inlineStr">
        <is>
          <t>KARLSBORG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46260</v>
      </c>
      <c r="E195" s="1" t="n">
        <v>46286</v>
      </c>
      <c r="F195" t="inlineStr">
        <is>
          <t>VÄSTRA GÖTALANDS LÄN</t>
        </is>
      </c>
      <c r="G195" t="inlineStr">
        <is>
          <t>KARLSBORG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46286</v>
      </c>
      <c r="F196" t="inlineStr">
        <is>
          <t>VÄSTRA GÖTALANDS LÄN</t>
        </is>
      </c>
      <c r="G196" t="inlineStr">
        <is>
          <t>KARLSBORG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46286</v>
      </c>
      <c r="F197" t="inlineStr">
        <is>
          <t>VÄSTRA GÖTALANDS LÄN</t>
        </is>
      </c>
      <c r="G197" t="inlineStr">
        <is>
          <t>KARLSBORG</t>
        </is>
      </c>
      <c r="I197" t="n">
        <v>8.9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40128-2023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45169</v>
      </c>
      <c r="E198" s="1" t="n">
        <v>46286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45566</v>
      </c>
      <c r="E199" s="1" t="n">
        <v>46286</v>
      </c>
      <c r="F199" t="inlineStr">
        <is>
          <t>VÄSTRA GÖTALANDS LÄN</t>
        </is>
      </c>
      <c r="G199" t="inlineStr">
        <is>
          <t>KARLSBORG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44664</v>
      </c>
      <c r="E200" s="1" t="n">
        <v>46286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Övriga Aktiebolag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46286</v>
      </c>
      <c r="F201" t="inlineStr">
        <is>
          <t>VÄSTRA GÖTALANDS LÄN</t>
        </is>
      </c>
      <c r="G201" t="inlineStr">
        <is>
          <t>KARLSBORG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46230</v>
      </c>
      <c r="E202" s="1" t="n">
        <v>46286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46191</v>
      </c>
      <c r="E203" s="1" t="n">
        <v>46286</v>
      </c>
      <c r="F203" t="inlineStr">
        <is>
          <t>VÄSTRA GÖTALANDS LÄN</t>
        </is>
      </c>
      <c r="G203" t="inlineStr">
        <is>
          <t>KARLSBORG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44469</v>
      </c>
      <c r="E204" s="1" t="n">
        <v>46286</v>
      </c>
      <c r="F204" t="inlineStr">
        <is>
          <t>VÄSTRA GÖTALANDS LÄN</t>
        </is>
      </c>
      <c r="G204" t="inlineStr">
        <is>
          <t>KARLSBORG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45617</v>
      </c>
      <c r="E205" s="1" t="n">
        <v>46286</v>
      </c>
      <c r="F205" t="inlineStr">
        <is>
          <t>VÄSTRA GÖTALANDS LÄN</t>
        </is>
      </c>
      <c r="G205" t="inlineStr">
        <is>
          <t>KARLSBORG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45786</v>
      </c>
      <c r="E206" s="1" t="n">
        <v>46286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46276</v>
      </c>
      <c r="E207" s="1" t="n">
        <v>46286</v>
      </c>
      <c r="F207" t="inlineStr">
        <is>
          <t>VÄSTRA GÖTALANDS LÄN</t>
        </is>
      </c>
      <c r="G207" t="inlineStr">
        <is>
          <t>KARLSBORG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46286</v>
      </c>
      <c r="F208" t="inlineStr">
        <is>
          <t>VÄSTRA GÖTALANDS LÄN</t>
        </is>
      </c>
      <c r="G208" t="inlineStr">
        <is>
          <t>KARLSBORG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46286</v>
      </c>
      <c r="F209" t="inlineStr">
        <is>
          <t>VÄSTRA GÖTALANDS LÄN</t>
        </is>
      </c>
      <c r="G209" t="inlineStr">
        <is>
          <t>KARLSBORG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45630</v>
      </c>
      <c r="E210" s="1" t="n">
        <v>46286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46286</v>
      </c>
      <c r="F211" t="inlineStr">
        <is>
          <t>VÄSTRA GÖTALANDS LÄN</t>
        </is>
      </c>
      <c r="G211" t="inlineStr">
        <is>
          <t>KARLSBORG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45680</v>
      </c>
      <c r="E212" s="1" t="n">
        <v>46286</v>
      </c>
      <c r="F212" t="inlineStr">
        <is>
          <t>VÄSTRA GÖTALANDS LÄN</t>
        </is>
      </c>
      <c r="G212" t="inlineStr">
        <is>
          <t>KARLSBORG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46286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46286</v>
      </c>
      <c r="F214" t="inlineStr">
        <is>
          <t>VÄSTRA GÖTALANDS LÄN</t>
        </is>
      </c>
      <c r="G214" t="inlineStr">
        <is>
          <t>KARLSBORG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46286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32128-2025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45835</v>
      </c>
      <c r="E216" s="1" t="n">
        <v>46286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45834</v>
      </c>
      <c r="E217" s="1" t="n">
        <v>46286</v>
      </c>
      <c r="F217" t="inlineStr">
        <is>
          <t>VÄSTRA GÖTALANDS LÄN</t>
        </is>
      </c>
      <c r="G217" t="inlineStr">
        <is>
          <t>KARLSBORG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46286</v>
      </c>
      <c r="F218" t="inlineStr">
        <is>
          <t>VÄSTRA GÖTALANDS LÄN</t>
        </is>
      </c>
      <c r="G218" t="inlineStr">
        <is>
          <t>KARLSBORG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46286</v>
      </c>
      <c r="F219" t="inlineStr">
        <is>
          <t>VÄSTRA GÖTALANDS LÄN</t>
        </is>
      </c>
      <c r="G219" t="inlineStr">
        <is>
          <t>KARLSBORG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45862</v>
      </c>
      <c r="E220" s="1" t="n">
        <v>46286</v>
      </c>
      <c r="F220" t="inlineStr">
        <is>
          <t>VÄSTRA GÖTALANDS LÄN</t>
        </is>
      </c>
      <c r="G220" t="inlineStr">
        <is>
          <t>KARLSBORG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46286</v>
      </c>
      <c r="F221" t="inlineStr">
        <is>
          <t>VÄSTRA GÖTALANDS LÄN</t>
        </is>
      </c>
      <c r="G221" t="inlineStr">
        <is>
          <t>KARLSBORG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46286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46286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2026-09-21T02:00:20Z</dcterms:created>
  <dcterms:modified xmlns:dcterms="http://purl.org/dc/terms/" xmlns:xsi="http://www.w3.org/2001/XMLSchema-instance" xsi:type="dcterms:W3CDTF">2026-09-21T02:00:20Z</dcterms:modified>
</cp:coreProperties>
</file>