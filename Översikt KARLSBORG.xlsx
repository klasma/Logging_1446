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46302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46302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46302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46302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46302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46302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46302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46302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46302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46302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46302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46302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46302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46302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46302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46302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46302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29156-2026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46202</v>
      </c>
      <c r="E22" s="1" t="n">
        <v>46302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29156-2026 artfynd.xlsx", "A 29156-2026")</f>
        <v/>
      </c>
      <c r="X22">
        <f>HYPERLINK("https://klasma.github.io/Logging_1446/kartor/A 29156-2026 karta.png", "A 29156-2026")</f>
        <v/>
      </c>
      <c r="Y22">
        <f>HYPERLINK("https://klasma.github.io/Logging_1446/kartor_geotiff/A 29156-2026 georefererad karta.tif", "A 29156-2026")</f>
        <v/>
      </c>
      <c r="AA22">
        <f>HYPERLINK("https://klasma.github.io/Logging_1446/klagomål/A 29156-2026 FSC-klagomål.docx", "A 29156-2026")</f>
        <v/>
      </c>
      <c r="AB22">
        <f>HYPERLINK("https://klasma.github.io/Logging_1446/klagomålsmail/A 29156-2026 FSC-klagomål mail.docx", "A 29156-2026")</f>
        <v/>
      </c>
      <c r="AC22">
        <f>HYPERLINK("https://klasma.github.io/Logging_1446/tillsyn/A 29156-2026 tillsynsbegäran.docx", "A 29156-2026")</f>
        <v/>
      </c>
      <c r="AD22">
        <f>HYPERLINK("https://klasma.github.io/Logging_1446/tillsynsmail/A 29156-2026 tillsynsbegäran mail.docx", "A 29156-2026")</f>
        <v/>
      </c>
    </row>
    <row r="23" ht="15" customHeight="1">
      <c r="A23" t="inlineStr">
        <is>
          <t>A 51531-2023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46302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Kommuner</t>
        </is>
      </c>
      <c r="I23" t="n">
        <v>11.2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HYPERLINK("https://klasma.github.io/Logging_1446/artfynd/A 51531-2023 artfynd.xlsx", "A 51531-2023")</f>
        <v/>
      </c>
      <c r="X23">
        <f>HYPERLINK("https://klasma.github.io/Logging_1446/kartor/A 51531-2023 karta.png", "A 51531-2023")</f>
        <v/>
      </c>
      <c r="Y23">
        <f>HYPERLINK("https://klasma.github.io/Logging_1446/kartor_geotiff/A 51531-2023 georefererad karta.tif", "A 51531-2023")</f>
        <v/>
      </c>
      <c r="AA23">
        <f>HYPERLINK("https://klasma.github.io/Logging_1446/klagomål/A 51531-2023 FSC-klagomål.docx", "A 51531-2023")</f>
        <v/>
      </c>
      <c r="AB23">
        <f>HYPERLINK("https://klasma.github.io/Logging_1446/klagomålsmail/A 51531-2023 FSC-klagomål mail.docx", "A 51531-2023")</f>
        <v/>
      </c>
      <c r="AC23">
        <f>HYPERLINK("https://klasma.github.io/Logging_1446/tillsyn/A 51531-2023 tillsynsbegäran.docx", "A 51531-2023")</f>
        <v/>
      </c>
      <c r="AD23">
        <f>HYPERLINK("https://klasma.github.io/Logging_1446/tillsynsmail/A 51531-2023 tillsynsbegäran mail.docx", "A 51531-2023")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46302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31801-2026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46230</v>
      </c>
      <c r="E25" s="1" t="n">
        <v>46302</v>
      </c>
      <c r="F25" t="inlineStr">
        <is>
          <t>VÄSTRA GÖTALANDS LÄN</t>
        </is>
      </c>
      <c r="G25" t="inlineStr">
        <is>
          <t>KARLSBORG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Knärot</t>
        </is>
      </c>
      <c r="W25">
        <f>HYPERLINK("https://klasma.github.io/Logging_1446/artfynd/A 31801-2026 artfynd.xlsx", "A 31801-2026")</f>
        <v/>
      </c>
      <c r="X25">
        <f>HYPERLINK("https://klasma.github.io/Logging_1446/kartor/A 31801-2026 karta.png", "A 31801-2026")</f>
        <v/>
      </c>
      <c r="Y25">
        <f>HYPERLINK("https://klasma.github.io/Logging_1446/kartor_geotiff/A 31801-2026 georefererad karta.tif", "A 31801-2026")</f>
        <v/>
      </c>
      <c r="Z25">
        <f>HYPERLINK("https://klasma.github.io/Logging_1446/knärot/A 31801-2026 karta knärot.png", "A 31801-2026")</f>
        <v/>
      </c>
      <c r="AA25">
        <f>HYPERLINK("https://klasma.github.io/Logging_1446/klagomål/A 31801-2026 FSC-klagomål.docx", "A 31801-2026")</f>
        <v/>
      </c>
      <c r="AB25">
        <f>HYPERLINK("https://klasma.github.io/Logging_1446/klagomålsmail/A 31801-2026 FSC-klagomål mail.docx", "A 31801-2026")</f>
        <v/>
      </c>
      <c r="AC25">
        <f>HYPERLINK("https://klasma.github.io/Logging_1446/tillsyn/A 31801-2026 tillsynsbegäran.docx", "A 31801-2026")</f>
        <v/>
      </c>
      <c r="AD25">
        <f>HYPERLINK("https://klasma.github.io/Logging_1446/tillsynsmail/A 31801-2026 tillsynsbegäran mail.docx", "A 31801-2026")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46302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46302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46302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46302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46302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46302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46302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46302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46302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46302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46302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46302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46302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46302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46302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55831-2021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46302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46302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23469-2024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45453</v>
      </c>
      <c r="E43" s="1" t="n">
        <v>46302</v>
      </c>
      <c r="F43" t="inlineStr">
        <is>
          <t>VÄSTRA GÖTALANDS LÄN</t>
        </is>
      </c>
      <c r="G43" t="inlineStr">
        <is>
          <t>KARLSBORG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46302</v>
      </c>
      <c r="F44" t="inlineStr">
        <is>
          <t>VÄSTRA GÖTALANDS LÄN</t>
        </is>
      </c>
      <c r="G44" t="inlineStr">
        <is>
          <t>KARLSBORG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46302</v>
      </c>
      <c r="F45" t="inlineStr">
        <is>
          <t>VÄSTRA GÖTALANDS LÄN</t>
        </is>
      </c>
      <c r="G45" t="inlineStr">
        <is>
          <t>KARLSBORG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45524</v>
      </c>
      <c r="E46" s="1" t="n">
        <v>46302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46302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70945-2021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46302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45160</v>
      </c>
      <c r="E49" s="1" t="n">
        <v>46302</v>
      </c>
      <c r="F49" t="inlineStr">
        <is>
          <t>VÄSTRA GÖTALANDS LÄN</t>
        </is>
      </c>
      <c r="G49" t="inlineStr">
        <is>
          <t>KARLSBORG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57454-2024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45630</v>
      </c>
      <c r="E50" s="1" t="n">
        <v>46302</v>
      </c>
      <c r="F50" t="inlineStr">
        <is>
          <t>VÄSTRA GÖTALANDS LÄN</t>
        </is>
      </c>
      <c r="G50" t="inlineStr">
        <is>
          <t>KARLSBORG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46302</v>
      </c>
      <c r="F51" t="inlineStr">
        <is>
          <t>VÄSTRA GÖTALANDS LÄN</t>
        </is>
      </c>
      <c r="G51" t="inlineStr">
        <is>
          <t>KARLSBORG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45243</v>
      </c>
      <c r="E52" s="1" t="n">
        <v>46302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46302</v>
      </c>
      <c r="F53" t="inlineStr">
        <is>
          <t>VÄSTRA GÖTALANDS LÄN</t>
        </is>
      </c>
      <c r="G53" t="inlineStr">
        <is>
          <t>KARLSBORG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46302</v>
      </c>
      <c r="F54" t="inlineStr">
        <is>
          <t>VÄSTRA GÖTALANDS LÄN</t>
        </is>
      </c>
      <c r="G54" t="inlineStr">
        <is>
          <t>KARLSBORG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46302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45394</v>
      </c>
      <c r="E56" s="1" t="n">
        <v>46302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46302</v>
      </c>
      <c r="F57" t="inlineStr">
        <is>
          <t>VÄSTRA GÖTALANDS LÄN</t>
        </is>
      </c>
      <c r="G57" t="inlineStr">
        <is>
          <t>KARLSBORG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46302</v>
      </c>
      <c r="F58" t="inlineStr">
        <is>
          <t>VÄSTRA GÖTALANDS LÄN</t>
        </is>
      </c>
      <c r="G58" t="inlineStr">
        <is>
          <t>KARLSBORG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46302</v>
      </c>
      <c r="F59" t="inlineStr">
        <is>
          <t>VÄSTRA GÖTALANDS LÄN</t>
        </is>
      </c>
      <c r="G59" t="inlineStr">
        <is>
          <t>KARLSBORG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45183</v>
      </c>
      <c r="E60" s="1" t="n">
        <v>46302</v>
      </c>
      <c r="F60" t="inlineStr">
        <is>
          <t>VÄSTRA GÖTALANDS LÄN</t>
        </is>
      </c>
      <c r="G60" t="inlineStr">
        <is>
          <t>KARLSBORG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45090</v>
      </c>
      <c r="E61" s="1" t="n">
        <v>46302</v>
      </c>
      <c r="F61" t="inlineStr">
        <is>
          <t>VÄSTRA GÖTALANDS LÄN</t>
        </is>
      </c>
      <c r="G61" t="inlineStr">
        <is>
          <t>KARLSBORG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46302</v>
      </c>
      <c r="F62" t="inlineStr">
        <is>
          <t>VÄSTRA GÖTALANDS LÄN</t>
        </is>
      </c>
      <c r="G62" t="inlineStr">
        <is>
          <t>KARLSBORG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45804</v>
      </c>
      <c r="E63" s="1" t="n">
        <v>46302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58127-2024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45632</v>
      </c>
      <c r="E64" s="1" t="n">
        <v>46302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46302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statliga verk och myndigheter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46302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46302</v>
      </c>
      <c r="F67" t="inlineStr">
        <is>
          <t>VÄSTRA GÖTALANDS LÄN</t>
        </is>
      </c>
      <c r="G67" t="inlineStr">
        <is>
          <t>KARLSBORG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46302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46302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46302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14.3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46302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46302</v>
      </c>
      <c r="F72" t="inlineStr">
        <is>
          <t>VÄSTRA GÖTALANDS LÄN</t>
        </is>
      </c>
      <c r="G72" t="inlineStr">
        <is>
          <t>KARLSBORG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45742</v>
      </c>
      <c r="E73" s="1" t="n">
        <v>46302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46302</v>
      </c>
      <c r="F74" t="inlineStr">
        <is>
          <t>VÄSTRA GÖTALANDS LÄN</t>
        </is>
      </c>
      <c r="G74" t="inlineStr">
        <is>
          <t>KARLSBORG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29490-2025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46302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70783-2021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44537</v>
      </c>
      <c r="E76" s="1" t="n">
        <v>46302</v>
      </c>
      <c r="F76" t="inlineStr">
        <is>
          <t>VÄSTRA GÖTALANDS LÄN</t>
        </is>
      </c>
      <c r="G76" t="inlineStr">
        <is>
          <t>KARLSBORG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46052</v>
      </c>
      <c r="E77" s="1" t="n">
        <v>46302</v>
      </c>
      <c r="F77" t="inlineStr">
        <is>
          <t>VÄSTRA GÖTALANDS LÄN</t>
        </is>
      </c>
      <c r="G77" t="inlineStr">
        <is>
          <t>KARLSBORG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46055</v>
      </c>
      <c r="E78" s="1" t="n">
        <v>46302</v>
      </c>
      <c r="F78" t="inlineStr">
        <is>
          <t>VÄSTRA GÖTALANDS LÄN</t>
        </is>
      </c>
      <c r="G78" t="inlineStr">
        <is>
          <t>KARLSBORG</t>
        </is>
      </c>
      <c r="I78" t="n">
        <v>7.3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45899</v>
      </c>
      <c r="E79" s="1" t="n">
        <v>46302</v>
      </c>
      <c r="F79" t="inlineStr">
        <is>
          <t>VÄSTRA GÖTALANDS LÄN</t>
        </is>
      </c>
      <c r="G79" t="inlineStr">
        <is>
          <t>KARLSBORG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46302</v>
      </c>
      <c r="F80" t="inlineStr">
        <is>
          <t>VÄSTRA GÖTALANDS LÄN</t>
        </is>
      </c>
      <c r="G80" t="inlineStr">
        <is>
          <t>KARLSBORG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46302</v>
      </c>
      <c r="F81" t="inlineStr">
        <is>
          <t>VÄSTRA GÖTALANDS LÄN</t>
        </is>
      </c>
      <c r="G81" t="inlineStr">
        <is>
          <t>KARLSBORG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63732-2025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46302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statliga verk och myndigheter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46302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statliga verk och myndigheter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46010</v>
      </c>
      <c r="E84" s="1" t="n">
        <v>46302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statliga verk och myndigheter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46302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Kyrkan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46302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statliga verk och myndigheter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46062</v>
      </c>
      <c r="E87" s="1" t="n">
        <v>46302</v>
      </c>
      <c r="F87" t="inlineStr">
        <is>
          <t>VÄSTRA GÖTALANDS LÄN</t>
        </is>
      </c>
      <c r="G87" t="inlineStr">
        <is>
          <t>KARLSBORG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46302</v>
      </c>
      <c r="F88" t="inlineStr">
        <is>
          <t>VÄSTRA GÖTALANDS LÄN</t>
        </is>
      </c>
      <c r="G88" t="inlineStr">
        <is>
          <t>KARLSBORG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8053-2023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46302</v>
      </c>
      <c r="F89" t="inlineStr">
        <is>
          <t>VÄSTRA GÖTALANDS LÄN</t>
        </is>
      </c>
      <c r="G89" t="inlineStr">
        <is>
          <t>KARLSBORG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44944</v>
      </c>
      <c r="E90" s="1" t="n">
        <v>46302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Aktiebolag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9130-2026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46069</v>
      </c>
      <c r="E91" s="1" t="n">
        <v>46302</v>
      </c>
      <c r="F91" t="inlineStr">
        <is>
          <t>VÄSTRA GÖTALANDS LÄN</t>
        </is>
      </c>
      <c r="G91" t="inlineStr">
        <is>
          <t>KARLSBORG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46302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46302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46302</v>
      </c>
      <c r="F94" t="inlineStr">
        <is>
          <t>VÄSTRA GÖTALANDS LÄN</t>
        </is>
      </c>
      <c r="G94" t="inlineStr">
        <is>
          <t>KARLSBORG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46302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46302</v>
      </c>
      <c r="F96" t="inlineStr">
        <is>
          <t>VÄSTRA GÖTALANDS LÄN</t>
        </is>
      </c>
      <c r="G96" t="inlineStr">
        <is>
          <t>KARLSBORG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46302</v>
      </c>
      <c r="F97" t="inlineStr">
        <is>
          <t>VÄSTRA GÖTALANDS LÄN</t>
        </is>
      </c>
      <c r="G97" t="inlineStr">
        <is>
          <t>KARLSBORG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44906</v>
      </c>
      <c r="E98" s="1" t="n">
        <v>46302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46079</v>
      </c>
      <c r="E99" s="1" t="n">
        <v>46302</v>
      </c>
      <c r="F99" t="inlineStr">
        <is>
          <t>VÄSTRA GÖTALANDS LÄN</t>
        </is>
      </c>
      <c r="G99" t="inlineStr">
        <is>
          <t>KARLSBORG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46302</v>
      </c>
      <c r="F100" t="inlineStr">
        <is>
          <t>VÄSTRA GÖTALANDS LÄN</t>
        </is>
      </c>
      <c r="G100" t="inlineStr">
        <is>
          <t>KARLSBORG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46302</v>
      </c>
      <c r="F101" t="inlineStr">
        <is>
          <t>VÄSTRA GÖTALANDS LÄN</t>
        </is>
      </c>
      <c r="G101" t="inlineStr">
        <is>
          <t>KARLSBORG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46302</v>
      </c>
      <c r="F102" t="inlineStr">
        <is>
          <t>VÄSTRA GÖTALANDS LÄN</t>
        </is>
      </c>
      <c r="G102" t="inlineStr">
        <is>
          <t>KARLSBORG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46302</v>
      </c>
      <c r="F103" t="inlineStr">
        <is>
          <t>VÄSTRA GÖTALANDS LÄN</t>
        </is>
      </c>
      <c r="G103" t="inlineStr">
        <is>
          <t>KARLSBORG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46302</v>
      </c>
      <c r="F104" t="inlineStr">
        <is>
          <t>VÄSTRA GÖTALANDS LÄN</t>
        </is>
      </c>
      <c r="G104" t="inlineStr">
        <is>
          <t>KARLSBORG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46302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32128-2025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45835</v>
      </c>
      <c r="E106" s="1" t="n">
        <v>46302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31701-2025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45834</v>
      </c>
      <c r="E107" s="1" t="n">
        <v>46302</v>
      </c>
      <c r="F107" t="inlineStr">
        <is>
          <t>VÄSTRA GÖTALANDS LÄN</t>
        </is>
      </c>
      <c r="G107" t="inlineStr">
        <is>
          <t>KARLSBORG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46302</v>
      </c>
      <c r="F108" t="inlineStr">
        <is>
          <t>VÄSTRA GÖTALANDS LÄN</t>
        </is>
      </c>
      <c r="G108" t="inlineStr">
        <is>
          <t>KARLSBORG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45942</v>
      </c>
      <c r="E109" s="1" t="n">
        <v>46302</v>
      </c>
      <c r="F109" t="inlineStr">
        <is>
          <t>VÄSTRA GÖTALANDS LÄN</t>
        </is>
      </c>
      <c r="G109" t="inlineStr">
        <is>
          <t>KARLSBORG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45940</v>
      </c>
      <c r="E110" s="1" t="n">
        <v>46302</v>
      </c>
      <c r="F110" t="inlineStr">
        <is>
          <t>VÄSTRA GÖTALANDS LÄN</t>
        </is>
      </c>
      <c r="G110" t="inlineStr">
        <is>
          <t>KARLSBORG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45566</v>
      </c>
      <c r="E111" s="1" t="n">
        <v>46302</v>
      </c>
      <c r="F111" t="inlineStr">
        <is>
          <t>VÄSTRA GÖTALANDS LÄN</t>
        </is>
      </c>
      <c r="G111" t="inlineStr">
        <is>
          <t>KARLSBORG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46302</v>
      </c>
      <c r="F112" t="inlineStr">
        <is>
          <t>VÄSTRA GÖTALANDS LÄN</t>
        </is>
      </c>
      <c r="G112" t="inlineStr">
        <is>
          <t>KARLSBORG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45524</v>
      </c>
      <c r="E113" s="1" t="n">
        <v>46302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Aktiebolag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46302</v>
      </c>
      <c r="F114" t="inlineStr">
        <is>
          <t>VÄSTRA GÖTALANDS LÄN</t>
        </is>
      </c>
      <c r="G114" t="inlineStr">
        <is>
          <t>KARLSBORG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46302</v>
      </c>
      <c r="F115" t="inlineStr">
        <is>
          <t>VÄSTRA GÖTALANDS LÄN</t>
        </is>
      </c>
      <c r="G115" t="inlineStr">
        <is>
          <t>KARLSBORG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45265</v>
      </c>
      <c r="E116" s="1" t="n">
        <v>46302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35930-2025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45862</v>
      </c>
      <c r="E117" s="1" t="n">
        <v>46302</v>
      </c>
      <c r="F117" t="inlineStr">
        <is>
          <t>VÄSTRA GÖTALANDS LÄN</t>
        </is>
      </c>
      <c r="G117" t="inlineStr">
        <is>
          <t>KARLSBORG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46302</v>
      </c>
      <c r="F118" t="inlineStr">
        <is>
          <t>VÄSTRA GÖTALANDS LÄN</t>
        </is>
      </c>
      <c r="G118" t="inlineStr">
        <is>
          <t>KARLSBORG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44944</v>
      </c>
      <c r="E119" s="1" t="n">
        <v>46302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Övriga Aktiebolag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46302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46302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46302</v>
      </c>
      <c r="F122" t="inlineStr">
        <is>
          <t>VÄSTRA GÖTALANDS LÄN</t>
        </is>
      </c>
      <c r="G122" t="inlineStr">
        <is>
          <t>KARLSBORG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45470</v>
      </c>
      <c r="E123" s="1" t="n">
        <v>46302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46302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45090</v>
      </c>
      <c r="E125" s="1" t="n">
        <v>46302</v>
      </c>
      <c r="F125" t="inlineStr">
        <is>
          <t>VÄSTRA GÖTALANDS LÄN</t>
        </is>
      </c>
      <c r="G125" t="inlineStr">
        <is>
          <t>KARLSBORG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46302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46302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45755</v>
      </c>
      <c r="E128" s="1" t="n">
        <v>46302</v>
      </c>
      <c r="F128" t="inlineStr">
        <is>
          <t>VÄSTRA GÖTALANDS LÄN</t>
        </is>
      </c>
      <c r="G128" t="inlineStr">
        <is>
          <t>KARLSBORG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46302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45988</v>
      </c>
      <c r="E130" s="1" t="n">
        <v>46302</v>
      </c>
      <c r="F130" t="inlineStr">
        <is>
          <t>VÄSTRA GÖTALANDS LÄN</t>
        </is>
      </c>
      <c r="G130" t="inlineStr">
        <is>
          <t>KARLSBORG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44785</v>
      </c>
      <c r="E131" s="1" t="n">
        <v>46302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35441-2024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45531</v>
      </c>
      <c r="E132" s="1" t="n">
        <v>46302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9.800000000000001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46302</v>
      </c>
      <c r="F133" t="inlineStr">
        <is>
          <t>VÄSTRA GÖTALANDS LÄN</t>
        </is>
      </c>
      <c r="G133" t="inlineStr">
        <is>
          <t>KARLSBORG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46302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46302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46302</v>
      </c>
      <c r="F136" t="inlineStr">
        <is>
          <t>VÄSTRA GÖTALANDS LÄN</t>
        </is>
      </c>
      <c r="G136" t="inlineStr">
        <is>
          <t>KARLSBORG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46302</v>
      </c>
      <c r="F137" t="inlineStr">
        <is>
          <t>VÄSTRA GÖTALANDS LÄN</t>
        </is>
      </c>
      <c r="G137" t="inlineStr">
        <is>
          <t>KARLSBORG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46302</v>
      </c>
      <c r="F138" t="inlineStr">
        <is>
          <t>VÄSTRA GÖTALANDS LÄN</t>
        </is>
      </c>
      <c r="G138" t="inlineStr">
        <is>
          <t>KARLSBORG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21014-2026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46143</v>
      </c>
      <c r="E139" s="1" t="n">
        <v>46302</v>
      </c>
      <c r="F139" t="inlineStr">
        <is>
          <t>VÄSTRA GÖTALANDS LÄN</t>
        </is>
      </c>
      <c r="G139" t="inlineStr">
        <is>
          <t>KARLSBORG</t>
        </is>
      </c>
      <c r="I139" t="n">
        <v>14.6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20940-2026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46142</v>
      </c>
      <c r="E140" s="1" t="n">
        <v>46302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46302</v>
      </c>
      <c r="F141" t="inlineStr">
        <is>
          <t>VÄSTRA GÖTALANDS LÄN</t>
        </is>
      </c>
      <c r="G141" t="inlineStr">
        <is>
          <t>KARLSBORG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46302</v>
      </c>
      <c r="F142" t="inlineStr">
        <is>
          <t>VÄSTRA GÖTALANDS LÄN</t>
        </is>
      </c>
      <c r="G142" t="inlineStr">
        <is>
          <t>KARLSBORG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46302</v>
      </c>
      <c r="F143" t="inlineStr">
        <is>
          <t>VÄSTRA GÖTALANDS LÄN</t>
        </is>
      </c>
      <c r="G143" t="inlineStr">
        <is>
          <t>KARLSBORG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46302</v>
      </c>
      <c r="F144" t="inlineStr">
        <is>
          <t>VÄSTRA GÖTALANDS LÄN</t>
        </is>
      </c>
      <c r="G144" t="inlineStr">
        <is>
          <t>KARLSBORG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46302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45233</v>
      </c>
      <c r="E146" s="1" t="n">
        <v>46302</v>
      </c>
      <c r="F146" t="inlineStr">
        <is>
          <t>VÄSTRA GÖTALANDS LÄN</t>
        </is>
      </c>
      <c r="G146" t="inlineStr">
        <is>
          <t>KARLSBORG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27332-2026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46302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46302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46302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46302</v>
      </c>
      <c r="F150" t="inlineStr">
        <is>
          <t>VÄSTRA GÖTALANDS LÄN</t>
        </is>
      </c>
      <c r="G150" t="inlineStr">
        <is>
          <t>KARLSBORG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45742</v>
      </c>
      <c r="E151" s="1" t="n">
        <v>46302</v>
      </c>
      <c r="F151" t="inlineStr">
        <is>
          <t>VÄSTRA GÖTALANDS LÄN</t>
        </is>
      </c>
      <c r="G151" t="inlineStr">
        <is>
          <t>KARLSBORG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65313-2021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44515</v>
      </c>
      <c r="E152" s="1" t="n">
        <v>46302</v>
      </c>
      <c r="F152" t="inlineStr">
        <is>
          <t>VÄSTRA GÖTALANDS LÄN</t>
        </is>
      </c>
      <c r="G152" t="inlineStr">
        <is>
          <t>KARLSBORG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46302</v>
      </c>
      <c r="F153" t="inlineStr">
        <is>
          <t>VÄSTRA GÖTALANDS LÄN</t>
        </is>
      </c>
      <c r="G153" t="inlineStr">
        <is>
          <t>KARLSBORG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45218</v>
      </c>
      <c r="E154" s="1" t="n">
        <v>46302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46302</v>
      </c>
      <c r="F155" t="inlineStr">
        <is>
          <t>VÄSTRA GÖTALANDS LÄN</t>
        </is>
      </c>
      <c r="G155" t="inlineStr">
        <is>
          <t>KARLSBORG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57915-2024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45631</v>
      </c>
      <c r="E156" s="1" t="n">
        <v>46302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46302</v>
      </c>
      <c r="F157" t="inlineStr">
        <is>
          <t>VÄSTRA GÖTALANDS LÄN</t>
        </is>
      </c>
      <c r="G157" t="inlineStr">
        <is>
          <t>KARLSBORG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46302</v>
      </c>
      <c r="F158" t="inlineStr">
        <is>
          <t>VÄSTRA GÖTALANDS LÄN</t>
        </is>
      </c>
      <c r="G158" t="inlineStr">
        <is>
          <t>KARLSBORG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59045-2023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46302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46302</v>
      </c>
      <c r="F160" t="inlineStr">
        <is>
          <t>VÄSTRA GÖTALANDS LÄN</t>
        </is>
      </c>
      <c r="G160" t="inlineStr">
        <is>
          <t>KARLSBORG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44906</v>
      </c>
      <c r="E161" s="1" t="n">
        <v>46302</v>
      </c>
      <c r="F161" t="inlineStr">
        <is>
          <t>VÄSTRA GÖTALANDS LÄN</t>
        </is>
      </c>
      <c r="G161" t="inlineStr">
        <is>
          <t>KARLSBORG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46160</v>
      </c>
      <c r="E162" s="1" t="n">
        <v>46302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46210</v>
      </c>
      <c r="E163" s="1" t="n">
        <v>46302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46302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46302</v>
      </c>
      <c r="F165" t="inlineStr">
        <is>
          <t>VÄSTRA GÖTALANDS LÄN</t>
        </is>
      </c>
      <c r="G165" t="inlineStr">
        <is>
          <t>KARLSBORG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46302</v>
      </c>
      <c r="F166" t="inlineStr">
        <is>
          <t>VÄSTRA GÖTALANDS LÄN</t>
        </is>
      </c>
      <c r="G166" t="inlineStr">
        <is>
          <t>KARLSBORG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46302</v>
      </c>
      <c r="F167" t="inlineStr">
        <is>
          <t>VÄSTRA GÖTALANDS LÄN</t>
        </is>
      </c>
      <c r="G167" t="inlineStr">
        <is>
          <t>KARLSBORG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46260</v>
      </c>
      <c r="E168" s="1" t="n">
        <v>46302</v>
      </c>
      <c r="F168" t="inlineStr">
        <is>
          <t>VÄSTRA GÖTALANDS LÄN</t>
        </is>
      </c>
      <c r="G168" t="inlineStr">
        <is>
          <t>KARLSBORG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23500-2023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45076</v>
      </c>
      <c r="E169" s="1" t="n">
        <v>46302</v>
      </c>
      <c r="F169" t="inlineStr">
        <is>
          <t>VÄSTRA GÖTALANDS LÄN</t>
        </is>
      </c>
      <c r="G169" t="inlineStr">
        <is>
          <t>KARLSBORG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45265</v>
      </c>
      <c r="E170" s="1" t="n">
        <v>46302</v>
      </c>
      <c r="F170" t="inlineStr">
        <is>
          <t>VÄSTRA GÖTALANDS LÄN</t>
        </is>
      </c>
      <c r="G170" t="inlineStr">
        <is>
          <t>KARLSBORG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46302</v>
      </c>
      <c r="F171" t="inlineStr">
        <is>
          <t>VÄSTRA GÖTALANDS LÄN</t>
        </is>
      </c>
      <c r="G171" t="inlineStr">
        <is>
          <t>KARLSBORG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46302</v>
      </c>
      <c r="F172" t="inlineStr">
        <is>
          <t>VÄSTRA GÖTALANDS LÄN</t>
        </is>
      </c>
      <c r="G172" t="inlineStr">
        <is>
          <t>KARLSBORG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44809</v>
      </c>
      <c r="E173" s="1" t="n">
        <v>46302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29357-2024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45483</v>
      </c>
      <c r="E174" s="1" t="n">
        <v>46302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10007-2025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46302</v>
      </c>
      <c r="F175" t="inlineStr">
        <is>
          <t>VÄSTRA GÖTALANDS LÄN</t>
        </is>
      </c>
      <c r="G175" t="inlineStr">
        <is>
          <t>KARLSBORG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46302</v>
      </c>
      <c r="F176" t="inlineStr">
        <is>
          <t>VÄSTRA GÖTALANDS LÄN</t>
        </is>
      </c>
      <c r="G176" t="inlineStr">
        <is>
          <t>KARLSBORG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44929</v>
      </c>
      <c r="E177" s="1" t="n">
        <v>46302</v>
      </c>
      <c r="F177" t="inlineStr">
        <is>
          <t>VÄSTRA GÖTALANDS LÄN</t>
        </is>
      </c>
      <c r="G177" t="inlineStr">
        <is>
          <t>KARLSBORG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X177">
        <f>HYPERLINK("https://klasma.github.io/Logging_1446/kartor/A 412-2023 karta.png", "A 412-2023")</f>
        <v/>
      </c>
      <c r="Y177">
        <f>HYPERLINK("https://klasma.github.io/Logging_1446/kartor_geotiff/A 412-2023 georefererad karta.tif", "A 412-2023")</f>
        <v/>
      </c>
      <c r="AA177">
        <f>HYPERLINK("https://klasma.github.io/Logging_1446/klagomål/A 412-2023 FSC-klagomål.docx", "A 412-2023")</f>
        <v/>
      </c>
      <c r="AB177">
        <f>HYPERLINK("https://klasma.github.io/Logging_1446/klagomålsmail/A 412-2023 FSC-klagomål mail.docx", "A 412-2023")</f>
        <v/>
      </c>
      <c r="AC177">
        <f>HYPERLINK("https://klasma.github.io/Logging_1446/tillsyn/A 412-2023 tillsynsbegäran.docx", "A 412-2023")</f>
        <v/>
      </c>
      <c r="AD177">
        <f>HYPERLINK("https://klasma.github.io/Logging_1446/tillsynsmail/A 412-2023 tillsynsbegäran mail.docx", "A 412-2023")</f>
        <v/>
      </c>
    </row>
    <row r="178" ht="15" customHeight="1">
      <c r="A178" t="inlineStr">
        <is>
          <t>A 29685-2022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46302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46302</v>
      </c>
      <c r="F179" t="inlineStr">
        <is>
          <t>VÄSTRA GÖTALANDS LÄN</t>
        </is>
      </c>
      <c r="G179" t="inlineStr">
        <is>
          <t>KARLSBORG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46302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46276</v>
      </c>
      <c r="E181" s="1" t="n">
        <v>46302</v>
      </c>
      <c r="F181" t="inlineStr">
        <is>
          <t>VÄSTRA GÖTALANDS LÄN</t>
        </is>
      </c>
      <c r="G181" t="inlineStr">
        <is>
          <t>KARLSBORG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44908</v>
      </c>
      <c r="E182" s="1" t="n">
        <v>46302</v>
      </c>
      <c r="F182" t="inlineStr">
        <is>
          <t>VÄSTRA GÖTALANDS LÄN</t>
        </is>
      </c>
      <c r="G182" t="inlineStr">
        <is>
          <t>KARLSBORG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57913-2024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45631</v>
      </c>
      <c r="E183" s="1" t="n">
        <v>46302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46302</v>
      </c>
      <c r="F184" t="inlineStr">
        <is>
          <t>VÄSTRA GÖTALANDS LÄN</t>
        </is>
      </c>
      <c r="G184" t="inlineStr">
        <is>
          <t>KARLSBORG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46302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58129-2024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45632</v>
      </c>
      <c r="E186" s="1" t="n">
        <v>46302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46288</v>
      </c>
      <c r="E187" s="1" t="n">
        <v>46302</v>
      </c>
      <c r="F187" t="inlineStr">
        <is>
          <t>VÄSTRA GÖTALANDS LÄN</t>
        </is>
      </c>
      <c r="G187" t="inlineStr">
        <is>
          <t>KARLSBORG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46302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46302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46302</v>
      </c>
      <c r="F190" t="inlineStr">
        <is>
          <t>VÄSTRA GÖTALANDS LÄN</t>
        </is>
      </c>
      <c r="G190" t="inlineStr">
        <is>
          <t>KARLSBORG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59890-2021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46302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statliga verk och myndigheter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59404-2022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44906</v>
      </c>
      <c r="E192" s="1" t="n">
        <v>46302</v>
      </c>
      <c r="F192" t="inlineStr">
        <is>
          <t>VÄSTRA GÖTALANDS LÄN</t>
        </is>
      </c>
      <c r="G192" t="inlineStr">
        <is>
          <t>KARLSBORG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69341-2021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46302</v>
      </c>
      <c r="F193" t="inlineStr">
        <is>
          <t>VÄSTRA GÖTALANDS LÄN</t>
        </is>
      </c>
      <c r="G193" t="inlineStr">
        <is>
          <t>KARLSBORG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46302</v>
      </c>
      <c r="F194" t="inlineStr">
        <is>
          <t>VÄSTRA GÖTALANDS LÄN</t>
        </is>
      </c>
      <c r="G194" t="inlineStr">
        <is>
          <t>KARLSBORG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46302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46302</v>
      </c>
      <c r="F196" t="inlineStr">
        <is>
          <t>VÄSTRA GÖTALANDS LÄN</t>
        </is>
      </c>
      <c r="G196" t="inlineStr">
        <is>
          <t>KARLSBORG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45401</v>
      </c>
      <c r="E197" s="1" t="n">
        <v>46302</v>
      </c>
      <c r="F197" t="inlineStr">
        <is>
          <t>VÄSTRA GÖTALANDS LÄN</t>
        </is>
      </c>
      <c r="G197" t="inlineStr">
        <is>
          <t>KARLSBORG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46302</v>
      </c>
      <c r="F198" t="inlineStr">
        <is>
          <t>VÄSTRA GÖTALANDS LÄN</t>
        </is>
      </c>
      <c r="G198" t="inlineStr">
        <is>
          <t>KARLSBORG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46302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46302</v>
      </c>
      <c r="F200" t="inlineStr">
        <is>
          <t>VÄSTRA GÖTALANDS LÄN</t>
        </is>
      </c>
      <c r="G200" t="inlineStr">
        <is>
          <t>KARLSBORG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59877-2021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44494</v>
      </c>
      <c r="E201" s="1" t="n">
        <v>46302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statliga verk och myndigheter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46302</v>
      </c>
      <c r="F202" t="inlineStr">
        <is>
          <t>VÄSTRA GÖTALANDS LÄN</t>
        </is>
      </c>
      <c r="G202" t="inlineStr">
        <is>
          <t>KARLSBORG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46302</v>
      </c>
      <c r="F203" t="inlineStr">
        <is>
          <t>VÄSTRA GÖTALANDS LÄN</t>
        </is>
      </c>
      <c r="G203" t="inlineStr">
        <is>
          <t>KARLSBORG</t>
        </is>
      </c>
      <c r="I203" t="n">
        <v>9.5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46302</v>
      </c>
      <c r="F204" t="inlineStr">
        <is>
          <t>VÄSTRA GÖTALANDS LÄN</t>
        </is>
      </c>
      <c r="G204" t="inlineStr">
        <is>
          <t>KARLSBORG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46302</v>
      </c>
      <c r="F205" t="inlineStr">
        <is>
          <t>VÄSTRA GÖTALANDS LÄN</t>
        </is>
      </c>
      <c r="G205" t="inlineStr">
        <is>
          <t>KARLSBORG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45566</v>
      </c>
      <c r="E206" s="1" t="n">
        <v>46302</v>
      </c>
      <c r="F206" t="inlineStr">
        <is>
          <t>VÄSTRA GÖTALANDS LÄN</t>
        </is>
      </c>
      <c r="G206" t="inlineStr">
        <is>
          <t>KARLSBORG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46302</v>
      </c>
      <c r="F207" t="inlineStr">
        <is>
          <t>VÄSTRA GÖTALANDS LÄN</t>
        </is>
      </c>
      <c r="G207" t="inlineStr">
        <is>
          <t>KARLSBORG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46302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46302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46302</v>
      </c>
      <c r="F210" t="inlineStr">
        <is>
          <t>VÄSTRA GÖTALANDS LÄN</t>
        </is>
      </c>
      <c r="G210" t="inlineStr">
        <is>
          <t>KARLSBORG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45565</v>
      </c>
      <c r="E211" s="1" t="n">
        <v>46302</v>
      </c>
      <c r="F211" t="inlineStr">
        <is>
          <t>VÄSTRA GÖTALANDS LÄN</t>
        </is>
      </c>
      <c r="G211" t="inlineStr">
        <is>
          <t>KARLSBORG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40128-2023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45169</v>
      </c>
      <c r="E212" s="1" t="n">
        <v>46302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46302</v>
      </c>
      <c r="F213" t="inlineStr">
        <is>
          <t>VÄSTRA GÖTALANDS LÄN</t>
        </is>
      </c>
      <c r="G213" t="inlineStr">
        <is>
          <t>KARLSBORG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46302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46302</v>
      </c>
      <c r="F215" t="inlineStr">
        <is>
          <t>VÄSTRA GÖTALANDS LÄN</t>
        </is>
      </c>
      <c r="G215" t="inlineStr">
        <is>
          <t>KARLSBORG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46302</v>
      </c>
      <c r="F216" t="inlineStr">
        <is>
          <t>VÄSTRA GÖTALANDS LÄN</t>
        </is>
      </c>
      <c r="G216" t="inlineStr">
        <is>
          <t>KARLSBORG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46302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46302</v>
      </c>
      <c r="F218" t="inlineStr">
        <is>
          <t>VÄSTRA GÖTALANDS LÄN</t>
        </is>
      </c>
      <c r="G218" t="inlineStr">
        <is>
          <t>KARLSBORG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46302</v>
      </c>
      <c r="F219" t="inlineStr">
        <is>
          <t>VÄSTRA GÖTALANDS LÄN</t>
        </is>
      </c>
      <c r="G219" t="inlineStr">
        <is>
          <t>KARLSBORG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45630</v>
      </c>
      <c r="E220" s="1" t="n">
        <v>46302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Aktiebolag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45527</v>
      </c>
      <c r="E221" s="1" t="n">
        <v>46302</v>
      </c>
      <c r="F221" t="inlineStr">
        <is>
          <t>VÄSTRA GÖTALANDS LÄN</t>
        </is>
      </c>
      <c r="G221" t="inlineStr">
        <is>
          <t>KARLSBORG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45680</v>
      </c>
      <c r="E222" s="1" t="n">
        <v>46302</v>
      </c>
      <c r="F222" t="inlineStr">
        <is>
          <t>VÄSTRA GÖTALANDS LÄN</t>
        </is>
      </c>
      <c r="G222" t="inlineStr">
        <is>
          <t>KARLSBORG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2395-2024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45468</v>
      </c>
      <c r="E223" s="1" t="n">
        <v>46302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343-2026</t>
        </is>
      </c>
      <c r="B224" t="inlineStr">
        <is>
          <t>samrådsanmälan</t>
        </is>
      </c>
      <c r="C224" t="inlineStr">
        <is>
          <t>Skogsgödsling</t>
        </is>
      </c>
      <c r="D224" s="1" t="n">
        <v>46059</v>
      </c>
      <c r="E224" s="1" t="n">
        <v>46302</v>
      </c>
      <c r="F224" t="inlineStr">
        <is>
          <t>VÄSTRA GÖTALANDS LÄN</t>
        </is>
      </c>
      <c r="G224" t="inlineStr">
        <is>
          <t>KARLSBORG</t>
        </is>
      </c>
      <c r="I224" t="n">
        <v>25.7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2026-10-07T02:08:30Z</dcterms:created>
  <dcterms:modified xmlns:dcterms="http://purl.org/dc/terms/" xmlns:xsi="http://www.w3.org/2001/XMLSchema-instance" xsi:type="dcterms:W3CDTF">2026-10-07T02:08:30Z</dcterms:modified>
</cp:coreProperties>
</file>