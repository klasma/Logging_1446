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46030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46030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46030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46030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46030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66556-2021</t>
        </is>
      </c>
      <c r="B19" s="1" t="n">
        <v>44519.41203703704</v>
      </c>
      <c r="C19" s="1" t="n">
        <v>46030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29386-2021</t>
        </is>
      </c>
      <c r="B20" s="1" t="n">
        <v>44361.48423611111</v>
      </c>
      <c r="C20" s="1" t="n">
        <v>46030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20372-2021</t>
        </is>
      </c>
      <c r="B30" s="1" t="n">
        <v>44315.46325231482</v>
      </c>
      <c r="C30" s="1" t="n">
        <v>46030</v>
      </c>
      <c r="D30" t="inlineStr">
        <is>
          <t>VÄSTRA GÖTALANDS LÄN</t>
        </is>
      </c>
      <c r="E30" t="inlineStr">
        <is>
          <t>KARLSBORG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3708-2021</t>
        </is>
      </c>
      <c r="B31" s="1" t="n">
        <v>44221</v>
      </c>
      <c r="C31" s="1" t="n">
        <v>46030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46030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46030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46030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46030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46030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46030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46030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46030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46030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46030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46030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46030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46030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10897-2025</t>
        </is>
      </c>
      <c r="B55" s="1" t="n">
        <v>45722.68349537037</v>
      </c>
      <c r="C55" s="1" t="n">
        <v>46030</v>
      </c>
      <c r="D55" t="inlineStr">
        <is>
          <t>VÄSTRA GÖTALANDS LÄN</t>
        </is>
      </c>
      <c r="E55" t="inlineStr">
        <is>
          <t>KARLSBORG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19125-2025</t>
        </is>
      </c>
      <c r="B56" s="1" t="n">
        <v>45768.8713425926</v>
      </c>
      <c r="C56" s="1" t="n">
        <v>46030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19126-2025</t>
        </is>
      </c>
      <c r="B57" s="1" t="n">
        <v>45768.87210648148</v>
      </c>
      <c r="C57" s="1" t="n">
        <v>46030</v>
      </c>
      <c r="D57" t="inlineStr">
        <is>
          <t>VÄSTRA GÖTALANDS LÄN</t>
        </is>
      </c>
      <c r="E57" t="inlineStr">
        <is>
          <t>KARLSBORG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46030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46030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38073-2023</t>
        </is>
      </c>
      <c r="B60" s="1" t="n">
        <v>45160.77502314815</v>
      </c>
      <c r="C60" s="1" t="n">
        <v>46030</v>
      </c>
      <c r="D60" t="inlineStr">
        <is>
          <t>VÄSTRA GÖTALANDS LÄN</t>
        </is>
      </c>
      <c r="E60" t="inlineStr">
        <is>
          <t>KARLSBORG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54416-2024</t>
        </is>
      </c>
      <c r="B61" s="1" t="n">
        <v>45617</v>
      </c>
      <c r="C61" s="1" t="n">
        <v>46030</v>
      </c>
      <c r="D61" t="inlineStr">
        <is>
          <t>VÄSTRA GÖTALANDS LÄN</t>
        </is>
      </c>
      <c r="E61" t="inlineStr">
        <is>
          <t>KARLSBORG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22435-2025</t>
        </is>
      </c>
      <c r="B62" s="1" t="n">
        <v>45786.58416666667</v>
      </c>
      <c r="C62" s="1" t="n">
        <v>46030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70945-2021</t>
        </is>
      </c>
      <c r="B63" s="1" t="n">
        <v>44538.50564814815</v>
      </c>
      <c r="C63" s="1" t="n">
        <v>46030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22761-2025</t>
        </is>
      </c>
      <c r="B64" s="1" t="n">
        <v>45789.6207175926</v>
      </c>
      <c r="C64" s="1" t="n">
        <v>46030</v>
      </c>
      <c r="D64" t="inlineStr">
        <is>
          <t>VÄSTRA GÖTALANDS LÄN</t>
        </is>
      </c>
      <c r="E64" t="inlineStr">
        <is>
          <t>KARLSBORG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46030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63731-2025</t>
        </is>
      </c>
      <c r="B66" s="1" t="n">
        <v>46010</v>
      </c>
      <c r="C66" s="1" t="n">
        <v>46030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46030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46030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57454-2024</t>
        </is>
      </c>
      <c r="B69" s="1" t="n">
        <v>45630</v>
      </c>
      <c r="C69" s="1" t="n">
        <v>46030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14862-2025</t>
        </is>
      </c>
      <c r="B70" s="1" t="n">
        <v>45743.4346875</v>
      </c>
      <c r="C70" s="1" t="n">
        <v>46030</v>
      </c>
      <c r="D70" t="inlineStr">
        <is>
          <t>VÄSTRA GÖTALANDS LÄN</t>
        </is>
      </c>
      <c r="E70" t="inlineStr">
        <is>
          <t>KARLSBORG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56110-2025</t>
        </is>
      </c>
      <c r="B71" s="1" t="n">
        <v>45973.73524305555</v>
      </c>
      <c r="C71" s="1" t="n">
        <v>46030</v>
      </c>
      <c r="D71" t="inlineStr">
        <is>
          <t>VÄSTRA GÖTALANDS LÄN</t>
        </is>
      </c>
      <c r="E71" t="inlineStr">
        <is>
          <t>KARLSBORG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63732-2025</t>
        </is>
      </c>
      <c r="B72" s="1" t="n">
        <v>46010</v>
      </c>
      <c r="C72" s="1" t="n">
        <v>46030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10667-2025</t>
        </is>
      </c>
      <c r="B73" s="1" t="n">
        <v>45721.76960648148</v>
      </c>
      <c r="C73" s="1" t="n">
        <v>46030</v>
      </c>
      <c r="D73" t="inlineStr">
        <is>
          <t>VÄSTRA GÖTALANDS LÄN</t>
        </is>
      </c>
      <c r="E73" t="inlineStr">
        <is>
          <t>KARLSBORG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8984-2025</t>
        </is>
      </c>
      <c r="B74" s="1" t="n">
        <v>45713.53513888889</v>
      </c>
      <c r="C74" s="1" t="n">
        <v>46030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46030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29489-2025</t>
        </is>
      </c>
      <c r="B76" s="1" t="n">
        <v>45824.76096064815</v>
      </c>
      <c r="C76" s="1" t="n">
        <v>46030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39285-2023</t>
        </is>
      </c>
      <c r="B77" s="1" t="n">
        <v>45166</v>
      </c>
      <c r="C77" s="1" t="n">
        <v>46030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39287-2023</t>
        </is>
      </c>
      <c r="B78" s="1" t="n">
        <v>45166</v>
      </c>
      <c r="C78" s="1" t="n">
        <v>46030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57727-2024</t>
        </is>
      </c>
      <c r="B79" s="1" t="n">
        <v>45630.70841435185</v>
      </c>
      <c r="C79" s="1" t="n">
        <v>46030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35040-2024</t>
        </is>
      </c>
      <c r="B80" s="1" t="n">
        <v>45527.61861111111</v>
      </c>
      <c r="C80" s="1" t="n">
        <v>46030</v>
      </c>
      <c r="D80" t="inlineStr">
        <is>
          <t>VÄSTRA GÖTALANDS LÄN</t>
        </is>
      </c>
      <c r="E80" t="inlineStr">
        <is>
          <t>KARLSBORG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3575-2025</t>
        </is>
      </c>
      <c r="B81" s="1" t="n">
        <v>45680.72295138889</v>
      </c>
      <c r="C81" s="1" t="n">
        <v>46030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46030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46030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35441-2024</t>
        </is>
      </c>
      <c r="B84" s="1" t="n">
        <v>45531.4332175926</v>
      </c>
      <c r="C84" s="1" t="n">
        <v>46030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35443-2024</t>
        </is>
      </c>
      <c r="B85" s="1" t="n">
        <v>45531.43494212963</v>
      </c>
      <c r="C85" s="1" t="n">
        <v>46030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63733-2025</t>
        </is>
      </c>
      <c r="B86" s="1" t="n">
        <v>46010</v>
      </c>
      <c r="C86" s="1" t="n">
        <v>46030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63734-2025</t>
        </is>
      </c>
      <c r="B87" s="1" t="n">
        <v>46010</v>
      </c>
      <c r="C87" s="1" t="n">
        <v>46030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statliga verk och myndigheter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62304-2021</t>
        </is>
      </c>
      <c r="B88" s="1" t="n">
        <v>44503.38475694445</v>
      </c>
      <c r="C88" s="1" t="n">
        <v>46030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64011-2025</t>
        </is>
      </c>
      <c r="B89" s="1" t="n">
        <v>46021.43207175926</v>
      </c>
      <c r="C89" s="1" t="n">
        <v>46030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23268-2022</t>
        </is>
      </c>
      <c r="B90" s="1" t="n">
        <v>44720.40994212963</v>
      </c>
      <c r="C90" s="1" t="n">
        <v>46030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14514-2024</t>
        </is>
      </c>
      <c r="B91" s="1" t="n">
        <v>45394</v>
      </c>
      <c r="C91" s="1" t="n">
        <v>46030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41350-2025</t>
        </is>
      </c>
      <c r="B92" s="1" t="n">
        <v>45899.65248842593</v>
      </c>
      <c r="C92" s="1" t="n">
        <v>46030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15220-2023</t>
        </is>
      </c>
      <c r="B93" s="1" t="n">
        <v>45019.30383101852</v>
      </c>
      <c r="C93" s="1" t="n">
        <v>46030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15699-2025</t>
        </is>
      </c>
      <c r="B94" s="1" t="n">
        <v>45748.47081018519</v>
      </c>
      <c r="C94" s="1" t="n">
        <v>46030</v>
      </c>
      <c r="D94" t="inlineStr">
        <is>
          <t>VÄSTRA GÖTALANDS LÄN</t>
        </is>
      </c>
      <c r="E94" t="inlineStr">
        <is>
          <t>KARLSBORG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25982-2025</t>
        </is>
      </c>
      <c r="B95" s="1" t="n">
        <v>45804.63818287037</v>
      </c>
      <c r="C95" s="1" t="n">
        <v>46030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25696-2023</t>
        </is>
      </c>
      <c r="B96" s="1" t="n">
        <v>45089.96881944445</v>
      </c>
      <c r="C96" s="1" t="n">
        <v>46030</v>
      </c>
      <c r="D96" t="inlineStr">
        <is>
          <t>VÄSTRA GÖTALANDS LÄN</t>
        </is>
      </c>
      <c r="E96" t="inlineStr">
        <is>
          <t>KARLSBORG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9771-2024</t>
        </is>
      </c>
      <c r="B97" s="1" t="n">
        <v>45362</v>
      </c>
      <c r="C97" s="1" t="n">
        <v>46030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37521-2024</t>
        </is>
      </c>
      <c r="B98" s="1" t="n">
        <v>45541.39284722223</v>
      </c>
      <c r="C98" s="1" t="n">
        <v>46030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28528-2024</t>
        </is>
      </c>
      <c r="B99" s="1" t="n">
        <v>45478.3252199074</v>
      </c>
      <c r="C99" s="1" t="n">
        <v>46030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44577-2023</t>
        </is>
      </c>
      <c r="B100" s="1" t="n">
        <v>45183</v>
      </c>
      <c r="C100" s="1" t="n">
        <v>46030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64025-2025</t>
        </is>
      </c>
      <c r="B101" s="1" t="n">
        <v>46021.47168981482</v>
      </c>
      <c r="C101" s="1" t="n">
        <v>46030</v>
      </c>
      <c r="D101" t="inlineStr">
        <is>
          <t>VÄSTRA GÖTALANDS LÄN</t>
        </is>
      </c>
      <c r="E101" t="inlineStr">
        <is>
          <t>KARLSBORG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7978-2025</t>
        </is>
      </c>
      <c r="B102" s="1" t="n">
        <v>45707.46611111111</v>
      </c>
      <c r="C102" s="1" t="n">
        <v>46030</v>
      </c>
      <c r="D102" t="inlineStr">
        <is>
          <t>VÄSTRA GÖTALANDS LÄN</t>
        </is>
      </c>
      <c r="E102" t="inlineStr">
        <is>
          <t>KARLSBORG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26016-2023</t>
        </is>
      </c>
      <c r="B103" s="1" t="n">
        <v>45090.9447337963</v>
      </c>
      <c r="C103" s="1" t="n">
        <v>46030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51111-2024</t>
        </is>
      </c>
      <c r="B104" s="1" t="n">
        <v>45603.49332175926</v>
      </c>
      <c r="C104" s="1" t="n">
        <v>46030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42757-2025</t>
        </is>
      </c>
      <c r="B105" s="1" t="n">
        <v>45908.45122685185</v>
      </c>
      <c r="C105" s="1" t="n">
        <v>46030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64012-2025</t>
        </is>
      </c>
      <c r="B106" s="1" t="n">
        <v>46021.43547453704</v>
      </c>
      <c r="C106" s="1" t="n">
        <v>46030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57581-2025</t>
        </is>
      </c>
      <c r="B107" s="1" t="n">
        <v>45980</v>
      </c>
      <c r="C107" s="1" t="n">
        <v>46030</v>
      </c>
      <c r="D107" t="inlineStr">
        <is>
          <t>VÄSTRA GÖTALANDS LÄN</t>
        </is>
      </c>
      <c r="E107" t="inlineStr">
        <is>
          <t>KARLSBORG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32314-2021</t>
        </is>
      </c>
      <c r="B108" s="1" t="n">
        <v>44371.53730324074</v>
      </c>
      <c r="C108" s="1" t="n">
        <v>46030</v>
      </c>
      <c r="D108" t="inlineStr">
        <is>
          <t>VÄSTRA GÖTALANDS LÄN</t>
        </is>
      </c>
      <c r="E108" t="inlineStr">
        <is>
          <t>KARLSBORG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58127-2024</t>
        </is>
      </c>
      <c r="B109" s="1" t="n">
        <v>45632.40393518518</v>
      </c>
      <c r="C109" s="1" t="n">
        <v>46030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59887-2021</t>
        </is>
      </c>
      <c r="B110" s="1" t="n">
        <v>44494</v>
      </c>
      <c r="C110" s="1" t="n">
        <v>46030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38995-2024</t>
        </is>
      </c>
      <c r="B111" s="1" t="n">
        <v>45548.41292824074</v>
      </c>
      <c r="C111" s="1" t="n">
        <v>46030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46904-2024</t>
        </is>
      </c>
      <c r="B112" s="1" t="n">
        <v>45583.70912037037</v>
      </c>
      <c r="C112" s="1" t="n">
        <v>46030</v>
      </c>
      <c r="D112" t="inlineStr">
        <is>
          <t>VÄSTRA GÖTALANDS LÄN</t>
        </is>
      </c>
      <c r="E112" t="inlineStr">
        <is>
          <t>KARLSBORG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28315-2025</t>
        </is>
      </c>
      <c r="B113" s="1" t="n">
        <v>45818.62765046296</v>
      </c>
      <c r="C113" s="1" t="n">
        <v>46030</v>
      </c>
      <c r="D113" t="inlineStr">
        <is>
          <t>VÄSTRA GÖTALANDS LÄN</t>
        </is>
      </c>
      <c r="E113" t="inlineStr">
        <is>
          <t>KARLSBORG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13077-2023</t>
        </is>
      </c>
      <c r="B114" s="1" t="n">
        <v>45002.40217592593</v>
      </c>
      <c r="C114" s="1" t="n">
        <v>46030</v>
      </c>
      <c r="D114" t="inlineStr">
        <is>
          <t>VÄSTRA GÖTALANDS LÄN</t>
        </is>
      </c>
      <c r="E114" t="inlineStr">
        <is>
          <t>KARLSBORG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39699-2025</t>
        </is>
      </c>
      <c r="B115" s="1" t="n">
        <v>45890</v>
      </c>
      <c r="C115" s="1" t="n">
        <v>46030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59845-2023</t>
        </is>
      </c>
      <c r="B116" s="1" t="n">
        <v>45257.56932870371</v>
      </c>
      <c r="C116" s="1" t="n">
        <v>46030</v>
      </c>
      <c r="D116" t="inlineStr">
        <is>
          <t>VÄSTRA GÖTALANDS LÄN</t>
        </is>
      </c>
      <c r="E116" t="inlineStr">
        <is>
          <t>KARLSBORG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44366-2025</t>
        </is>
      </c>
      <c r="B117" s="1" t="n">
        <v>45916.45835648148</v>
      </c>
      <c r="C117" s="1" t="n">
        <v>46030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46030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14703-2025</t>
        </is>
      </c>
      <c r="B119" s="1" t="n">
        <v>45742.60491898148</v>
      </c>
      <c r="C119" s="1" t="n">
        <v>46030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29488-2025</t>
        </is>
      </c>
      <c r="B120" s="1" t="n">
        <v>45824</v>
      </c>
      <c r="C120" s="1" t="n">
        <v>46030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45247-2025</t>
        </is>
      </c>
      <c r="B121" s="1" t="n">
        <v>45919.60940972222</v>
      </c>
      <c r="C121" s="1" t="n">
        <v>46030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46030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29485-2025</t>
        </is>
      </c>
      <c r="B123" s="1" t="n">
        <v>45824.74728009259</v>
      </c>
      <c r="C123" s="1" t="n">
        <v>46030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70783-2021</t>
        </is>
      </c>
      <c r="B124" s="1" t="n">
        <v>44537</v>
      </c>
      <c r="C124" s="1" t="n">
        <v>46030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29486-2025</t>
        </is>
      </c>
      <c r="B125" s="1" t="n">
        <v>45824.75438657407</v>
      </c>
      <c r="C125" s="1" t="n">
        <v>46030</v>
      </c>
      <c r="D125" t="inlineStr">
        <is>
          <t>VÄSTRA GÖTALANDS LÄN</t>
        </is>
      </c>
      <c r="E125" t="inlineStr">
        <is>
          <t>KARLSBORG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44985-2024</t>
        </is>
      </c>
      <c r="B126" s="1" t="n">
        <v>45575.47465277778</v>
      </c>
      <c r="C126" s="1" t="n">
        <v>46030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53439-2025</t>
        </is>
      </c>
      <c r="B127" s="1" t="n">
        <v>45959</v>
      </c>
      <c r="C127" s="1" t="n">
        <v>46030</v>
      </c>
      <c r="D127" t="inlineStr">
        <is>
          <t>VÄSTRA GÖTALANDS LÄN</t>
        </is>
      </c>
      <c r="E127" t="inlineStr">
        <is>
          <t>KARLSBORG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57235-2022</t>
        </is>
      </c>
      <c r="B128" s="1" t="n">
        <v>44895.67813657408</v>
      </c>
      <c r="C128" s="1" t="n">
        <v>46030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30676-2025</t>
        </is>
      </c>
      <c r="B129" s="1" t="n">
        <v>45831.52273148148</v>
      </c>
      <c r="C129" s="1" t="n">
        <v>46030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30772-2025</t>
        </is>
      </c>
      <c r="B130" s="1" t="n">
        <v>45831.61435185185</v>
      </c>
      <c r="C130" s="1" t="n">
        <v>46030</v>
      </c>
      <c r="D130" t="inlineStr">
        <is>
          <t>VÄSTRA GÖTALANDS LÄN</t>
        </is>
      </c>
      <c r="E130" t="inlineStr">
        <is>
          <t>KARLSBORG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8052-2023</t>
        </is>
      </c>
      <c r="B131" s="1" t="n">
        <v>44974</v>
      </c>
      <c r="C131" s="1" t="n">
        <v>46030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8053-2023</t>
        </is>
      </c>
      <c r="B132" s="1" t="n">
        <v>44974</v>
      </c>
      <c r="C132" s="1" t="n">
        <v>46030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46030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2796-2023</t>
        </is>
      </c>
      <c r="B134" s="1" t="n">
        <v>44944.70200231481</v>
      </c>
      <c r="C134" s="1" t="n">
        <v>46030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31538-2025</t>
        </is>
      </c>
      <c r="B135" s="1" t="n">
        <v>45833.6284375</v>
      </c>
      <c r="C135" s="1" t="n">
        <v>46030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31440-2025</t>
        </is>
      </c>
      <c r="B136" s="1" t="n">
        <v>45833.51048611111</v>
      </c>
      <c r="C136" s="1" t="n">
        <v>46030</v>
      </c>
      <c r="D136" t="inlineStr">
        <is>
          <t>VÄSTRA GÖTALANDS LÄN</t>
        </is>
      </c>
      <c r="E136" t="inlineStr">
        <is>
          <t>KARLSBORG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40129-2023</t>
        </is>
      </c>
      <c r="B137" s="1" t="n">
        <v>45169</v>
      </c>
      <c r="C137" s="1" t="n">
        <v>46030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31444-2025</t>
        </is>
      </c>
      <c r="B138" s="1" t="n">
        <v>45833.51385416667</v>
      </c>
      <c r="C138" s="1" t="n">
        <v>46030</v>
      </c>
      <c r="D138" t="inlineStr">
        <is>
          <t>VÄSTRA GÖTALANDS LÄN</t>
        </is>
      </c>
      <c r="E138" t="inlineStr">
        <is>
          <t>KARLSBORG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43021-2021</t>
        </is>
      </c>
      <c r="B139" s="1" t="n">
        <v>44431.48305555555</v>
      </c>
      <c r="C139" s="1" t="n">
        <v>46030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48175-2024</t>
        </is>
      </c>
      <c r="B140" s="1" t="n">
        <v>45589.8465162037</v>
      </c>
      <c r="C140" s="1" t="n">
        <v>46030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46030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47265-2025</t>
        </is>
      </c>
      <c r="B142" s="1" t="n">
        <v>45930.45715277778</v>
      </c>
      <c r="C142" s="1" t="n">
        <v>46030</v>
      </c>
      <c r="D142" t="inlineStr">
        <is>
          <t>VÄSTRA GÖTALANDS LÄN</t>
        </is>
      </c>
      <c r="E142" t="inlineStr">
        <is>
          <t>KARLSBORG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59401-2022</t>
        </is>
      </c>
      <c r="B143" s="1" t="n">
        <v>44906.90962962963</v>
      </c>
      <c r="C143" s="1" t="n">
        <v>46030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31770-2025</t>
        </is>
      </c>
      <c r="B144" s="1" t="n">
        <v>45834.50756944445</v>
      </c>
      <c r="C144" s="1" t="n">
        <v>46030</v>
      </c>
      <c r="D144" t="inlineStr">
        <is>
          <t>VÄSTRA GÖTALANDS LÄN</t>
        </is>
      </c>
      <c r="E144" t="inlineStr">
        <is>
          <t>KARLSBORG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47262-2025</t>
        </is>
      </c>
      <c r="B145" s="1" t="n">
        <v>45930.45395833333</v>
      </c>
      <c r="C145" s="1" t="n">
        <v>46030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32128-2025</t>
        </is>
      </c>
      <c r="B146" s="1" t="n">
        <v>45835.50236111111</v>
      </c>
      <c r="C146" s="1" t="n">
        <v>46030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31701-2025</t>
        </is>
      </c>
      <c r="B147" s="1" t="n">
        <v>45834</v>
      </c>
      <c r="C147" s="1" t="n">
        <v>46030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18868-2025</t>
        </is>
      </c>
      <c r="B148" s="1" t="n">
        <v>45764.43010416667</v>
      </c>
      <c r="C148" s="1" t="n">
        <v>46030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18623-2022</t>
        </is>
      </c>
      <c r="B149" s="1" t="n">
        <v>44687.44261574074</v>
      </c>
      <c r="C149" s="1" t="n">
        <v>46030</v>
      </c>
      <c r="D149" t="inlineStr">
        <is>
          <t>VÄSTRA GÖTALANDS LÄN</t>
        </is>
      </c>
      <c r="E149" t="inlineStr">
        <is>
          <t>KARLSBORG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48129-2025</t>
        </is>
      </c>
      <c r="B150" s="1" t="n">
        <v>45933.36778935185</v>
      </c>
      <c r="C150" s="1" t="n">
        <v>46030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48386-2025</t>
        </is>
      </c>
      <c r="B151" s="1" t="n">
        <v>45933.85197916667</v>
      </c>
      <c r="C151" s="1" t="n">
        <v>46030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48385-2025</t>
        </is>
      </c>
      <c r="B152" s="1" t="n">
        <v>45933.84990740741</v>
      </c>
      <c r="C152" s="1" t="n">
        <v>46030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49864-2025</t>
        </is>
      </c>
      <c r="B153" s="1" t="n">
        <v>45940.52149305555</v>
      </c>
      <c r="C153" s="1" t="n">
        <v>46030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46030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49985-2025</t>
        </is>
      </c>
      <c r="B155" s="1" t="n">
        <v>45942.7809837963</v>
      </c>
      <c r="C155" s="1" t="n">
        <v>46030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9788-2025</t>
        </is>
      </c>
      <c r="B156" s="1" t="n">
        <v>45716.54331018519</v>
      </c>
      <c r="C156" s="1" t="n">
        <v>46030</v>
      </c>
      <c r="D156" t="inlineStr">
        <is>
          <t>VÄSTRA GÖTALANDS LÄN</t>
        </is>
      </c>
      <c r="E156" t="inlineStr">
        <is>
          <t>KARLSBORG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49866-2025</t>
        </is>
      </c>
      <c r="B157" s="1" t="n">
        <v>45940.53121527778</v>
      </c>
      <c r="C157" s="1" t="n">
        <v>46030</v>
      </c>
      <c r="D157" t="inlineStr">
        <is>
          <t>VÄSTRA GÖTALANDS LÄN</t>
        </is>
      </c>
      <c r="E157" t="inlineStr">
        <is>
          <t>KARLSBORG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18248-2025</t>
        </is>
      </c>
      <c r="B158" s="1" t="n">
        <v>45761</v>
      </c>
      <c r="C158" s="1" t="n">
        <v>46030</v>
      </c>
      <c r="D158" t="inlineStr">
        <is>
          <t>VÄSTRA GÖTALANDS LÄN</t>
        </is>
      </c>
      <c r="E158" t="inlineStr">
        <is>
          <t>KARLSBORG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1454-2023</t>
        </is>
      </c>
      <c r="B159" s="1" t="n">
        <v>44937</v>
      </c>
      <c r="C159" s="1" t="n">
        <v>46030</v>
      </c>
      <c r="D159" t="inlineStr">
        <is>
          <t>VÄSTRA GÖTALANDS LÄN</t>
        </is>
      </c>
      <c r="E159" t="inlineStr">
        <is>
          <t>KARLSBORG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61559-2023</t>
        </is>
      </c>
      <c r="B160" s="1" t="n">
        <v>45265</v>
      </c>
      <c r="C160" s="1" t="n">
        <v>46030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59111-2025</t>
        </is>
      </c>
      <c r="B161" s="1" t="n">
        <v>45988.48037037037</v>
      </c>
      <c r="C161" s="1" t="n">
        <v>46030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42710-2024</t>
        </is>
      </c>
      <c r="B162" s="1" t="n">
        <v>45566.44601851852</v>
      </c>
      <c r="C162" s="1" t="n">
        <v>46030</v>
      </c>
      <c r="D162" t="inlineStr">
        <is>
          <t>VÄSTRA GÖTALANDS LÄN</t>
        </is>
      </c>
      <c r="E162" t="inlineStr">
        <is>
          <t>KARLSBORG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53251-2024</t>
        </is>
      </c>
      <c r="B163" s="1" t="n">
        <v>45614.3022337963</v>
      </c>
      <c r="C163" s="1" t="n">
        <v>46030</v>
      </c>
      <c r="D163" t="inlineStr">
        <is>
          <t>VÄSTRA GÖTALANDS LÄN</t>
        </is>
      </c>
      <c r="E163" t="inlineStr">
        <is>
          <t>KARLSBORG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35929-2025</t>
        </is>
      </c>
      <c r="B164" s="1" t="n">
        <v>45862.61262731482</v>
      </c>
      <c r="C164" s="1" t="n">
        <v>46030</v>
      </c>
      <c r="D164" t="inlineStr">
        <is>
          <t>VÄSTRA GÖTALANDS LÄN</t>
        </is>
      </c>
      <c r="E164" t="inlineStr">
        <is>
          <t>KARLSBORG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34314-2024</t>
        </is>
      </c>
      <c r="B165" s="1" t="n">
        <v>45524</v>
      </c>
      <c r="C165" s="1" t="n">
        <v>46030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35930-2025</t>
        </is>
      </c>
      <c r="B166" s="1" t="n">
        <v>45862</v>
      </c>
      <c r="C166" s="1" t="n">
        <v>46030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41684-2023</t>
        </is>
      </c>
      <c r="B167" s="1" t="n">
        <v>45176.35422453703</v>
      </c>
      <c r="C167" s="1" t="n">
        <v>46030</v>
      </c>
      <c r="D167" t="inlineStr">
        <is>
          <t>VÄSTRA GÖTALANDS LÄN</t>
        </is>
      </c>
      <c r="E167" t="inlineStr">
        <is>
          <t>KARLSBORG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18083-2024</t>
        </is>
      </c>
      <c r="B168" s="1" t="n">
        <v>45420.44768518519</v>
      </c>
      <c r="C168" s="1" t="n">
        <v>46030</v>
      </c>
      <c r="D168" t="inlineStr">
        <is>
          <t>VÄSTRA GÖTALANDS LÄN</t>
        </is>
      </c>
      <c r="E168" t="inlineStr">
        <is>
          <t>KARLSBORG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59697-2025</t>
        </is>
      </c>
      <c r="B169" s="1" t="n">
        <v>45992.49255787037</v>
      </c>
      <c r="C169" s="1" t="n">
        <v>46030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37036-2025</t>
        </is>
      </c>
      <c r="B170" s="1" t="n">
        <v>45875</v>
      </c>
      <c r="C170" s="1" t="n">
        <v>46030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16796-2021</t>
        </is>
      </c>
      <c r="B171" s="1" t="n">
        <v>44295</v>
      </c>
      <c r="C171" s="1" t="n">
        <v>46030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2791-2023</t>
        </is>
      </c>
      <c r="B172" s="1" t="n">
        <v>44944.67371527778</v>
      </c>
      <c r="C172" s="1" t="n">
        <v>46030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10828-2024</t>
        </is>
      </c>
      <c r="B173" s="1" t="n">
        <v>45369.69503472222</v>
      </c>
      <c r="C173" s="1" t="n">
        <v>46030</v>
      </c>
      <c r="D173" t="inlineStr">
        <is>
          <t>VÄSTRA GÖTALANDS LÄN</t>
        </is>
      </c>
      <c r="E173" t="inlineStr">
        <is>
          <t>KARLSBORG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46030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26914-2024</t>
        </is>
      </c>
      <c r="B175" s="1" t="n">
        <v>45470.79201388889</v>
      </c>
      <c r="C175" s="1" t="n">
        <v>46030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34670-2022</t>
        </is>
      </c>
      <c r="B176" s="1" t="n">
        <v>44795.48201388889</v>
      </c>
      <c r="C176" s="1" t="n">
        <v>46030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60877-2025</t>
        </is>
      </c>
      <c r="B177" s="1" t="n">
        <v>45999.55611111111</v>
      </c>
      <c r="C177" s="1" t="n">
        <v>46030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22960-2025</t>
        </is>
      </c>
      <c r="B178" s="1" t="n">
        <v>45790.53807870371</v>
      </c>
      <c r="C178" s="1" t="n">
        <v>46030</v>
      </c>
      <c r="D178" t="inlineStr">
        <is>
          <t>VÄSTRA GÖTALANDS LÄN</t>
        </is>
      </c>
      <c r="E178" t="inlineStr">
        <is>
          <t>KARLSBORG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60878-2025</t>
        </is>
      </c>
      <c r="B179" s="1" t="n">
        <v>45999.55688657407</v>
      </c>
      <c r="C179" s="1" t="n">
        <v>46030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25999-2023</t>
        </is>
      </c>
      <c r="B180" s="1" t="n">
        <v>45090.93861111111</v>
      </c>
      <c r="C180" s="1" t="n">
        <v>46030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41937-2024</t>
        </is>
      </c>
      <c r="B181" s="1" t="n">
        <v>45561.57283564815</v>
      </c>
      <c r="C181" s="1" t="n">
        <v>46030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5402-2022</t>
        </is>
      </c>
      <c r="B182" s="1" t="n">
        <v>44595</v>
      </c>
      <c r="C182" s="1" t="n">
        <v>46030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17002-2025</t>
        </is>
      </c>
      <c r="B183" s="1" t="n">
        <v>45755</v>
      </c>
      <c r="C183" s="1" t="n">
        <v>46030</v>
      </c>
      <c r="D183" t="inlineStr">
        <is>
          <t>VÄSTRA GÖTALANDS LÄN</t>
        </is>
      </c>
      <c r="E183" t="inlineStr">
        <is>
          <t>KARLSBORG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53647-2025</t>
        </is>
      </c>
      <c r="B184" s="1" t="n">
        <v>45960.52046296297</v>
      </c>
      <c r="C184" s="1" t="n">
        <v>46030</v>
      </c>
      <c r="D184" t="inlineStr">
        <is>
          <t>VÄSTRA GÖTALANDS LÄN</t>
        </is>
      </c>
      <c r="E184" t="inlineStr">
        <is>
          <t>KARLSBORG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53645-2025</t>
        </is>
      </c>
      <c r="B185" s="1" t="n">
        <v>45960.51917824074</v>
      </c>
      <c r="C185" s="1" t="n">
        <v>46030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54454-2025</t>
        </is>
      </c>
      <c r="B186" s="1" t="n">
        <v>45965.55086805556</v>
      </c>
      <c r="C186" s="1" t="n">
        <v>46030</v>
      </c>
      <c r="D186" t="inlineStr">
        <is>
          <t>VÄSTRA GÖTALANDS LÄN</t>
        </is>
      </c>
      <c r="E186" t="inlineStr">
        <is>
          <t>KARLSBORG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62068-2025</t>
        </is>
      </c>
      <c r="B187" s="1" t="n">
        <v>46006.35954861111</v>
      </c>
      <c r="C187" s="1" t="n">
        <v>46030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24594-2022</t>
        </is>
      </c>
      <c r="B188" s="1" t="n">
        <v>44727.4684837963</v>
      </c>
      <c r="C188" s="1" t="n">
        <v>46030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54444-2023</t>
        </is>
      </c>
      <c r="B189" s="1" t="n">
        <v>45233.4384375</v>
      </c>
      <c r="C189" s="1" t="n">
        <v>46030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62072-2025</t>
        </is>
      </c>
      <c r="B190" s="1" t="n">
        <v>46006.36180555556</v>
      </c>
      <c r="C190" s="1" t="n">
        <v>46030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42778-2024</t>
        </is>
      </c>
      <c r="B191" s="1" t="n">
        <v>45566.52706018519</v>
      </c>
      <c r="C191" s="1" t="n">
        <v>46030</v>
      </c>
      <c r="D191" t="inlineStr">
        <is>
          <t>VÄSTRA GÖTALANDS LÄN</t>
        </is>
      </c>
      <c r="E191" t="inlineStr">
        <is>
          <t>KARLSBORG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30136-2024</t>
        </is>
      </c>
      <c r="B192" s="1" t="n">
        <v>45489.56859953704</v>
      </c>
      <c r="C192" s="1" t="n">
        <v>46030</v>
      </c>
      <c r="D192" t="inlineStr">
        <is>
          <t>VÄSTRA GÖTALANDS LÄN</t>
        </is>
      </c>
      <c r="E192" t="inlineStr">
        <is>
          <t>KARLSBORG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14738-2025</t>
        </is>
      </c>
      <c r="B193" s="1" t="n">
        <v>45742.64620370371</v>
      </c>
      <c r="C193" s="1" t="n">
        <v>46030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65313-2021</t>
        </is>
      </c>
      <c r="B194" s="1" t="n">
        <v>44515.62417824074</v>
      </c>
      <c r="C194" s="1" t="n">
        <v>46030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16918-2025</t>
        </is>
      </c>
      <c r="B195" s="1" t="n">
        <v>45755.37185185185</v>
      </c>
      <c r="C195" s="1" t="n">
        <v>46030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26017-2023</t>
        </is>
      </c>
      <c r="B196" s="1" t="n">
        <v>45090.95387731482</v>
      </c>
      <c r="C196" s="1" t="n">
        <v>46030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50985-2023</t>
        </is>
      </c>
      <c r="B197" s="1" t="n">
        <v>45218.53603009259</v>
      </c>
      <c r="C197" s="1" t="n">
        <v>46030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12208-2021</t>
        </is>
      </c>
      <c r="B198" s="1" t="n">
        <v>44266.65693287037</v>
      </c>
      <c r="C198" s="1" t="n">
        <v>46030</v>
      </c>
      <c r="D198" t="inlineStr">
        <is>
          <t>VÄSTRA GÖTALANDS LÄN</t>
        </is>
      </c>
      <c r="E198" t="inlineStr">
        <is>
          <t>KARLSBORG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46030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41689-2023</t>
        </is>
      </c>
      <c r="B200" s="1" t="n">
        <v>45176</v>
      </c>
      <c r="C200" s="1" t="n">
        <v>46030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57915-2024</t>
        </is>
      </c>
      <c r="B201" s="1" t="n">
        <v>45631.49766203704</v>
      </c>
      <c r="C201" s="1" t="n">
        <v>46030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41943-2024</t>
        </is>
      </c>
      <c r="B202" s="1" t="n">
        <v>45561.57412037037</v>
      </c>
      <c r="C202" s="1" t="n">
        <v>46030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13252-2024</t>
        </is>
      </c>
      <c r="B203" s="1" t="n">
        <v>45386.57976851852</v>
      </c>
      <c r="C203" s="1" t="n">
        <v>46030</v>
      </c>
      <c r="D203" t="inlineStr">
        <is>
          <t>VÄSTRA GÖTALANDS LÄN</t>
        </is>
      </c>
      <c r="E203" t="inlineStr">
        <is>
          <t>KARLSBORG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59045-2023</t>
        </is>
      </c>
      <c r="B204" s="1" t="n">
        <v>45252.7372800926</v>
      </c>
      <c r="C204" s="1" t="n">
        <v>46030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59399-2022</t>
        </is>
      </c>
      <c r="B205" s="1" t="n">
        <v>44906.89612268518</v>
      </c>
      <c r="C205" s="1" t="n">
        <v>46030</v>
      </c>
      <c r="D205" t="inlineStr">
        <is>
          <t>VÄSTRA GÖTALANDS LÄN</t>
        </is>
      </c>
      <c r="E205" t="inlineStr">
        <is>
          <t>KARLSBORG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48888-2023</t>
        </is>
      </c>
      <c r="B206" s="1" t="n">
        <v>45209</v>
      </c>
      <c r="C206" s="1" t="n">
        <v>46030</v>
      </c>
      <c r="D206" t="inlineStr">
        <is>
          <t>VÄSTRA GÖTALANDS LÄN</t>
        </is>
      </c>
      <c r="E206" t="inlineStr">
        <is>
          <t>KARLSBORG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48174-2024</t>
        </is>
      </c>
      <c r="B207" s="1" t="n">
        <v>45589.84282407408</v>
      </c>
      <c r="C207" s="1" t="n">
        <v>46030</v>
      </c>
      <c r="D207" t="inlineStr">
        <is>
          <t>VÄSTRA GÖTALANDS LÄN</t>
        </is>
      </c>
      <c r="E207" t="inlineStr">
        <is>
          <t>KARLSBORG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7652-2023</t>
        </is>
      </c>
      <c r="B208" s="1" t="n">
        <v>44972</v>
      </c>
      <c r="C208" s="1" t="n">
        <v>46030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23500-2023</t>
        </is>
      </c>
      <c r="B209" s="1" t="n">
        <v>45076</v>
      </c>
      <c r="C209" s="1" t="n">
        <v>46030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61542-2023</t>
        </is>
      </c>
      <c r="B210" s="1" t="n">
        <v>45265</v>
      </c>
      <c r="C210" s="1" t="n">
        <v>46030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21978-2021</t>
        </is>
      </c>
      <c r="B211" s="1" t="n">
        <v>44323</v>
      </c>
      <c r="C211" s="1" t="n">
        <v>46030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42661-2021</t>
        </is>
      </c>
      <c r="B212" s="1" t="n">
        <v>44428</v>
      </c>
      <c r="C212" s="1" t="n">
        <v>46030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9337-2025</t>
        </is>
      </c>
      <c r="B213" s="1" t="n">
        <v>45714</v>
      </c>
      <c r="C213" s="1" t="n">
        <v>46030</v>
      </c>
      <c r="D213" t="inlineStr">
        <is>
          <t>VÄSTRA GÖTALANDS LÄN</t>
        </is>
      </c>
      <c r="E213" t="inlineStr">
        <is>
          <t>KARLSBORG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58533-2023</t>
        </is>
      </c>
      <c r="B214" s="1" t="n">
        <v>45251</v>
      </c>
      <c r="C214" s="1" t="n">
        <v>46030</v>
      </c>
      <c r="D214" t="inlineStr">
        <is>
          <t>VÄSTRA GÖTALANDS LÄN</t>
        </is>
      </c>
      <c r="E214" t="inlineStr">
        <is>
          <t>KARLSBORG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58152-2022</t>
        </is>
      </c>
      <c r="B215" s="1" t="n">
        <v>44900</v>
      </c>
      <c r="C215" s="1" t="n">
        <v>46030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37363-2022</t>
        </is>
      </c>
      <c r="B216" s="1" t="n">
        <v>44809</v>
      </c>
      <c r="C216" s="1" t="n">
        <v>46030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29357-2024</t>
        </is>
      </c>
      <c r="B217" s="1" t="n">
        <v>45483</v>
      </c>
      <c r="C217" s="1" t="n">
        <v>46030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10007-2025</t>
        </is>
      </c>
      <c r="B218" s="1" t="n">
        <v>45719.45627314815</v>
      </c>
      <c r="C218" s="1" t="n">
        <v>46030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53247-2023</t>
        </is>
      </c>
      <c r="B219" s="1" t="n">
        <v>45229.50737268518</v>
      </c>
      <c r="C219" s="1" t="n">
        <v>46030</v>
      </c>
      <c r="D219" t="inlineStr">
        <is>
          <t>VÄSTRA GÖTALANDS LÄN</t>
        </is>
      </c>
      <c r="E219" t="inlineStr">
        <is>
          <t>KARLSBORG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412-2023</t>
        </is>
      </c>
      <c r="B220" s="1" t="n">
        <v>44929</v>
      </c>
      <c r="C220" s="1" t="n">
        <v>46030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T220">
        <f>HYPERLINK("https://klasma.github.io/Logging_1446/kartor/A 412-2023 karta.png", "A 412-2023")</f>
        <v/>
      </c>
      <c r="V220">
        <f>HYPERLINK("https://klasma.github.io/Logging_1446/klagomål/A 412-2023 FSC-klagomål.docx", "A 412-2023")</f>
        <v/>
      </c>
      <c r="W220">
        <f>HYPERLINK("https://klasma.github.io/Logging_1446/klagomålsmail/A 412-2023 FSC-klagomål mail.docx", "A 412-2023")</f>
        <v/>
      </c>
      <c r="X220">
        <f>HYPERLINK("https://klasma.github.io/Logging_1446/tillsyn/A 412-2023 tillsynsbegäran.docx", "A 412-2023")</f>
        <v/>
      </c>
      <c r="Y220">
        <f>HYPERLINK("https://klasma.github.io/Logging_1446/tillsynsmail/A 412-2023 tillsynsbegäran mail.docx", "A 412-2023")</f>
        <v/>
      </c>
    </row>
    <row r="221" ht="15" customHeight="1">
      <c r="A221" t="inlineStr">
        <is>
          <t>A 54623-2024</t>
        </is>
      </c>
      <c r="B221" s="1" t="n">
        <v>45617.76770833333</v>
      </c>
      <c r="C221" s="1" t="n">
        <v>46030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43709-2024</t>
        </is>
      </c>
      <c r="B222" s="1" t="n">
        <v>45569</v>
      </c>
      <c r="C222" s="1" t="n">
        <v>46030</v>
      </c>
      <c r="D222" t="inlineStr">
        <is>
          <t>VÄSTRA GÖTALANDS LÄN</t>
        </is>
      </c>
      <c r="E222" t="inlineStr">
        <is>
          <t>KARLSBORG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29685-2022</t>
        </is>
      </c>
      <c r="B223" s="1" t="n">
        <v>44755.30305555555</v>
      </c>
      <c r="C223" s="1" t="n">
        <v>46030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59712-2021</t>
        </is>
      </c>
      <c r="B224" s="1" t="n">
        <v>44494</v>
      </c>
      <c r="C224" s="1" t="n">
        <v>46030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56545-2023</t>
        </is>
      </c>
      <c r="B225" s="1" t="n">
        <v>45243.58105324074</v>
      </c>
      <c r="C225" s="1" t="n">
        <v>46030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61211-2022</t>
        </is>
      </c>
      <c r="B226" s="1" t="n">
        <v>44908</v>
      </c>
      <c r="C226" s="1" t="n">
        <v>46030</v>
      </c>
      <c r="D226" t="inlineStr">
        <is>
          <t>VÄSTRA GÖTALANDS LÄN</t>
        </is>
      </c>
      <c r="E226" t="inlineStr">
        <is>
          <t>KARLSBORG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57913-2024</t>
        </is>
      </c>
      <c r="B227" s="1" t="n">
        <v>45631.49569444444</v>
      </c>
      <c r="C227" s="1" t="n">
        <v>46030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7977-2025</t>
        </is>
      </c>
      <c r="B228" s="1" t="n">
        <v>45707.46462962963</v>
      </c>
      <c r="C228" s="1" t="n">
        <v>46030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46030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46030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38103-2023</t>
        </is>
      </c>
      <c r="B231" s="1" t="n">
        <v>45161</v>
      </c>
      <c r="C231" s="1" t="n">
        <v>46030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58129-2024</t>
        </is>
      </c>
      <c r="B232" s="1" t="n">
        <v>45632.40585648148</v>
      </c>
      <c r="C232" s="1" t="n">
        <v>46030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13010-2025</t>
        </is>
      </c>
      <c r="B233" s="1" t="n">
        <v>45734.52155092593</v>
      </c>
      <c r="C233" s="1" t="n">
        <v>46030</v>
      </c>
      <c r="D233" t="inlineStr">
        <is>
          <t>VÄSTRA GÖTALANDS LÄN</t>
        </is>
      </c>
      <c r="E233" t="inlineStr">
        <is>
          <t>KARLSBORG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14522-2024</t>
        </is>
      </c>
      <c r="B234" s="1" t="n">
        <v>45394.62971064815</v>
      </c>
      <c r="C234" s="1" t="n">
        <v>46030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6463-2025</t>
        </is>
      </c>
      <c r="B235" s="1" t="n">
        <v>45699.56878472222</v>
      </c>
      <c r="C235" s="1" t="n">
        <v>46030</v>
      </c>
      <c r="D235" t="inlineStr">
        <is>
          <t>VÄSTRA GÖTALANDS LÄN</t>
        </is>
      </c>
      <c r="E235" t="inlineStr">
        <is>
          <t>KARLSBORG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48884-2023</t>
        </is>
      </c>
      <c r="B236" s="1" t="n">
        <v>45209</v>
      </c>
      <c r="C236" s="1" t="n">
        <v>46030</v>
      </c>
      <c r="D236" t="inlineStr">
        <is>
          <t>VÄSTRA GÖTALANDS LÄN</t>
        </is>
      </c>
      <c r="E236" t="inlineStr">
        <is>
          <t>KARLSBORG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59890-2021</t>
        </is>
      </c>
      <c r="B237" s="1" t="n">
        <v>44494</v>
      </c>
      <c r="C237" s="1" t="n">
        <v>46030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46030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36820-2022</t>
        </is>
      </c>
      <c r="B239" s="1" t="n">
        <v>44805.55697916666</v>
      </c>
      <c r="C239" s="1" t="n">
        <v>46030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69341-2021</t>
        </is>
      </c>
      <c r="B240" s="1" t="n">
        <v>44531</v>
      </c>
      <c r="C240" s="1" t="n">
        <v>46030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45089.98043981481</v>
      </c>
      <c r="C241" s="1" t="n">
        <v>46030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34125-2024</t>
        </is>
      </c>
      <c r="B242" s="1" t="n">
        <v>45524.31809027777</v>
      </c>
      <c r="C242" s="1" t="n">
        <v>46030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46030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59877-2021</t>
        </is>
      </c>
      <c r="B244" s="1" t="n">
        <v>44494</v>
      </c>
      <c r="C244" s="1" t="n">
        <v>46030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8990-2025</t>
        </is>
      </c>
      <c r="B245" s="1" t="n">
        <v>45713.54516203704</v>
      </c>
      <c r="C245" s="1" t="n">
        <v>46030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27823-2023</t>
        </is>
      </c>
      <c r="B246" s="1" t="n">
        <v>45098.5205787037</v>
      </c>
      <c r="C246" s="1" t="n">
        <v>46030</v>
      </c>
      <c r="D246" t="inlineStr">
        <is>
          <t>VÄSTRA GÖTALANDS LÄN</t>
        </is>
      </c>
      <c r="E246" t="inlineStr">
        <is>
          <t>KARLSBORG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53898-2023</t>
        </is>
      </c>
      <c r="B247" s="1" t="n">
        <v>45231.54010416667</v>
      </c>
      <c r="C247" s="1" t="n">
        <v>46030</v>
      </c>
      <c r="D247" t="inlineStr">
        <is>
          <t>VÄSTRA GÖTALANDS LÄN</t>
        </is>
      </c>
      <c r="E247" t="inlineStr">
        <is>
          <t>KARLSBORG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45019-2024</t>
        </is>
      </c>
      <c r="B248" s="1" t="n">
        <v>45575.49673611111</v>
      </c>
      <c r="C248" s="1" t="n">
        <v>46030</v>
      </c>
      <c r="D248" t="inlineStr">
        <is>
          <t>VÄSTRA GÖTALANDS LÄN</t>
        </is>
      </c>
      <c r="E248" t="inlineStr">
        <is>
          <t>KARLSBORG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24008-2023</t>
        </is>
      </c>
      <c r="B249" s="1" t="n">
        <v>45078.67081018518</v>
      </c>
      <c r="C249" s="1" t="n">
        <v>46030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46030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13659-2024</t>
        </is>
      </c>
      <c r="B251" s="1" t="n">
        <v>45390.48613425926</v>
      </c>
      <c r="C251" s="1" t="n">
        <v>46030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58573-2023</t>
        </is>
      </c>
      <c r="B252" s="1" t="n">
        <v>45251</v>
      </c>
      <c r="C252" s="1" t="n">
        <v>46030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37383-2022</t>
        </is>
      </c>
      <c r="B253" s="1" t="n">
        <v>44809.40762731482</v>
      </c>
      <c r="C253" s="1" t="n">
        <v>46030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56495-2023</t>
        </is>
      </c>
      <c r="B254" s="1" t="n">
        <v>45243.52725694444</v>
      </c>
      <c r="C254" s="1" t="n">
        <v>46030</v>
      </c>
      <c r="D254" t="inlineStr">
        <is>
          <t>VÄSTRA GÖTALANDS LÄN</t>
        </is>
      </c>
      <c r="E254" t="inlineStr">
        <is>
          <t>KARLSBORG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26467-2021</t>
        </is>
      </c>
      <c r="B255" s="1" t="n">
        <v>44348.39732638889</v>
      </c>
      <c r="C255" s="1" t="n">
        <v>46030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53909-2023</t>
        </is>
      </c>
      <c r="B256" s="1" t="n">
        <v>45231.55700231482</v>
      </c>
      <c r="C256" s="1" t="n">
        <v>46030</v>
      </c>
      <c r="D256" t="inlineStr">
        <is>
          <t>VÄSTRA GÖTALANDS LÄN</t>
        </is>
      </c>
      <c r="E256" t="inlineStr">
        <is>
          <t>KARLSBORG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37519-2024</t>
        </is>
      </c>
      <c r="B257" s="1" t="n">
        <v>45541.39113425926</v>
      </c>
      <c r="C257" s="1" t="n">
        <v>46030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2100-2023</t>
        </is>
      </c>
      <c r="B258" s="1" t="n">
        <v>44939.71349537037</v>
      </c>
      <c r="C258" s="1" t="n">
        <v>46030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17908-2025</t>
        </is>
      </c>
      <c r="B259" s="1" t="n">
        <v>45758.73297453704</v>
      </c>
      <c r="C259" s="1" t="n">
        <v>46030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42598-2024</t>
        </is>
      </c>
      <c r="B260" s="1" t="n">
        <v>45565.70193287037</v>
      </c>
      <c r="C260" s="1" t="n">
        <v>46030</v>
      </c>
      <c r="D260" t="inlineStr">
        <is>
          <t>VÄSTRA GÖTALANDS LÄN</t>
        </is>
      </c>
      <c r="E260" t="inlineStr">
        <is>
          <t>KARLSBORG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40128-2023</t>
        </is>
      </c>
      <c r="B261" s="1" t="n">
        <v>45169</v>
      </c>
      <c r="C261" s="1" t="n">
        <v>46030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15656-2024</t>
        </is>
      </c>
      <c r="B262" s="1" t="n">
        <v>45404</v>
      </c>
      <c r="C262" s="1" t="n">
        <v>46030</v>
      </c>
      <c r="D262" t="inlineStr">
        <is>
          <t>VÄSTRA GÖTALANDS LÄN</t>
        </is>
      </c>
      <c r="E262" t="inlineStr">
        <is>
          <t>KARLSBORG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42724-2024</t>
        </is>
      </c>
      <c r="B263" s="1" t="n">
        <v>45566.46574074074</v>
      </c>
      <c r="C263" s="1" t="n">
        <v>46030</v>
      </c>
      <c r="D263" t="inlineStr">
        <is>
          <t>VÄSTRA GÖTALANDS LÄN</t>
        </is>
      </c>
      <c r="E263" t="inlineStr">
        <is>
          <t>KARLSBORG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15958-2022</t>
        </is>
      </c>
      <c r="B264" s="1" t="n">
        <v>44664.84104166667</v>
      </c>
      <c r="C264" s="1" t="n">
        <v>46030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20564-2024</t>
        </is>
      </c>
      <c r="B265" s="1" t="n">
        <v>45436</v>
      </c>
      <c r="C265" s="1" t="n">
        <v>46030</v>
      </c>
      <c r="D265" t="inlineStr">
        <is>
          <t>VÄSTRA GÖTALANDS LÄN</t>
        </is>
      </c>
      <c r="E265" t="inlineStr">
        <is>
          <t>KARLSBORG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53898-2021</t>
        </is>
      </c>
      <c r="B266" s="1" t="n">
        <v>44469.70724537037</v>
      </c>
      <c r="C266" s="1" t="n">
        <v>46030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45224-2021</t>
        </is>
      </c>
      <c r="B267" s="1" t="n">
        <v>44439.5778587963</v>
      </c>
      <c r="C267" s="1" t="n">
        <v>46030</v>
      </c>
      <c r="D267" t="inlineStr">
        <is>
          <t>VÄSTRA GÖTALANDS LÄN</t>
        </is>
      </c>
      <c r="E267" t="inlineStr">
        <is>
          <t>KARLSBORG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2026-01-08T10:48:26Z</dcterms:created>
  <dcterms:modified xmlns:dcterms="http://purl.org/dc/terms/" xmlns:xsi="http://www.w3.org/2001/XMLSchema-instance" xsi:type="dcterms:W3CDTF">2026-01-08T10:48:26Z</dcterms:modified>
</cp:coreProperties>
</file>