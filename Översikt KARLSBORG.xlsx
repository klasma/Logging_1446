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25327-2026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46176</v>
      </c>
      <c r="E2" s="1" t="n">
        <v>46324</v>
      </c>
      <c r="F2" t="inlineStr">
        <is>
          <t>VÄSTRA GÖTALANDS LÄN</t>
        </is>
      </c>
      <c r="G2" t="inlineStr">
        <is>
          <t>KARLSBORG</t>
        </is>
      </c>
      <c r="I2" t="n">
        <v>6.3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0</v>
      </c>
      <c r="Q2" t="n">
        <v>4</v>
      </c>
      <c r="R2" t="n">
        <v>0</v>
      </c>
      <c r="S2" t="n">
        <v>10</v>
      </c>
      <c r="T2" t="n">
        <v>20</v>
      </c>
      <c r="U2" t="n">
        <v>20</v>
      </c>
      <c r="V2" s="2" t="inlineStr">
        <is>
          <t>Svart skogssnigel
Tallticka
Talltita
Tretåig hackspett
Blåmossa
Bronshjon
Dolkstekelsglasvinge
Vågbandad barkbock
Spillkråka
Tjäder</t>
        </is>
      </c>
      <c r="W2">
        <f>HYPERLINK("https://klasma.github.io/Logging_1446/artfynd/A 25327-2026 artfynd.xlsx", "A 25327-2026")</f>
        <v/>
      </c>
      <c r="X2">
        <f>HYPERLINK("https://klasma.github.io/Logging_1446/kartor/A 25327-2026 karta.png", "A 25327-2026")</f>
        <v/>
      </c>
      <c r="Y2">
        <f>HYPERLINK("https://klasma.github.io/Logging_1446/kartor_geotiff/A 25327-2026 georefererad karta.tif", "A 25327-2026")</f>
        <v/>
      </c>
      <c r="AA2">
        <f>HYPERLINK("https://klasma.github.io/Logging_1446/klagomål/A 25327-2026 FSC-klagomål.docx", "A 25327-2026")</f>
        <v/>
      </c>
      <c r="AB2">
        <f>HYPERLINK("https://klasma.github.io/Logging_1446/klagomålsmail/A 25327-2026 FSC-klagomål mail.docx", "A 25327-2026")</f>
        <v/>
      </c>
      <c r="AC2">
        <f>HYPERLINK("https://klasma.github.io/Logging_1446/tillsyn/A 25327-2026 tillsynsbegäran.docx", "A 25327-2026")</f>
        <v/>
      </c>
      <c r="AD2">
        <f>HYPERLINK("https://klasma.github.io/Logging_1446/tillsynsmail/A 25327-2026 tillsynsbegäran mail.docx", "A 25327-2026")</f>
        <v/>
      </c>
      <c r="AE2">
        <f>HYPERLINK("https://klasma.github.io/Logging_1446/fåglar/A 25327-2026 prioriterade fågelarter.docx", "A 25327-2026")</f>
        <v/>
      </c>
    </row>
    <row r="3" ht="15" customHeight="1">
      <c r="A3" t="inlineStr">
        <is>
          <t>A 412-2023</t>
        </is>
      </c>
      <c r="B3" t="inlineStr">
        <is>
          <t>avverkningsanmälan</t>
        </is>
      </c>
      <c r="C3" t="inlineStr">
        <is>
          <t>Avverkning för annat ändamål</t>
        </is>
      </c>
      <c r="D3" s="1" t="n">
        <v>44929</v>
      </c>
      <c r="E3" s="1" t="n">
        <v>46324</v>
      </c>
      <c r="F3" t="inlineStr">
        <is>
          <t>VÄSTRA GÖTALANDS LÄN</t>
        </is>
      </c>
      <c r="G3" t="inlineStr">
        <is>
          <t>KARLSBORG</t>
        </is>
      </c>
      <c r="I3" t="n">
        <v>8.6</v>
      </c>
      <c r="J3" t="n">
        <v>1</v>
      </c>
      <c r="K3" t="n">
        <v>1</v>
      </c>
      <c r="L3" t="n">
        <v>3</v>
      </c>
      <c r="M3" t="n">
        <v>2</v>
      </c>
      <c r="N3" t="n">
        <v>0</v>
      </c>
      <c r="O3" t="n">
        <v>0</v>
      </c>
      <c r="P3" t="n">
        <v>0</v>
      </c>
      <c r="Q3" t="n">
        <v>5</v>
      </c>
      <c r="R3" t="n">
        <v>2</v>
      </c>
      <c r="S3" t="n">
        <v>7</v>
      </c>
      <c r="T3" t="n">
        <v>9</v>
      </c>
      <c r="U3" t="n">
        <v>0</v>
      </c>
      <c r="V3" s="2" t="inlineStr">
        <is>
          <t>Lakritsmusseron
Skrovlig taggsvamp
Dofttaggsvamp
Dropptaggsvamp
Motaggsvamp
Zontaggsvamp
Vanlig padda</t>
        </is>
      </c>
      <c r="W3">
        <f>HYPERLINK("https://klasma.github.io/Logging_1446/artfynd/A 412-2023 artfynd.xlsx", "A 412-2023")</f>
        <v/>
      </c>
      <c r="X3">
        <f>HYPERLINK("https://klasma.github.io/Logging_1446/kartor/A 412-2023 karta.png", "A 412-2023")</f>
        <v/>
      </c>
      <c r="Y3">
        <f>HYPERLINK("https://klasma.github.io/Logging_1446/kartor_geotiff/A 412-2023 georefererad karta.tif", "A 412-2023")</f>
        <v/>
      </c>
      <c r="AA3">
        <f>HYPERLINK("https://klasma.github.io/Logging_1446/klagomål/A 412-2023 FSC-klagomål.docx", "A 412-2023")</f>
        <v/>
      </c>
      <c r="AB3">
        <f>HYPERLINK("https://klasma.github.io/Logging_1446/klagomålsmail/A 412-2023 FSC-klagomål mail.docx", "A 412-2023")</f>
        <v/>
      </c>
      <c r="AC3">
        <f>HYPERLINK("https://klasma.github.io/Logging_1446/tillsyn/A 412-2023 tillsynsbegäran.docx", "A 412-2023")</f>
        <v/>
      </c>
      <c r="AD3">
        <f>HYPERLINK("https://klasma.github.io/Logging_1446/tillsynsmail/A 412-2023 tillsynsbegäran mail.docx", "A 412-2023")</f>
        <v/>
      </c>
    </row>
    <row r="4" ht="15" customHeight="1">
      <c r="A4" t="inlineStr">
        <is>
          <t>A 14438-2025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45741</v>
      </c>
      <c r="E4" s="1" t="n">
        <v>46324</v>
      </c>
      <c r="F4" t="inlineStr">
        <is>
          <t>VÄSTRA GÖTALANDS LÄN</t>
        </is>
      </c>
      <c r="G4" t="inlineStr">
        <is>
          <t>KARLSBORG</t>
        </is>
      </c>
      <c r="I4" t="n">
        <v>7.9</v>
      </c>
      <c r="J4" t="n">
        <v>5</v>
      </c>
      <c r="K4" t="n">
        <v>0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2</v>
      </c>
      <c r="R4" t="n">
        <v>0</v>
      </c>
      <c r="S4" t="n">
        <v>5</v>
      </c>
      <c r="T4" t="n">
        <v>5</v>
      </c>
      <c r="U4" t="n">
        <v>5</v>
      </c>
      <c r="V4" s="2" t="inlineStr">
        <is>
          <t>Järnsparv
Talltita
Spillkråka
Kungsfågel
Åkergroda</t>
        </is>
      </c>
      <c r="W4">
        <f>HYPERLINK("https://klasma.github.io/Logging_1446/artfynd/A 14438-2025 artfynd.xlsx", "A 14438-2025")</f>
        <v/>
      </c>
      <c r="X4">
        <f>HYPERLINK("https://klasma.github.io/Logging_1446/kartor/A 14438-2025 karta.png", "A 14438-2025")</f>
        <v/>
      </c>
      <c r="Y4">
        <f>HYPERLINK("https://klasma.github.io/Logging_1446/kartor_geotiff/A 14438-2025 georefererad karta.tif", "A 14438-2025")</f>
        <v/>
      </c>
      <c r="AA4">
        <f>HYPERLINK("https://klasma.github.io/Logging_1446/klagomål/A 14438-2025 FSC-klagomål.docx", "A 14438-2025")</f>
        <v/>
      </c>
      <c r="AB4">
        <f>HYPERLINK("https://klasma.github.io/Logging_1446/klagomålsmail/A 14438-2025 FSC-klagomål mail.docx", "A 14438-2025")</f>
        <v/>
      </c>
      <c r="AC4">
        <f>HYPERLINK("https://klasma.github.io/Logging_1446/tillsyn/A 14438-2025 tillsynsbegäran.docx", "A 14438-2025")</f>
        <v/>
      </c>
      <c r="AD4">
        <f>HYPERLINK("https://klasma.github.io/Logging_1446/tillsynsmail/A 14438-2025 tillsynsbegäran mail.docx", "A 14438-2025")</f>
        <v/>
      </c>
      <c r="AE4">
        <f>HYPERLINK("https://klasma.github.io/Logging_1446/fåglar/A 14438-2025 prioriterade fågelarter.docx", "A 14438-2025")</f>
        <v/>
      </c>
    </row>
    <row r="5" ht="15" customHeight="1">
      <c r="A5" t="inlineStr">
        <is>
          <t>A 13359-2024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45387</v>
      </c>
      <c r="E5" s="1" t="n">
        <v>46324</v>
      </c>
      <c r="F5" t="inlineStr">
        <is>
          <t>VÄSTRA GÖTALANDS LÄN</t>
        </is>
      </c>
      <c r="G5" t="inlineStr">
        <is>
          <t>KARLSBORG</t>
        </is>
      </c>
      <c r="H5" t="inlineStr">
        <is>
          <t>Övriga Aktiebolag</t>
        </is>
      </c>
      <c r="I5" t="n">
        <v>12.4</v>
      </c>
      <c r="J5" t="n">
        <v>3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1</v>
      </c>
      <c r="S5" t="n">
        <v>4</v>
      </c>
      <c r="T5" t="n">
        <v>19</v>
      </c>
      <c r="U5" t="n">
        <v>19</v>
      </c>
      <c r="V5" s="2" t="inlineStr">
        <is>
          <t>Knärot
Grönpyrola
Spillkråka
Tjäder</t>
        </is>
      </c>
      <c r="W5">
        <f>HYPERLINK("https://klasma.github.io/Logging_1446/artfynd/A 13359-2024 artfynd.xlsx", "A 13359-2024")</f>
        <v/>
      </c>
      <c r="X5">
        <f>HYPERLINK("https://klasma.github.io/Logging_1446/kartor/A 13359-2024 karta.png", "A 13359-2024")</f>
        <v/>
      </c>
      <c r="Y5">
        <f>HYPERLINK("https://klasma.github.io/Logging_1446/kartor_geotiff/A 13359-2024 georefererad karta.tif", "A 13359-2024")</f>
        <v/>
      </c>
      <c r="Z5">
        <f>HYPERLINK("https://klasma.github.io/Logging_1446/knärot/A 13359-2024 karta knärot.png", "A 13359-2024")</f>
        <v/>
      </c>
      <c r="AA5">
        <f>HYPERLINK("https://klasma.github.io/Logging_1446/klagomål/A 13359-2024 FSC-klagomål.docx", "A 13359-2024")</f>
        <v/>
      </c>
      <c r="AB5">
        <f>HYPERLINK("https://klasma.github.io/Logging_1446/klagomålsmail/A 13359-2024 FSC-klagomål mail.docx", "A 13359-2024")</f>
        <v/>
      </c>
      <c r="AC5">
        <f>HYPERLINK("https://klasma.github.io/Logging_1446/tillsyn/A 13359-2024 tillsynsbegäran.docx", "A 13359-2024")</f>
        <v/>
      </c>
      <c r="AD5">
        <f>HYPERLINK("https://klasma.github.io/Logging_1446/tillsynsmail/A 13359-2024 tillsynsbegäran mail.docx", "A 13359-2024")</f>
        <v/>
      </c>
      <c r="AE5">
        <f>HYPERLINK("https://klasma.github.io/Logging_1446/fåglar/A 13359-2024 prioriterade fågelarter.docx", "A 13359-2024")</f>
        <v/>
      </c>
    </row>
    <row r="6" ht="15" customHeight="1">
      <c r="A6" t="inlineStr">
        <is>
          <t>A 27703-2023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45098</v>
      </c>
      <c r="E6" s="1" t="n">
        <v>46324</v>
      </c>
      <c r="F6" t="inlineStr">
        <is>
          <t>VÄSTRA GÖTALANDS LÄN</t>
        </is>
      </c>
      <c r="G6" t="inlineStr">
        <is>
          <t>KARLSBORG</t>
        </is>
      </c>
      <c r="I6" t="n">
        <v>2.8</v>
      </c>
      <c r="J6" t="n">
        <v>0</v>
      </c>
      <c r="K6" t="n">
        <v>0</v>
      </c>
      <c r="L6" t="n">
        <v>4</v>
      </c>
      <c r="M6" t="n">
        <v>0</v>
      </c>
      <c r="N6" t="n">
        <v>0</v>
      </c>
      <c r="O6" t="n">
        <v>0</v>
      </c>
      <c r="P6" t="n">
        <v>0</v>
      </c>
      <c r="Q6" t="n">
        <v>4</v>
      </c>
      <c r="R6" t="n">
        <v>0</v>
      </c>
      <c r="S6" t="n">
        <v>4</v>
      </c>
      <c r="T6" t="n">
        <v>70</v>
      </c>
      <c r="U6" t="n">
        <v>70</v>
      </c>
      <c r="V6" s="2" t="inlineStr">
        <is>
          <t>Blå taggsvamp
Dropptaggsvamp
Motaggsvamp
Tallriska</t>
        </is>
      </c>
      <c r="W6">
        <f>HYPERLINK("https://klasma.github.io/Logging_1446/artfynd/A 27703-2023 artfynd.xlsx", "A 27703-2023")</f>
        <v/>
      </c>
      <c r="X6">
        <f>HYPERLINK("https://klasma.github.io/Logging_1446/kartor/A 27703-2023 karta.png", "A 27703-2023")</f>
        <v/>
      </c>
      <c r="Y6">
        <f>HYPERLINK("https://klasma.github.io/Logging_1446/kartor_geotiff/A 27703-2023 georefererad karta.tif", "A 27703-2023")</f>
        <v/>
      </c>
      <c r="AA6">
        <f>HYPERLINK("https://klasma.github.io/Logging_1446/klagomål/A 27703-2023 FSC-klagomål.docx", "A 27703-2023")</f>
        <v/>
      </c>
      <c r="AB6">
        <f>HYPERLINK("https://klasma.github.io/Logging_1446/klagomålsmail/A 27703-2023 FSC-klagomål mail.docx", "A 27703-2023")</f>
        <v/>
      </c>
      <c r="AC6">
        <f>HYPERLINK("https://klasma.github.io/Logging_1446/tillsyn/A 27703-2023 tillsynsbegäran.docx", "A 27703-2023")</f>
        <v/>
      </c>
      <c r="AD6">
        <f>HYPERLINK("https://klasma.github.io/Logging_1446/tillsynsmail/A 27703-2023 tillsynsbegäran mail.docx", "A 27703-2023")</f>
        <v/>
      </c>
    </row>
    <row r="7" ht="15" customHeight="1">
      <c r="A7" t="inlineStr">
        <is>
          <t>A 20433-2025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45775</v>
      </c>
      <c r="E7" s="1" t="n">
        <v>46324</v>
      </c>
      <c r="F7" t="inlineStr">
        <is>
          <t>VÄSTRA GÖTALANDS LÄN</t>
        </is>
      </c>
      <c r="G7" t="inlineStr">
        <is>
          <t>KARLSBORG</t>
        </is>
      </c>
      <c r="I7" t="n">
        <v>4.8</v>
      </c>
      <c r="J7" t="n">
        <v>2</v>
      </c>
      <c r="K7" t="n">
        <v>1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3</v>
      </c>
      <c r="T7" t="n">
        <v>4</v>
      </c>
      <c r="U7" t="n">
        <v>4</v>
      </c>
      <c r="V7" s="2" t="inlineStr">
        <is>
          <t>Knärot
Grönpyrola
Tjäder</t>
        </is>
      </c>
      <c r="W7">
        <f>HYPERLINK("https://klasma.github.io/Logging_1446/artfynd/A 20433-2025 artfynd.xlsx", "A 20433-2025")</f>
        <v/>
      </c>
      <c r="X7">
        <f>HYPERLINK("https://klasma.github.io/Logging_1446/kartor/A 20433-2025 karta.png", "A 20433-2025")</f>
        <v/>
      </c>
      <c r="Y7">
        <f>HYPERLINK("https://klasma.github.io/Logging_1446/kartor_geotiff/A 20433-2025 georefererad karta.tif", "A 20433-2025")</f>
        <v/>
      </c>
      <c r="Z7">
        <f>HYPERLINK("https://klasma.github.io/Logging_1446/knärot/A 20433-2025 karta knärot.png", "A 20433-2025")</f>
        <v/>
      </c>
      <c r="AA7">
        <f>HYPERLINK("https://klasma.github.io/Logging_1446/klagomål/A 20433-2025 FSC-klagomål.docx", "A 20433-2025")</f>
        <v/>
      </c>
      <c r="AB7">
        <f>HYPERLINK("https://klasma.github.io/Logging_1446/klagomålsmail/A 20433-2025 FSC-klagomål mail.docx", "A 20433-2025")</f>
        <v/>
      </c>
      <c r="AC7">
        <f>HYPERLINK("https://klasma.github.io/Logging_1446/tillsyn/A 20433-2025 tillsynsbegäran.docx", "A 20433-2025")</f>
        <v/>
      </c>
      <c r="AD7">
        <f>HYPERLINK("https://klasma.github.io/Logging_1446/tillsynsmail/A 20433-2025 tillsynsbegäran mail.docx", "A 20433-2025")</f>
        <v/>
      </c>
      <c r="AE7">
        <f>HYPERLINK("https://klasma.github.io/Logging_1446/fåglar/A 20433-2025 prioriterade fågelarter.docx", "A 20433-2025")</f>
        <v/>
      </c>
    </row>
    <row r="8" ht="15" customHeight="1">
      <c r="A8" t="inlineStr">
        <is>
          <t>S 395-2025</t>
        </is>
      </c>
      <c r="B8" t="inlineStr">
        <is>
          <t>samrådsanmälan</t>
        </is>
      </c>
      <c r="C8" t="inlineStr">
        <is>
          <t>Annan skogsbruksåtgärd</t>
        </is>
      </c>
      <c r="D8" s="1" t="n">
        <v>45696</v>
      </c>
      <c r="E8" s="1" t="n">
        <v>46324</v>
      </c>
      <c r="F8" t="inlineStr">
        <is>
          <t>VÄSTRA GÖTALANDS LÄN</t>
        </is>
      </c>
      <c r="G8" t="inlineStr">
        <is>
          <t>KARLSBORG</t>
        </is>
      </c>
      <c r="I8" t="n">
        <v>6.2</v>
      </c>
      <c r="J8" t="n">
        <v>1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1</v>
      </c>
      <c r="S8" t="n">
        <v>3</v>
      </c>
      <c r="T8" t="n">
        <v>3</v>
      </c>
      <c r="U8" t="n">
        <v>0</v>
      </c>
      <c r="V8" s="2" t="inlineStr">
        <is>
          <t>Ask
Fällmossa
Blåsippa</t>
        </is>
      </c>
      <c r="W8">
        <f>HYPERLINK("https://klasma.github.io/Logging_1446/artfynd/S 395-2025 artfynd.xlsx", "S 395-2025")</f>
        <v/>
      </c>
      <c r="X8">
        <f>HYPERLINK("https://klasma.github.io/Logging_1446/kartor/S 395-2025 karta.png", "S 395-2025")</f>
        <v/>
      </c>
      <c r="Y8">
        <f>HYPERLINK("https://klasma.github.io/Logging_1446/kartor_geotiff/S 395-2025 georefererad karta.tif", "S 395-2025")</f>
        <v/>
      </c>
      <c r="AA8">
        <f>HYPERLINK("https://klasma.github.io/Logging_1446/klagomål/S 395-2025 FSC-klagomål.docx", "S 395-2025")</f>
        <v/>
      </c>
      <c r="AB8">
        <f>HYPERLINK("https://klasma.github.io/Logging_1446/klagomålsmail/S 395-2025 FSC-klagomål mail.docx", "S 395-2025")</f>
        <v/>
      </c>
      <c r="AC8">
        <f>HYPERLINK("https://klasma.github.io/Logging_1446/tillsyn/S 395-2025 tillsynsbegäran.docx", "S 395-2025")</f>
        <v/>
      </c>
      <c r="AD8">
        <f>HYPERLINK("https://klasma.github.io/Logging_1446/tillsynsmail/S 395-2025 tillsynsbegäran mail.docx", "S 395-2025")</f>
        <v/>
      </c>
    </row>
    <row r="9" ht="15" customHeight="1">
      <c r="A9" t="inlineStr">
        <is>
          <t>A 13365-2024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45387</v>
      </c>
      <c r="E9" s="1" t="n">
        <v>46324</v>
      </c>
      <c r="F9" t="inlineStr">
        <is>
          <t>VÄSTRA GÖTALANDS LÄN</t>
        </is>
      </c>
      <c r="G9" t="inlineStr">
        <is>
          <t>KARLSBORG</t>
        </is>
      </c>
      <c r="H9" t="inlineStr">
        <is>
          <t>Övriga Aktiebolag</t>
        </is>
      </c>
      <c r="I9" t="n">
        <v>2.5</v>
      </c>
      <c r="J9" t="n">
        <v>1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</v>
      </c>
      <c r="T9" t="n">
        <v>15</v>
      </c>
      <c r="U9" t="n">
        <v>15</v>
      </c>
      <c r="V9" s="2" t="inlineStr">
        <is>
          <t>Grönpyrola
Tjäder</t>
        </is>
      </c>
      <c r="W9">
        <f>HYPERLINK("https://klasma.github.io/Logging_1446/artfynd/A 13365-2024 artfynd.xlsx", "A 13365-2024")</f>
        <v/>
      </c>
      <c r="X9">
        <f>HYPERLINK("https://klasma.github.io/Logging_1446/kartor/A 13365-2024 karta.png", "A 13365-2024")</f>
        <v/>
      </c>
      <c r="Y9">
        <f>HYPERLINK("https://klasma.github.io/Logging_1446/kartor_geotiff/A 13365-2024 georefererad karta.tif", "A 13365-2024")</f>
        <v/>
      </c>
      <c r="AA9">
        <f>HYPERLINK("https://klasma.github.io/Logging_1446/klagomål/A 13365-2024 FSC-klagomål.docx", "A 13365-2024")</f>
        <v/>
      </c>
      <c r="AB9">
        <f>HYPERLINK("https://klasma.github.io/Logging_1446/klagomålsmail/A 13365-2024 FSC-klagomål mail.docx", "A 13365-2024")</f>
        <v/>
      </c>
      <c r="AC9">
        <f>HYPERLINK("https://klasma.github.io/Logging_1446/tillsyn/A 13365-2024 tillsynsbegäran.docx", "A 13365-2024")</f>
        <v/>
      </c>
      <c r="AD9">
        <f>HYPERLINK("https://klasma.github.io/Logging_1446/tillsynsmail/A 13365-2024 tillsynsbegäran mail.docx", "A 13365-2024")</f>
        <v/>
      </c>
      <c r="AE9">
        <f>HYPERLINK("https://klasma.github.io/Logging_1446/fåglar/A 13365-2024 prioriterade fågelarter.docx", "A 13365-2024")</f>
        <v/>
      </c>
    </row>
    <row r="10" ht="15" customHeight="1">
      <c r="A10" t="inlineStr">
        <is>
          <t>A 19851-2025</t>
        </is>
      </c>
      <c r="B10" t="inlineStr">
        <is>
          <t>avverkningsanmälan</t>
        </is>
      </c>
      <c r="C10" t="inlineStr">
        <is>
          <t>Avverkning för att bevara och utveckla /försöksver</t>
        </is>
      </c>
      <c r="D10" s="1" t="n">
        <v>45771</v>
      </c>
      <c r="E10" s="1" t="n">
        <v>46324</v>
      </c>
      <c r="F10" t="inlineStr">
        <is>
          <t>VÄSTRA GÖTALANDS LÄN</t>
        </is>
      </c>
      <c r="G10" t="inlineStr">
        <is>
          <t>KARLSBORG</t>
        </is>
      </c>
      <c r="H10" t="inlineStr">
        <is>
          <t>Sveaskog</t>
        </is>
      </c>
      <c r="I10" t="n">
        <v>4.9</v>
      </c>
      <c r="J10" t="n">
        <v>2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2</v>
      </c>
      <c r="T10" t="n">
        <v>6</v>
      </c>
      <c r="U10" t="n">
        <v>0</v>
      </c>
      <c r="V10" s="2" t="inlineStr">
        <is>
          <t>Knärot
Kungsfågel</t>
        </is>
      </c>
      <c r="W10">
        <f>HYPERLINK("https://klasma.github.io/Logging_1446/artfynd/A 19851-2025 artfynd.xlsx", "A 19851-2025")</f>
        <v/>
      </c>
      <c r="X10">
        <f>HYPERLINK("https://klasma.github.io/Logging_1446/kartor/A 19851-2025 karta.png", "A 19851-2025")</f>
        <v/>
      </c>
      <c r="Y10">
        <f>HYPERLINK("https://klasma.github.io/Logging_1446/kartor_geotiff/A 19851-2025 georefererad karta.tif", "A 19851-2025")</f>
        <v/>
      </c>
      <c r="Z10">
        <f>HYPERLINK("https://klasma.github.io/Logging_1446/knärot/A 19851-2025 karta knärot.png", "A 19851-2025")</f>
        <v/>
      </c>
      <c r="AA10">
        <f>HYPERLINK("https://klasma.github.io/Logging_1446/klagomål/A 19851-2025 FSC-klagomål.docx", "A 19851-2025")</f>
        <v/>
      </c>
      <c r="AB10">
        <f>HYPERLINK("https://klasma.github.io/Logging_1446/klagomålsmail/A 19851-2025 FSC-klagomål mail.docx", "A 19851-2025")</f>
        <v/>
      </c>
      <c r="AC10">
        <f>HYPERLINK("https://klasma.github.io/Logging_1446/tillsyn/A 19851-2025 tillsynsbegäran.docx", "A 19851-2025")</f>
        <v/>
      </c>
      <c r="AD10">
        <f>HYPERLINK("https://klasma.github.io/Logging_1446/tillsynsmail/A 19851-2025 tillsynsbegäran mail.docx", "A 19851-2025")</f>
        <v/>
      </c>
    </row>
    <row r="11" ht="15" customHeight="1">
      <c r="A11" t="inlineStr">
        <is>
          <t>A 38204-2024</t>
        </is>
      </c>
      <c r="B11" t="inlineStr">
        <is>
          <t>avverkningsanmälan</t>
        </is>
      </c>
      <c r="C11" t="inlineStr">
        <is>
          <t>Avverkning för att bevara och utveckla /försöksver</t>
        </is>
      </c>
      <c r="D11" s="1" t="n">
        <v>45545</v>
      </c>
      <c r="E11" s="1" t="n">
        <v>46324</v>
      </c>
      <c r="F11" t="inlineStr">
        <is>
          <t>VÄSTRA GÖTALANDS LÄN</t>
        </is>
      </c>
      <c r="G11" t="inlineStr">
        <is>
          <t>KARLSBORG</t>
        </is>
      </c>
      <c r="H11" t="inlineStr">
        <is>
          <t>Sveaskog</t>
        </is>
      </c>
      <c r="I11" t="n">
        <v>5.4</v>
      </c>
      <c r="J11" t="n">
        <v>2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2</v>
      </c>
      <c r="T11" t="n">
        <v>6</v>
      </c>
      <c r="U11" t="n">
        <v>6</v>
      </c>
      <c r="V11" s="2" t="inlineStr">
        <is>
          <t>Knärot
Kungsfågel</t>
        </is>
      </c>
      <c r="W11">
        <f>HYPERLINK("https://klasma.github.io/Logging_1446/artfynd/A 38204-2024 artfynd.xlsx", "A 38204-2024")</f>
        <v/>
      </c>
      <c r="X11">
        <f>HYPERLINK("https://klasma.github.io/Logging_1446/kartor/A 38204-2024 karta.png", "A 38204-2024")</f>
        <v/>
      </c>
      <c r="Y11">
        <f>HYPERLINK("https://klasma.github.io/Logging_1446/kartor_geotiff/A 38204-2024 georefererad karta.tif", "A 38204-2024")</f>
        <v/>
      </c>
      <c r="Z11">
        <f>HYPERLINK("https://klasma.github.io/Logging_1446/knärot/A 38204-2024 karta knärot.png", "A 38204-2024")</f>
        <v/>
      </c>
      <c r="AA11">
        <f>HYPERLINK("https://klasma.github.io/Logging_1446/klagomål/A 38204-2024 FSC-klagomål.docx", "A 38204-2024")</f>
        <v/>
      </c>
      <c r="AB11">
        <f>HYPERLINK("https://klasma.github.io/Logging_1446/klagomålsmail/A 38204-2024 FSC-klagomål mail.docx", "A 38204-2024")</f>
        <v/>
      </c>
      <c r="AC11">
        <f>HYPERLINK("https://klasma.github.io/Logging_1446/tillsyn/A 38204-2024 tillsynsbegäran.docx", "A 38204-2024")</f>
        <v/>
      </c>
      <c r="AD11">
        <f>HYPERLINK("https://klasma.github.io/Logging_1446/tillsynsmail/A 38204-2024 tillsynsbegäran mail.docx", "A 38204-2024")</f>
        <v/>
      </c>
    </row>
    <row r="12" ht="15" customHeight="1">
      <c r="A12" t="inlineStr">
        <is>
          <t>A 52381-2024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45609</v>
      </c>
      <c r="E12" s="1" t="n">
        <v>46324</v>
      </c>
      <c r="F12" t="inlineStr">
        <is>
          <t>VÄSTRA GÖTALANDS LÄN</t>
        </is>
      </c>
      <c r="G12" t="inlineStr">
        <is>
          <t>KARLSBORG</t>
        </is>
      </c>
      <c r="I12" t="n">
        <v>1.4</v>
      </c>
      <c r="J12" t="n">
        <v>2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2</v>
      </c>
      <c r="T12" t="n">
        <v>2</v>
      </c>
      <c r="U12" t="n">
        <v>2</v>
      </c>
      <c r="V12" s="2" t="inlineStr">
        <is>
          <t>Knärot
Spillkråka</t>
        </is>
      </c>
      <c r="W12">
        <f>HYPERLINK("https://klasma.github.io/Logging_1446/artfynd/A 52381-2024 artfynd.xlsx", "A 52381-2024")</f>
        <v/>
      </c>
      <c r="X12">
        <f>HYPERLINK("https://klasma.github.io/Logging_1446/kartor/A 52381-2024 karta.png", "A 52381-2024")</f>
        <v/>
      </c>
      <c r="Y12">
        <f>HYPERLINK("https://klasma.github.io/Logging_1446/kartor_geotiff/A 52381-2024 georefererad karta.tif", "A 52381-2024")</f>
        <v/>
      </c>
      <c r="Z12">
        <f>HYPERLINK("https://klasma.github.io/Logging_1446/knärot/A 52381-2024 karta knärot.png", "A 52381-2024")</f>
        <v/>
      </c>
      <c r="AA12">
        <f>HYPERLINK("https://klasma.github.io/Logging_1446/klagomål/A 52381-2024 FSC-klagomål.docx", "A 52381-2024")</f>
        <v/>
      </c>
      <c r="AB12">
        <f>HYPERLINK("https://klasma.github.io/Logging_1446/klagomålsmail/A 52381-2024 FSC-klagomål mail.docx", "A 52381-2024")</f>
        <v/>
      </c>
      <c r="AC12">
        <f>HYPERLINK("https://klasma.github.io/Logging_1446/tillsyn/A 52381-2024 tillsynsbegäran.docx", "A 52381-2024")</f>
        <v/>
      </c>
      <c r="AD12">
        <f>HYPERLINK("https://klasma.github.io/Logging_1446/tillsynsmail/A 52381-2024 tillsynsbegäran mail.docx", "A 52381-2024")</f>
        <v/>
      </c>
      <c r="AE12">
        <f>HYPERLINK("https://klasma.github.io/Logging_1446/fåglar/A 52381-2024 prioriterade fågelarter.docx", "A 52381-2024")</f>
        <v/>
      </c>
    </row>
    <row r="13" ht="15" customHeight="1">
      <c r="A13" t="inlineStr">
        <is>
          <t>A 43626-2023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45184</v>
      </c>
      <c r="E13" s="1" t="n">
        <v>46324</v>
      </c>
      <c r="F13" t="inlineStr">
        <is>
          <t>VÄSTRA GÖTALANDS LÄN</t>
        </is>
      </c>
      <c r="G13" t="inlineStr">
        <is>
          <t>KARLSBORG</t>
        </is>
      </c>
      <c r="I13" t="n">
        <v>0.7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2</v>
      </c>
      <c r="T13" t="n">
        <v>2</v>
      </c>
      <c r="U13" t="n">
        <v>2</v>
      </c>
      <c r="V13" s="2" t="inlineStr">
        <is>
          <t>Dropptaggsvamp
Tallfingersvamp</t>
        </is>
      </c>
      <c r="W13">
        <f>HYPERLINK("https://klasma.github.io/Logging_1446/artfynd/A 43626-2023 artfynd.xlsx", "A 43626-2023")</f>
        <v/>
      </c>
      <c r="X13">
        <f>HYPERLINK("https://klasma.github.io/Logging_1446/kartor/A 43626-2023 karta.png", "A 43626-2023")</f>
        <v/>
      </c>
      <c r="Y13">
        <f>HYPERLINK("https://klasma.github.io/Logging_1446/kartor_geotiff/A 43626-2023 georefererad karta.tif", "A 43626-2023")</f>
        <v/>
      </c>
      <c r="AA13">
        <f>HYPERLINK("https://klasma.github.io/Logging_1446/klagomål/A 43626-2023 FSC-klagomål.docx", "A 43626-2023")</f>
        <v/>
      </c>
      <c r="AB13">
        <f>HYPERLINK("https://klasma.github.io/Logging_1446/klagomålsmail/A 43626-2023 FSC-klagomål mail.docx", "A 43626-2023")</f>
        <v/>
      </c>
      <c r="AC13">
        <f>HYPERLINK("https://klasma.github.io/Logging_1446/tillsyn/A 43626-2023 tillsynsbegäran.docx", "A 43626-2023")</f>
        <v/>
      </c>
      <c r="AD13">
        <f>HYPERLINK("https://klasma.github.io/Logging_1446/tillsynsmail/A 43626-2023 tillsynsbegäran mail.docx", "A 43626-2023")</f>
        <v/>
      </c>
    </row>
    <row r="14" ht="15" customHeight="1">
      <c r="A14" t="inlineStr">
        <is>
          <t>S 1323-2025</t>
        </is>
      </c>
      <c r="B14" t="inlineStr">
        <is>
          <t>samrådsanmälan</t>
        </is>
      </c>
      <c r="C14" t="inlineStr">
        <is>
          <t>Annan skogsbruksåtgärd</t>
        </is>
      </c>
      <c r="D14" s="1" t="n">
        <v>45771</v>
      </c>
      <c r="E14" s="1" t="n">
        <v>46324</v>
      </c>
      <c r="F14" t="inlineStr">
        <is>
          <t>VÄSTRA GÖTALANDS LÄN</t>
        </is>
      </c>
      <c r="G14" t="inlineStr">
        <is>
          <t>KARLSBORG</t>
        </is>
      </c>
      <c r="H14" t="inlineStr">
        <is>
          <t>Sveaskog</t>
        </is>
      </c>
      <c r="I14" t="n">
        <v>4.9</v>
      </c>
      <c r="J14" t="n">
        <v>2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2</v>
      </c>
      <c r="T14" t="n">
        <v>6</v>
      </c>
      <c r="U14" t="n">
        <v>0</v>
      </c>
      <c r="V14" s="2" t="inlineStr">
        <is>
          <t>Knärot
Kungsfågel</t>
        </is>
      </c>
      <c r="W14">
        <f>HYPERLINK("https://klasma.github.io/Logging_1446/artfynd/S 1323-2025 artfynd.xlsx", "S 1323-2025")</f>
        <v/>
      </c>
      <c r="X14">
        <f>HYPERLINK("https://klasma.github.io/Logging_1446/kartor/S 1323-2025 karta.png", "S 1323-2025")</f>
        <v/>
      </c>
      <c r="Y14">
        <f>HYPERLINK("https://klasma.github.io/Logging_1446/kartor_geotiff/S 1323-2025 georefererad karta.tif", "S 1323-2025")</f>
        <v/>
      </c>
      <c r="Z14">
        <f>HYPERLINK("https://klasma.github.io/Logging_1446/knärot/S 1323-2025 karta knärot.png", "S 1323-2025")</f>
        <v/>
      </c>
      <c r="AA14">
        <f>HYPERLINK("https://klasma.github.io/Logging_1446/klagomål/S 1323-2025 FSC-klagomål.docx", "S 1323-2025")</f>
        <v/>
      </c>
      <c r="AB14">
        <f>HYPERLINK("https://klasma.github.io/Logging_1446/klagomålsmail/S 1323-2025 FSC-klagomål mail.docx", "S 1323-2025")</f>
        <v/>
      </c>
      <c r="AC14">
        <f>HYPERLINK("https://klasma.github.io/Logging_1446/tillsyn/S 1323-2025 tillsynsbegäran.docx", "S 1323-2025")</f>
        <v/>
      </c>
      <c r="AD14">
        <f>HYPERLINK("https://klasma.github.io/Logging_1446/tillsynsmail/S 1323-2025 tillsynsbegäran mail.docx", "S 1323-2025")</f>
        <v/>
      </c>
    </row>
    <row r="15" ht="15" customHeight="1">
      <c r="A15" t="inlineStr">
        <is>
          <t>A 51531-2023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45222</v>
      </c>
      <c r="E15" s="1" t="n">
        <v>46324</v>
      </c>
      <c r="F15" t="inlineStr">
        <is>
          <t>VÄSTRA GÖTALANDS LÄN</t>
        </is>
      </c>
      <c r="G15" t="inlineStr">
        <is>
          <t>KARLSBORG</t>
        </is>
      </c>
      <c r="H15" t="inlineStr">
        <is>
          <t>Kommuner</t>
        </is>
      </c>
      <c r="I15" t="n">
        <v>11.2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2</v>
      </c>
      <c r="U15" t="n">
        <v>0</v>
      </c>
      <c r="V15" s="2" t="inlineStr">
        <is>
          <t>Revlummer</t>
        </is>
      </c>
      <c r="W15">
        <f>HYPERLINK("https://klasma.github.io/Logging_1446/artfynd/A 51531-2023 artfynd.xlsx", "A 51531-2023")</f>
        <v/>
      </c>
      <c r="X15">
        <f>HYPERLINK("https://klasma.github.io/Logging_1446/kartor/A 51531-2023 karta.png", "A 51531-2023")</f>
        <v/>
      </c>
      <c r="Y15">
        <f>HYPERLINK("https://klasma.github.io/Logging_1446/kartor_geotiff/A 51531-2023 georefererad karta.tif", "A 51531-2023")</f>
        <v/>
      </c>
      <c r="AA15">
        <f>HYPERLINK("https://klasma.github.io/Logging_1446/klagomål/A 51531-2023 FSC-klagomål.docx", "A 51531-2023")</f>
        <v/>
      </c>
      <c r="AB15">
        <f>HYPERLINK("https://klasma.github.io/Logging_1446/klagomålsmail/A 51531-2023 FSC-klagomål mail.docx", "A 51531-2023")</f>
        <v/>
      </c>
      <c r="AC15">
        <f>HYPERLINK("https://klasma.github.io/Logging_1446/tillsyn/A 51531-2023 tillsynsbegäran.docx", "A 51531-2023")</f>
        <v/>
      </c>
      <c r="AD15">
        <f>HYPERLINK("https://klasma.github.io/Logging_1446/tillsynsmail/A 51531-2023 tillsynsbegäran mail.docx", "A 51531-2023")</f>
        <v/>
      </c>
    </row>
    <row r="16" ht="15" customHeight="1">
      <c r="A16" t="inlineStr">
        <is>
          <t>A 9337-2025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45714</v>
      </c>
      <c r="E16" s="1" t="n">
        <v>46324</v>
      </c>
      <c r="F16" t="inlineStr">
        <is>
          <t>VÄSTRA GÖTALANDS LÄN</t>
        </is>
      </c>
      <c r="G16" t="inlineStr">
        <is>
          <t>KARLSBORG</t>
        </is>
      </c>
      <c r="I16" t="n">
        <v>1.6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0</v>
      </c>
      <c r="V16" s="2" t="inlineStr">
        <is>
          <t>Ask</t>
        </is>
      </c>
      <c r="W16">
        <f>HYPERLINK("https://klasma.github.io/Logging_1446/artfynd/A 9337-2025 artfynd.xlsx", "A 9337-2025")</f>
        <v/>
      </c>
      <c r="X16">
        <f>HYPERLINK("https://klasma.github.io/Logging_1446/kartor/A 9337-2025 karta.png", "A 9337-2025")</f>
        <v/>
      </c>
      <c r="Y16">
        <f>HYPERLINK("https://klasma.github.io/Logging_1446/kartor_geotiff/A 9337-2025 georefererad karta.tif", "A 9337-2025")</f>
        <v/>
      </c>
      <c r="AA16">
        <f>HYPERLINK("https://klasma.github.io/Logging_1446/klagomål/A 9337-2025 FSC-klagomål.docx", "A 9337-2025")</f>
        <v/>
      </c>
      <c r="AB16">
        <f>HYPERLINK("https://klasma.github.io/Logging_1446/klagomålsmail/A 9337-2025 FSC-klagomål mail.docx", "A 9337-2025")</f>
        <v/>
      </c>
      <c r="AC16">
        <f>HYPERLINK("https://klasma.github.io/Logging_1446/tillsyn/A 9337-2025 tillsynsbegäran.docx", "A 9337-2025")</f>
        <v/>
      </c>
      <c r="AD16">
        <f>HYPERLINK("https://klasma.github.io/Logging_1446/tillsynsmail/A 9337-2025 tillsynsbegäran mail.docx", "A 9337-2025")</f>
        <v/>
      </c>
    </row>
    <row r="17" ht="15" customHeight="1">
      <c r="A17" t="inlineStr">
        <is>
          <t>A 28315-2025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45818</v>
      </c>
      <c r="E17" s="1" t="n">
        <v>46324</v>
      </c>
      <c r="F17" t="inlineStr">
        <is>
          <t>VÄSTRA GÖTALANDS LÄN</t>
        </is>
      </c>
      <c r="G17" t="inlineStr">
        <is>
          <t>KARLSBORG</t>
        </is>
      </c>
      <c r="I17" t="n">
        <v>2.3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s="2" t="inlineStr">
        <is>
          <t>Rostfläck</t>
        </is>
      </c>
      <c r="W17">
        <f>HYPERLINK("https://klasma.github.io/Logging_1446/artfynd/A 28315-2025 artfynd.xlsx", "A 28315-2025")</f>
        <v/>
      </c>
      <c r="X17">
        <f>HYPERLINK("https://klasma.github.io/Logging_1446/kartor/A 28315-2025 karta.png", "A 28315-2025")</f>
        <v/>
      </c>
      <c r="Y17">
        <f>HYPERLINK("https://klasma.github.io/Logging_1446/kartor_geotiff/A 28315-2025 georefererad karta.tif", "A 28315-2025")</f>
        <v/>
      </c>
      <c r="AA17">
        <f>HYPERLINK("https://klasma.github.io/Logging_1446/klagomål/A 28315-2025 FSC-klagomål.docx", "A 28315-2025")</f>
        <v/>
      </c>
      <c r="AB17">
        <f>HYPERLINK("https://klasma.github.io/Logging_1446/klagomålsmail/A 28315-2025 FSC-klagomål mail.docx", "A 28315-2025")</f>
        <v/>
      </c>
      <c r="AC17">
        <f>HYPERLINK("https://klasma.github.io/Logging_1446/tillsyn/A 28315-2025 tillsynsbegäran.docx", "A 28315-2025")</f>
        <v/>
      </c>
      <c r="AD17">
        <f>HYPERLINK("https://klasma.github.io/Logging_1446/tillsynsmail/A 28315-2025 tillsynsbegäran mail.docx", "A 28315-2025")</f>
        <v/>
      </c>
    </row>
    <row r="18" ht="15" customHeight="1">
      <c r="A18" t="inlineStr">
        <is>
          <t>A 38103-2023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45161</v>
      </c>
      <c r="E18" s="1" t="n">
        <v>46324</v>
      </c>
      <c r="F18" t="inlineStr">
        <is>
          <t>VÄSTRA GÖTALANDS LÄN</t>
        </is>
      </c>
      <c r="G18" t="inlineStr">
        <is>
          <t>KARLSBORG</t>
        </is>
      </c>
      <c r="I18" t="n">
        <v>1.5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s="2" t="inlineStr">
        <is>
          <t>Lopplummer (aggregat)</t>
        </is>
      </c>
      <c r="W18">
        <f>HYPERLINK("https://klasma.github.io/Logging_1446/artfynd/A 38103-2023 artfynd.xlsx", "A 38103-2023")</f>
        <v/>
      </c>
      <c r="X18">
        <f>HYPERLINK("https://klasma.github.io/Logging_1446/kartor/A 38103-2023 karta.png", "A 38103-2023")</f>
        <v/>
      </c>
      <c r="Y18">
        <f>HYPERLINK("https://klasma.github.io/Logging_1446/kartor_geotiff/A 38103-2023 georefererad karta.tif", "A 38103-2023")</f>
        <v/>
      </c>
      <c r="AA18">
        <f>HYPERLINK("https://klasma.github.io/Logging_1446/klagomål/A 38103-2023 FSC-klagomål.docx", "A 38103-2023")</f>
        <v/>
      </c>
      <c r="AB18">
        <f>HYPERLINK("https://klasma.github.io/Logging_1446/klagomålsmail/A 38103-2023 FSC-klagomål mail.docx", "A 38103-2023")</f>
        <v/>
      </c>
      <c r="AC18">
        <f>HYPERLINK("https://klasma.github.io/Logging_1446/tillsyn/A 38103-2023 tillsynsbegäran.docx", "A 38103-2023")</f>
        <v/>
      </c>
      <c r="AD18">
        <f>HYPERLINK("https://klasma.github.io/Logging_1446/tillsynsmail/A 38103-2023 tillsynsbegäran mail.docx", "A 38103-2023")</f>
        <v/>
      </c>
    </row>
    <row r="19" ht="15" customHeight="1">
      <c r="A19" t="inlineStr">
        <is>
          <t>A 4448-2026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46045</v>
      </c>
      <c r="E19" s="1" t="n">
        <v>46324</v>
      </c>
      <c r="F19" t="inlineStr">
        <is>
          <t>VÄSTRA GÖTALANDS LÄN</t>
        </is>
      </c>
      <c r="G19" t="inlineStr">
        <is>
          <t>KARLSBORG</t>
        </is>
      </c>
      <c r="H19" t="inlineStr">
        <is>
          <t>Övriga Aktiebolag</t>
        </is>
      </c>
      <c r="I19" t="n">
        <v>1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1</v>
      </c>
      <c r="U19" t="n">
        <v>0</v>
      </c>
      <c r="V19" s="2" t="inlineStr">
        <is>
          <t>Svart trolldruva</t>
        </is>
      </c>
      <c r="W19">
        <f>HYPERLINK("https://klasma.github.io/Logging_1446/artfynd/A 4448-2026 artfynd.xlsx", "A 4448-2026")</f>
        <v/>
      </c>
      <c r="X19">
        <f>HYPERLINK("https://klasma.github.io/Logging_1446/kartor/A 4448-2026 karta.png", "A 4448-2026")</f>
        <v/>
      </c>
      <c r="Y19">
        <f>HYPERLINK("https://klasma.github.io/Logging_1446/kartor_geotiff/A 4448-2026 georefererad karta.tif", "A 4448-2026")</f>
        <v/>
      </c>
      <c r="AA19">
        <f>HYPERLINK("https://klasma.github.io/Logging_1446/klagomål/A 4448-2026 FSC-klagomål.docx", "A 4448-2026")</f>
        <v/>
      </c>
      <c r="AB19">
        <f>HYPERLINK("https://klasma.github.io/Logging_1446/klagomålsmail/A 4448-2026 FSC-klagomål mail.docx", "A 4448-2026")</f>
        <v/>
      </c>
      <c r="AC19">
        <f>HYPERLINK("https://klasma.github.io/Logging_1446/tillsyn/A 4448-2026 tillsynsbegäran.docx", "A 4448-2026")</f>
        <v/>
      </c>
      <c r="AD19">
        <f>HYPERLINK("https://klasma.github.io/Logging_1446/tillsynsmail/A 4448-2026 tillsynsbegäran mail.docx", "A 4448-2026")</f>
        <v/>
      </c>
    </row>
    <row r="20" ht="15" customHeight="1">
      <c r="A20" t="inlineStr">
        <is>
          <t>A 23268-2022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44720</v>
      </c>
      <c r="E20" s="1" t="n">
        <v>46324</v>
      </c>
      <c r="F20" t="inlineStr">
        <is>
          <t>VÄSTRA GÖTALANDS LÄN</t>
        </is>
      </c>
      <c r="G20" t="inlineStr">
        <is>
          <t>KARLSBORG</t>
        </is>
      </c>
      <c r="H20" t="inlineStr">
        <is>
          <t>Sveaskog</t>
        </is>
      </c>
      <c r="I20" t="n">
        <v>3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1</v>
      </c>
      <c r="U20" t="n">
        <v>1</v>
      </c>
      <c r="V20" s="2" t="inlineStr">
        <is>
          <t>Vanlig snok</t>
        </is>
      </c>
      <c r="W20">
        <f>HYPERLINK("https://klasma.github.io/Logging_1446/artfynd/A 23268-2022 artfynd.xlsx", "A 23268-2022")</f>
        <v/>
      </c>
      <c r="X20">
        <f>HYPERLINK("https://klasma.github.io/Logging_1446/kartor/A 23268-2022 karta.png", "A 23268-2022")</f>
        <v/>
      </c>
      <c r="Y20">
        <f>HYPERLINK("https://klasma.github.io/Logging_1446/kartor_geotiff/A 23268-2022 georefererad karta.tif", "A 23268-2022")</f>
        <v/>
      </c>
      <c r="AA20">
        <f>HYPERLINK("https://klasma.github.io/Logging_1446/klagomål/A 23268-2022 FSC-klagomål.docx", "A 23268-2022")</f>
        <v/>
      </c>
      <c r="AB20">
        <f>HYPERLINK("https://klasma.github.io/Logging_1446/klagomålsmail/A 23268-2022 FSC-klagomål mail.docx", "A 23268-2022")</f>
        <v/>
      </c>
      <c r="AC20">
        <f>HYPERLINK("https://klasma.github.io/Logging_1446/tillsyn/A 23268-2022 tillsynsbegäran.docx", "A 23268-2022")</f>
        <v/>
      </c>
      <c r="AD20">
        <f>HYPERLINK("https://klasma.github.io/Logging_1446/tillsynsmail/A 23268-2022 tillsynsbegäran mail.docx", "A 23268-2022")</f>
        <v/>
      </c>
    </row>
    <row r="21" ht="15" customHeight="1">
      <c r="A21" t="inlineStr">
        <is>
          <t>A 53909-2023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45231</v>
      </c>
      <c r="E21" s="1" t="n">
        <v>46324</v>
      </c>
      <c r="F21" t="inlineStr">
        <is>
          <t>VÄSTRA GÖTALANDS LÄN</t>
        </is>
      </c>
      <c r="G21" t="inlineStr">
        <is>
          <t>KARLSBORG</t>
        </is>
      </c>
      <c r="I21" t="n">
        <v>2.6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1</v>
      </c>
      <c r="U21" t="n">
        <v>1</v>
      </c>
      <c r="V21" s="2" t="inlineStr">
        <is>
          <t>Grönvit nattviol</t>
        </is>
      </c>
      <c r="W21">
        <f>HYPERLINK("https://klasma.github.io/Logging_1446/artfynd/A 53909-2023 artfynd.xlsx", "A 53909-2023")</f>
        <v/>
      </c>
      <c r="X21">
        <f>HYPERLINK("https://klasma.github.io/Logging_1446/kartor/A 53909-2023 karta.png", "A 53909-2023")</f>
        <v/>
      </c>
      <c r="Y21">
        <f>HYPERLINK("https://klasma.github.io/Logging_1446/kartor_geotiff/A 53909-2023 georefererad karta.tif", "A 53909-2023")</f>
        <v/>
      </c>
      <c r="AA21">
        <f>HYPERLINK("https://klasma.github.io/Logging_1446/klagomål/A 53909-2023 FSC-klagomål.docx", "A 53909-2023")</f>
        <v/>
      </c>
      <c r="AB21">
        <f>HYPERLINK("https://klasma.github.io/Logging_1446/klagomålsmail/A 53909-2023 FSC-klagomål mail.docx", "A 53909-2023")</f>
        <v/>
      </c>
      <c r="AC21">
        <f>HYPERLINK("https://klasma.github.io/Logging_1446/tillsyn/A 53909-2023 tillsynsbegäran.docx", "A 53909-2023")</f>
        <v/>
      </c>
      <c r="AD21">
        <f>HYPERLINK("https://klasma.github.io/Logging_1446/tillsynsmail/A 53909-2023 tillsynsbegäran mail.docx", "A 53909-2023")</f>
        <v/>
      </c>
    </row>
    <row r="22" ht="15" customHeight="1">
      <c r="A22" t="inlineStr">
        <is>
          <t>A 23973-2023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45075</v>
      </c>
      <c r="E22" s="1" t="n">
        <v>46324</v>
      </c>
      <c r="F22" t="inlineStr">
        <is>
          <t>VÄSTRA GÖTALANDS LÄN</t>
        </is>
      </c>
      <c r="G22" t="inlineStr">
        <is>
          <t>KARLSBORG</t>
        </is>
      </c>
      <c r="I22" t="n">
        <v>2.2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s="2" t="inlineStr">
        <is>
          <t>Orre</t>
        </is>
      </c>
      <c r="W22">
        <f>HYPERLINK("https://klasma.github.io/Logging_1446/artfynd/A 23973-2023 artfynd.xlsx", "A 23973-2023")</f>
        <v/>
      </c>
      <c r="X22">
        <f>HYPERLINK("https://klasma.github.io/Logging_1446/kartor/A 23973-2023 karta.png", "A 23973-2023")</f>
        <v/>
      </c>
      <c r="Y22">
        <f>HYPERLINK("https://klasma.github.io/Logging_1446/kartor_geotiff/A 23973-2023 georefererad karta.tif", "A 23973-2023")</f>
        <v/>
      </c>
      <c r="AA22">
        <f>HYPERLINK("https://klasma.github.io/Logging_1446/klagomål/A 23973-2023 FSC-klagomål.docx", "A 23973-2023")</f>
        <v/>
      </c>
      <c r="AB22">
        <f>HYPERLINK("https://klasma.github.io/Logging_1446/klagomålsmail/A 23973-2023 FSC-klagomål mail.docx", "A 23973-2023")</f>
        <v/>
      </c>
      <c r="AC22">
        <f>HYPERLINK("https://klasma.github.io/Logging_1446/tillsyn/A 23973-2023 tillsynsbegäran.docx", "A 23973-2023")</f>
        <v/>
      </c>
      <c r="AD22">
        <f>HYPERLINK("https://klasma.github.io/Logging_1446/tillsynsmail/A 23973-2023 tillsynsbegäran mail.docx", "A 23973-2023")</f>
        <v/>
      </c>
      <c r="AE22">
        <f>HYPERLINK("https://klasma.github.io/Logging_1446/fåglar/A 23973-2023 prioriterade fågelarter.docx", "A 23973-2023")</f>
        <v/>
      </c>
    </row>
    <row r="23" ht="15" customHeight="1">
      <c r="A23" t="inlineStr">
        <is>
          <t>A 29156-2026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46202</v>
      </c>
      <c r="E23" s="1" t="n">
        <v>46324</v>
      </c>
      <c r="F23" t="inlineStr">
        <is>
          <t>VÄSTRA GÖTALANDS LÄN</t>
        </is>
      </c>
      <c r="G23" t="inlineStr">
        <is>
          <t>KARLSBORG</t>
        </is>
      </c>
      <c r="H23" t="inlineStr">
        <is>
          <t>Sveaskog</t>
        </is>
      </c>
      <c r="I23" t="n">
        <v>1.2</v>
      </c>
      <c r="J23" t="n">
        <v>1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1</v>
      </c>
      <c r="U23" t="n">
        <v>0</v>
      </c>
      <c r="V23" s="2" t="inlineStr">
        <is>
          <t>Spindelblomster</t>
        </is>
      </c>
      <c r="W23">
        <f>HYPERLINK("https://klasma.github.io/Logging_1446/artfynd/A 29156-2026 artfynd.xlsx", "A 29156-2026")</f>
        <v/>
      </c>
      <c r="X23">
        <f>HYPERLINK("https://klasma.github.io/Logging_1446/kartor/A 29156-2026 karta.png", "A 29156-2026")</f>
        <v/>
      </c>
      <c r="Y23">
        <f>HYPERLINK("https://klasma.github.io/Logging_1446/kartor_geotiff/A 29156-2026 georefererad karta.tif", "A 29156-2026")</f>
        <v/>
      </c>
      <c r="AA23">
        <f>HYPERLINK("https://klasma.github.io/Logging_1446/klagomål/A 29156-2026 FSC-klagomål.docx", "A 29156-2026")</f>
        <v/>
      </c>
      <c r="AB23">
        <f>HYPERLINK("https://klasma.github.io/Logging_1446/klagomålsmail/A 29156-2026 FSC-klagomål mail.docx", "A 29156-2026")</f>
        <v/>
      </c>
      <c r="AC23">
        <f>HYPERLINK("https://klasma.github.io/Logging_1446/tillsyn/A 29156-2026 tillsynsbegäran.docx", "A 29156-2026")</f>
        <v/>
      </c>
      <c r="AD23">
        <f>HYPERLINK("https://klasma.github.io/Logging_1446/tillsynsmail/A 29156-2026 tillsynsbegäran mail.docx", "A 29156-2026")</f>
        <v/>
      </c>
    </row>
    <row r="24" ht="15" customHeight="1">
      <c r="A24" t="inlineStr">
        <is>
          <t>A 18567-2026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46127</v>
      </c>
      <c r="E24" s="1" t="n">
        <v>46324</v>
      </c>
      <c r="F24" t="inlineStr">
        <is>
          <t>VÄSTRA GÖTALANDS LÄN</t>
        </is>
      </c>
      <c r="G24" t="inlineStr">
        <is>
          <t>KARLSBORG</t>
        </is>
      </c>
      <c r="H24" t="inlineStr">
        <is>
          <t>Sveaskog</t>
        </is>
      </c>
      <c r="I24" t="n">
        <v>2.6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1</v>
      </c>
      <c r="U24" t="n">
        <v>0</v>
      </c>
      <c r="V24" s="2" t="inlineStr">
        <is>
          <t>Spindelblomster</t>
        </is>
      </c>
      <c r="W24">
        <f>HYPERLINK("https://klasma.github.io/Logging_1446/artfynd/A 18567-2026 artfynd.xlsx", "A 18567-2026")</f>
        <v/>
      </c>
      <c r="X24">
        <f>HYPERLINK("https://klasma.github.io/Logging_1446/kartor/A 18567-2026 karta.png", "A 18567-2026")</f>
        <v/>
      </c>
      <c r="Y24">
        <f>HYPERLINK("https://klasma.github.io/Logging_1446/kartor_geotiff/A 18567-2026 georefererad karta.tif", "A 18567-2026")</f>
        <v/>
      </c>
      <c r="AA24">
        <f>HYPERLINK("https://klasma.github.io/Logging_1446/klagomål/A 18567-2026 FSC-klagomål.docx", "A 18567-2026")</f>
        <v/>
      </c>
      <c r="AB24">
        <f>HYPERLINK("https://klasma.github.io/Logging_1446/klagomålsmail/A 18567-2026 FSC-klagomål mail.docx", "A 18567-2026")</f>
        <v/>
      </c>
      <c r="AC24">
        <f>HYPERLINK("https://klasma.github.io/Logging_1446/tillsyn/A 18567-2026 tillsynsbegäran.docx", "A 18567-2026")</f>
        <v/>
      </c>
      <c r="AD24">
        <f>HYPERLINK("https://klasma.github.io/Logging_1446/tillsynsmail/A 18567-2026 tillsynsbegäran mail.docx", "A 18567-2026")</f>
        <v/>
      </c>
    </row>
    <row r="25" ht="15" customHeight="1">
      <c r="A25" t="inlineStr">
        <is>
          <t>A 29484-2025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45824</v>
      </c>
      <c r="E25" s="1" t="n">
        <v>46324</v>
      </c>
      <c r="F25" t="inlineStr">
        <is>
          <t>VÄSTRA GÖTALANDS LÄN</t>
        </is>
      </c>
      <c r="G25" t="inlineStr">
        <is>
          <t>KARLSBORG</t>
        </is>
      </c>
      <c r="I25" t="n">
        <v>1.4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</v>
      </c>
      <c r="T25" t="n">
        <v>2</v>
      </c>
      <c r="U25" t="n">
        <v>0</v>
      </c>
      <c r="V25" s="2" t="inlineStr">
        <is>
          <t>Blåsippa</t>
        </is>
      </c>
      <c r="W25">
        <f>HYPERLINK("https://klasma.github.io/Logging_1446/artfynd/A 29484-2025 artfynd.xlsx", "A 29484-2025")</f>
        <v/>
      </c>
      <c r="X25">
        <f>HYPERLINK("https://klasma.github.io/Logging_1446/kartor/A 29484-2025 karta.png", "A 29484-2025")</f>
        <v/>
      </c>
      <c r="Y25">
        <f>HYPERLINK("https://klasma.github.io/Logging_1446/kartor_geotiff/A 29484-2025 georefererad karta.tif", "A 29484-2025")</f>
        <v/>
      </c>
      <c r="AA25">
        <f>HYPERLINK("https://klasma.github.io/Logging_1446/klagomål/A 29484-2025 FSC-klagomål.docx", "A 29484-2025")</f>
        <v/>
      </c>
      <c r="AB25">
        <f>HYPERLINK("https://klasma.github.io/Logging_1446/klagomålsmail/A 29484-2025 FSC-klagomål mail.docx", "A 29484-2025")</f>
        <v/>
      </c>
      <c r="AC25">
        <f>HYPERLINK("https://klasma.github.io/Logging_1446/tillsyn/A 29484-2025 tillsynsbegäran.docx", "A 29484-2025")</f>
        <v/>
      </c>
      <c r="AD25">
        <f>HYPERLINK("https://klasma.github.io/Logging_1446/tillsynsmail/A 29484-2025 tillsynsbegäran mail.docx", "A 29484-2025")</f>
        <v/>
      </c>
    </row>
    <row r="26" ht="15" customHeight="1">
      <c r="A26" t="inlineStr">
        <is>
          <t>A 8984-2025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45713</v>
      </c>
      <c r="E26" s="1" t="n">
        <v>46324</v>
      </c>
      <c r="F26" t="inlineStr">
        <is>
          <t>VÄSTRA GÖTALANDS LÄN</t>
        </is>
      </c>
      <c r="G26" t="inlineStr">
        <is>
          <t>KARLSBORG</t>
        </is>
      </c>
      <c r="H26" t="inlineStr">
        <is>
          <t>Övriga Aktiebolag</t>
        </is>
      </c>
      <c r="I26" t="n">
        <v>9.5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1</v>
      </c>
      <c r="U26" t="n">
        <v>1</v>
      </c>
      <c r="V26" s="2" t="inlineStr">
        <is>
          <t>Tjäder</t>
        </is>
      </c>
      <c r="W26">
        <f>HYPERLINK("https://klasma.github.io/Logging_1446/artfynd/A 8984-2025 artfynd.xlsx", "A 8984-2025")</f>
        <v/>
      </c>
      <c r="X26">
        <f>HYPERLINK("https://klasma.github.io/Logging_1446/kartor/A 8984-2025 karta.png", "A 8984-2025")</f>
        <v/>
      </c>
      <c r="Y26">
        <f>HYPERLINK("https://klasma.github.io/Logging_1446/kartor_geotiff/A 8984-2025 georefererad karta.tif", "A 8984-2025")</f>
        <v/>
      </c>
      <c r="AA26">
        <f>HYPERLINK("https://klasma.github.io/Logging_1446/klagomål/A 8984-2025 FSC-klagomål.docx", "A 8984-2025")</f>
        <v/>
      </c>
      <c r="AB26">
        <f>HYPERLINK("https://klasma.github.io/Logging_1446/klagomålsmail/A 8984-2025 FSC-klagomål mail.docx", "A 8984-2025")</f>
        <v/>
      </c>
      <c r="AC26">
        <f>HYPERLINK("https://klasma.github.io/Logging_1446/tillsyn/A 8984-2025 tillsynsbegäran.docx", "A 8984-2025")</f>
        <v/>
      </c>
      <c r="AD26">
        <f>HYPERLINK("https://klasma.github.io/Logging_1446/tillsynsmail/A 8984-2025 tillsynsbegäran mail.docx", "A 8984-2025")</f>
        <v/>
      </c>
      <c r="AE26">
        <f>HYPERLINK("https://klasma.github.io/Logging_1446/fåglar/A 8984-2025 prioriterade fågelarter.docx", "A 8984-2025")</f>
        <v/>
      </c>
    </row>
    <row r="27" ht="15" customHeight="1">
      <c r="A27" t="inlineStr">
        <is>
          <t>A 42778-2024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45566</v>
      </c>
      <c r="E27" s="1" t="n">
        <v>46324</v>
      </c>
      <c r="F27" t="inlineStr">
        <is>
          <t>VÄSTRA GÖTALANDS LÄN</t>
        </is>
      </c>
      <c r="G27" t="inlineStr">
        <is>
          <t>KARLSBORG</t>
        </is>
      </c>
      <c r="I27" t="n">
        <v>1.6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1</v>
      </c>
      <c r="V27" s="2" t="inlineStr">
        <is>
          <t>Svinrot</t>
        </is>
      </c>
      <c r="W27">
        <f>HYPERLINK("https://klasma.github.io/Logging_1446/artfynd/A 42778-2024 artfynd.xlsx", "A 42778-2024")</f>
        <v/>
      </c>
      <c r="X27">
        <f>HYPERLINK("https://klasma.github.io/Logging_1446/kartor/A 42778-2024 karta.png", "A 42778-2024")</f>
        <v/>
      </c>
      <c r="Y27">
        <f>HYPERLINK("https://klasma.github.io/Logging_1446/kartor_geotiff/A 42778-2024 georefererad karta.tif", "A 42778-2024")</f>
        <v/>
      </c>
      <c r="AA27">
        <f>HYPERLINK("https://klasma.github.io/Logging_1446/klagomål/A 42778-2024 FSC-klagomål.docx", "A 42778-2024")</f>
        <v/>
      </c>
      <c r="AB27">
        <f>HYPERLINK("https://klasma.github.io/Logging_1446/klagomålsmail/A 42778-2024 FSC-klagomål mail.docx", "A 42778-2024")</f>
        <v/>
      </c>
      <c r="AC27">
        <f>HYPERLINK("https://klasma.github.io/Logging_1446/tillsyn/A 42778-2024 tillsynsbegäran.docx", "A 42778-2024")</f>
        <v/>
      </c>
      <c r="AD27">
        <f>HYPERLINK("https://klasma.github.io/Logging_1446/tillsynsmail/A 42778-2024 tillsynsbegäran mail.docx", "A 42778-2024")</f>
        <v/>
      </c>
    </row>
    <row r="28" ht="15" customHeight="1">
      <c r="A28" t="inlineStr">
        <is>
          <t>A 66556-2021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44519</v>
      </c>
      <c r="E28" s="1" t="n">
        <v>46324</v>
      </c>
      <c r="F28" t="inlineStr">
        <is>
          <t>VÄSTRA GÖTALANDS LÄN</t>
        </is>
      </c>
      <c r="G28" t="inlineStr">
        <is>
          <t>KARLSBORG</t>
        </is>
      </c>
      <c r="I28" t="n">
        <v>3.5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s="2" t="inlineStr"/>
    </row>
    <row r="29" ht="15" customHeight="1">
      <c r="A29" t="inlineStr">
        <is>
          <t>A 3290-2022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44584</v>
      </c>
      <c r="E29" s="1" t="n">
        <v>46324</v>
      </c>
      <c r="F29" t="inlineStr">
        <is>
          <t>VÄSTRA GÖTALANDS LÄN</t>
        </is>
      </c>
      <c r="G29" t="inlineStr">
        <is>
          <t>KARLSBORG</t>
        </is>
      </c>
      <c r="I29" t="n">
        <v>1.7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s="2" t="inlineStr"/>
    </row>
    <row r="30" ht="15" customHeight="1">
      <c r="A30" t="inlineStr">
        <is>
          <t>A 70450-2021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44536</v>
      </c>
      <c r="E30" s="1" t="n">
        <v>46324</v>
      </c>
      <c r="F30" t="inlineStr">
        <is>
          <t>VÄSTRA GÖTALANDS LÄN</t>
        </is>
      </c>
      <c r="G30" t="inlineStr">
        <is>
          <t>KARLSBORG</t>
        </is>
      </c>
      <c r="H30" t="inlineStr">
        <is>
          <t>Övriga Aktiebolag</t>
        </is>
      </c>
      <c r="I30" t="n">
        <v>3.5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s="2" t="inlineStr"/>
    </row>
    <row r="31" ht="15" customHeight="1">
      <c r="A31" t="inlineStr">
        <is>
          <t>A 70939-2021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44538</v>
      </c>
      <c r="E31" s="1" t="n">
        <v>46324</v>
      </c>
      <c r="F31" t="inlineStr">
        <is>
          <t>VÄSTRA GÖTALANDS LÄN</t>
        </is>
      </c>
      <c r="G31" t="inlineStr">
        <is>
          <t>KARLSBORG</t>
        </is>
      </c>
      <c r="H31" t="inlineStr">
        <is>
          <t>Övriga Aktiebolag</t>
        </is>
      </c>
      <c r="I31" t="n">
        <v>0.7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s="2" t="inlineStr"/>
    </row>
    <row r="32" ht="15" customHeight="1">
      <c r="A32" t="inlineStr">
        <is>
          <t>A 33114-2022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44785</v>
      </c>
      <c r="E32" s="1" t="n">
        <v>46324</v>
      </c>
      <c r="F32" t="inlineStr">
        <is>
          <t>VÄSTRA GÖTALANDS LÄN</t>
        </is>
      </c>
      <c r="G32" t="inlineStr">
        <is>
          <t>KARLSBORG</t>
        </is>
      </c>
      <c r="H32" t="inlineStr">
        <is>
          <t>Sveaskog</t>
        </is>
      </c>
      <c r="I32" t="n">
        <v>0.7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s="2" t="inlineStr"/>
    </row>
    <row r="33" ht="15" customHeight="1">
      <c r="A33" t="inlineStr">
        <is>
          <t>A 18625-2022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44687</v>
      </c>
      <c r="E33" s="1" t="n">
        <v>46324</v>
      </c>
      <c r="F33" t="inlineStr">
        <is>
          <t>VÄSTRA GÖTALANDS LÄN</t>
        </is>
      </c>
      <c r="G33" t="inlineStr">
        <is>
          <t>KARLSBORG</t>
        </is>
      </c>
      <c r="I33" t="n">
        <v>0.7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s="2" t="inlineStr"/>
    </row>
    <row r="34" ht="15" customHeight="1">
      <c r="A34" t="inlineStr">
        <is>
          <t>A 59399-2022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44906</v>
      </c>
      <c r="E34" s="1" t="n">
        <v>46324</v>
      </c>
      <c r="F34" t="inlineStr">
        <is>
          <t>VÄSTRA GÖTALANDS LÄN</t>
        </is>
      </c>
      <c r="G34" t="inlineStr">
        <is>
          <t>KARLSBORG</t>
        </is>
      </c>
      <c r="I34" t="n">
        <v>0.7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s="2" t="inlineStr"/>
    </row>
    <row r="35" ht="15" customHeight="1">
      <c r="A35" t="inlineStr">
        <is>
          <t>A 34673-2022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44795</v>
      </c>
      <c r="E35" s="1" t="n">
        <v>46324</v>
      </c>
      <c r="F35" t="inlineStr">
        <is>
          <t>VÄSTRA GÖTALANDS LÄN</t>
        </is>
      </c>
      <c r="G35" t="inlineStr">
        <is>
          <t>KARLSBORG</t>
        </is>
      </c>
      <c r="H35" t="inlineStr">
        <is>
          <t>Sveaskog</t>
        </is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s="2" t="inlineStr"/>
    </row>
    <row r="36" ht="15" customHeight="1">
      <c r="A36" t="inlineStr">
        <is>
          <t>A 48888-2023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45209</v>
      </c>
      <c r="E36" s="1" t="n">
        <v>46324</v>
      </c>
      <c r="F36" t="inlineStr">
        <is>
          <t>VÄSTRA GÖTALANDS LÄN</t>
        </is>
      </c>
      <c r="G36" t="inlineStr">
        <is>
          <t>KARLSBORG</t>
        </is>
      </c>
      <c r="I36" t="n">
        <v>0.2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s="2" t="inlineStr"/>
    </row>
    <row r="37" ht="15" customHeight="1">
      <c r="A37" t="inlineStr">
        <is>
          <t>A 70949-2021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44538</v>
      </c>
      <c r="E37" s="1" t="n">
        <v>46324</v>
      </c>
      <c r="F37" t="inlineStr">
        <is>
          <t>VÄSTRA GÖTALANDS LÄN</t>
        </is>
      </c>
      <c r="G37" t="inlineStr">
        <is>
          <t>KARLSBORG</t>
        </is>
      </c>
      <c r="H37" t="inlineStr">
        <is>
          <t>Övriga Aktiebolag</t>
        </is>
      </c>
      <c r="I37" t="n">
        <v>3.4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s="2" t="inlineStr"/>
    </row>
    <row r="38" ht="15" customHeight="1">
      <c r="A38" t="inlineStr">
        <is>
          <t>A 48174-2024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45589</v>
      </c>
      <c r="E38" s="1" t="n">
        <v>46324</v>
      </c>
      <c r="F38" t="inlineStr">
        <is>
          <t>VÄSTRA GÖTALANDS LÄN</t>
        </is>
      </c>
      <c r="G38" t="inlineStr">
        <is>
          <t>KARLSBORG</t>
        </is>
      </c>
      <c r="I38" t="n">
        <v>1.6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s="2" t="inlineStr"/>
    </row>
    <row r="39" ht="15" customHeight="1">
      <c r="A39" t="inlineStr">
        <is>
          <t>A 6068-2022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44599</v>
      </c>
      <c r="E39" s="1" t="n">
        <v>46324</v>
      </c>
      <c r="F39" t="inlineStr">
        <is>
          <t>VÄSTRA GÖTALANDS LÄN</t>
        </is>
      </c>
      <c r="G39" t="inlineStr">
        <is>
          <t>KARLSBORG</t>
        </is>
      </c>
      <c r="I39" t="n">
        <v>0.4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s="2" t="inlineStr"/>
    </row>
    <row r="40" ht="15" customHeight="1">
      <c r="A40" t="inlineStr">
        <is>
          <t>A 34676-2022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44795</v>
      </c>
      <c r="E40" s="1" t="n">
        <v>46324</v>
      </c>
      <c r="F40" t="inlineStr">
        <is>
          <t>VÄSTRA GÖTALANDS LÄN</t>
        </is>
      </c>
      <c r="G40" t="inlineStr">
        <is>
          <t>KARLSBORG</t>
        </is>
      </c>
      <c r="H40" t="inlineStr">
        <is>
          <t>Sveaskog</t>
        </is>
      </c>
      <c r="I40" t="n">
        <v>0.8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s="2" t="inlineStr"/>
    </row>
    <row r="41" ht="15" customHeight="1">
      <c r="A41" t="inlineStr">
        <is>
          <t>A 57727-2024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45630</v>
      </c>
      <c r="E41" s="1" t="n">
        <v>46324</v>
      </c>
      <c r="F41" t="inlineStr">
        <is>
          <t>VÄSTRA GÖTALANDS LÄN</t>
        </is>
      </c>
      <c r="G41" t="inlineStr">
        <is>
          <t>KARLSBORG</t>
        </is>
      </c>
      <c r="H41" t="inlineStr">
        <is>
          <t>Övriga Aktiebolag</t>
        </is>
      </c>
      <c r="I41" t="n">
        <v>1.5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s="2" t="inlineStr"/>
    </row>
    <row r="42" ht="15" customHeight="1">
      <c r="A42" t="inlineStr">
        <is>
          <t>A 7652-2023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44972</v>
      </c>
      <c r="E42" s="1" t="n">
        <v>46324</v>
      </c>
      <c r="F42" t="inlineStr">
        <is>
          <t>VÄSTRA GÖTALANDS LÄN</t>
        </is>
      </c>
      <c r="G42" t="inlineStr">
        <is>
          <t>KARLSBORG</t>
        </is>
      </c>
      <c r="I42" t="n">
        <v>0.9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s="2" t="inlineStr"/>
    </row>
    <row r="43" ht="15" customHeight="1">
      <c r="A43" t="inlineStr">
        <is>
          <t>A 35040-2024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45527</v>
      </c>
      <c r="E43" s="1" t="n">
        <v>46324</v>
      </c>
      <c r="F43" t="inlineStr">
        <is>
          <t>VÄSTRA GÖTALANDS LÄN</t>
        </is>
      </c>
      <c r="G43" t="inlineStr">
        <is>
          <t>KARLSBORG</t>
        </is>
      </c>
      <c r="I43" t="n">
        <v>3.9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s="2" t="inlineStr"/>
    </row>
    <row r="44" ht="15" customHeight="1">
      <c r="A44" t="inlineStr">
        <is>
          <t>A 3575-2025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45680</v>
      </c>
      <c r="E44" s="1" t="n">
        <v>46324</v>
      </c>
      <c r="F44" t="inlineStr">
        <is>
          <t>VÄSTRA GÖTALANDS LÄN</t>
        </is>
      </c>
      <c r="G44" t="inlineStr">
        <is>
          <t>KARLSBORG</t>
        </is>
      </c>
      <c r="I44" t="n">
        <v>2.3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s="2" t="inlineStr"/>
    </row>
    <row r="45" ht="15" customHeight="1">
      <c r="A45" t="inlineStr">
        <is>
          <t>A 23500-2023</t>
        </is>
      </c>
      <c r="B45" t="inlineStr">
        <is>
          <t>avverkningsanmälan</t>
        </is>
      </c>
      <c r="C45" t="inlineStr">
        <is>
          <t>Avverkning för annat ändamål</t>
        </is>
      </c>
      <c r="D45" s="1" t="n">
        <v>45076</v>
      </c>
      <c r="E45" s="1" t="n">
        <v>46324</v>
      </c>
      <c r="F45" t="inlineStr">
        <is>
          <t>VÄSTRA GÖTALANDS LÄN</t>
        </is>
      </c>
      <c r="G45" t="inlineStr">
        <is>
          <t>KARLSBORG</t>
        </is>
      </c>
      <c r="I45" t="n">
        <v>0.9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s="2" t="inlineStr"/>
    </row>
    <row r="46" ht="15" customHeight="1">
      <c r="A46" t="inlineStr">
        <is>
          <t>A 23469-2024</t>
        </is>
      </c>
      <c r="B46" t="inlineStr">
        <is>
          <t>avverkningsanmälan</t>
        </is>
      </c>
      <c r="C46" t="inlineStr">
        <is>
          <t>Föryngringsavverkning</t>
        </is>
      </c>
      <c r="D46" s="1" t="n">
        <v>45453</v>
      </c>
      <c r="E46" s="1" t="n">
        <v>46324</v>
      </c>
      <c r="F46" t="inlineStr">
        <is>
          <t>VÄSTRA GÖTALANDS LÄN</t>
        </is>
      </c>
      <c r="G46" t="inlineStr">
        <is>
          <t>KARLSBORG</t>
        </is>
      </c>
      <c r="I46" t="n">
        <v>8.300000000000001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s="2" t="inlineStr"/>
    </row>
    <row r="47" ht="15" customHeight="1">
      <c r="A47" t="inlineStr">
        <is>
          <t>A 5439-2022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44595</v>
      </c>
      <c r="E47" s="1" t="n">
        <v>46324</v>
      </c>
      <c r="F47" t="inlineStr">
        <is>
          <t>VÄSTRA GÖTALANDS LÄN</t>
        </is>
      </c>
      <c r="G47" t="inlineStr">
        <is>
          <t>KARLSBORG</t>
        </is>
      </c>
      <c r="I47" t="n">
        <v>0.7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s="2" t="inlineStr"/>
    </row>
    <row r="48" ht="15" customHeight="1">
      <c r="A48" t="inlineStr">
        <is>
          <t>A 61542-2023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45265</v>
      </c>
      <c r="E48" s="1" t="n">
        <v>46324</v>
      </c>
      <c r="F48" t="inlineStr">
        <is>
          <t>VÄSTRA GÖTALANDS LÄN</t>
        </is>
      </c>
      <c r="G48" t="inlineStr">
        <is>
          <t>KARLSBORG</t>
        </is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s="2" t="inlineStr"/>
    </row>
    <row r="49" ht="15" customHeight="1">
      <c r="A49" t="inlineStr">
        <is>
          <t>A 25982-2025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45804</v>
      </c>
      <c r="E49" s="1" t="n">
        <v>46324</v>
      </c>
      <c r="F49" t="inlineStr">
        <is>
          <t>VÄSTRA GÖTALANDS LÄN</t>
        </is>
      </c>
      <c r="G49" t="inlineStr">
        <is>
          <t>KARLSBORG</t>
        </is>
      </c>
      <c r="H49" t="inlineStr">
        <is>
          <t>Övriga Aktiebolag</t>
        </is>
      </c>
      <c r="I49" t="n">
        <v>6.1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s="2" t="inlineStr"/>
    </row>
    <row r="50" ht="15" customHeight="1">
      <c r="A50" t="inlineStr">
        <is>
          <t>A 13076-2023</t>
        </is>
      </c>
      <c r="B50" t="inlineStr">
        <is>
          <t>avverkningsanmälan</t>
        </is>
      </c>
      <c r="C50" t="inlineStr">
        <is>
          <t>Föryngringsavverkning</t>
        </is>
      </c>
      <c r="D50" s="1" t="n">
        <v>45002</v>
      </c>
      <c r="E50" s="1" t="n">
        <v>46324</v>
      </c>
      <c r="F50" t="inlineStr">
        <is>
          <t>VÄSTRA GÖTALANDS LÄN</t>
        </is>
      </c>
      <c r="G50" t="inlineStr">
        <is>
          <t>KARLSBORG</t>
        </is>
      </c>
      <c r="I50" t="n">
        <v>2.2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s="2" t="inlineStr"/>
    </row>
    <row r="51" ht="15" customHeight="1">
      <c r="A51" t="inlineStr">
        <is>
          <t>A 7978-2025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45707</v>
      </c>
      <c r="E51" s="1" t="n">
        <v>46324</v>
      </c>
      <c r="F51" t="inlineStr">
        <is>
          <t>VÄSTRA GÖTALANDS LÄN</t>
        </is>
      </c>
      <c r="G51" t="inlineStr">
        <is>
          <t>KARLSBORG</t>
        </is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s="2" t="inlineStr"/>
    </row>
    <row r="52" ht="15" customHeight="1">
      <c r="A52" t="inlineStr">
        <is>
          <t>A 34120-2024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45524</v>
      </c>
      <c r="E52" s="1" t="n">
        <v>46324</v>
      </c>
      <c r="F52" t="inlineStr">
        <is>
          <t>VÄSTRA GÖTALANDS LÄN</t>
        </is>
      </c>
      <c r="G52" t="inlineStr">
        <is>
          <t>KARLSBORG</t>
        </is>
      </c>
      <c r="H52" t="inlineStr">
        <is>
          <t>Övriga Aktiebolag</t>
        </is>
      </c>
      <c r="I52" t="n">
        <v>0.7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s="2" t="inlineStr"/>
    </row>
    <row r="53" ht="15" customHeight="1">
      <c r="A53" t="inlineStr">
        <is>
          <t>A 34123-2024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45524</v>
      </c>
      <c r="E53" s="1" t="n">
        <v>46324</v>
      </c>
      <c r="F53" t="inlineStr">
        <is>
          <t>VÄSTRA GÖTALANDS LÄN</t>
        </is>
      </c>
      <c r="G53" t="inlineStr">
        <is>
          <t>KARLSBORG</t>
        </is>
      </c>
      <c r="H53" t="inlineStr">
        <is>
          <t>Övriga Aktiebolag</t>
        </is>
      </c>
      <c r="I53" t="n">
        <v>1.8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s="2" t="inlineStr"/>
    </row>
    <row r="54" ht="15" customHeight="1">
      <c r="A54" t="inlineStr">
        <is>
          <t>A 58533-2023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45251</v>
      </c>
      <c r="E54" s="1" t="n">
        <v>46324</v>
      </c>
      <c r="F54" t="inlineStr">
        <is>
          <t>VÄSTRA GÖTALANDS LÄN</t>
        </is>
      </c>
      <c r="G54" t="inlineStr">
        <is>
          <t>KARLSBORG</t>
        </is>
      </c>
      <c r="I54" t="n">
        <v>2.3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s="2" t="inlineStr"/>
    </row>
    <row r="55" ht="15" customHeight="1">
      <c r="A55" t="inlineStr">
        <is>
          <t>A 58152-2022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44900</v>
      </c>
      <c r="E55" s="1" t="n">
        <v>46324</v>
      </c>
      <c r="F55" t="inlineStr">
        <is>
          <t>VÄSTRA GÖTALANDS LÄN</t>
        </is>
      </c>
      <c r="G55" t="inlineStr">
        <is>
          <t>KARLSBORG</t>
        </is>
      </c>
      <c r="I55" t="n">
        <v>1.1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s="2" t="inlineStr"/>
    </row>
    <row r="56" ht="15" customHeight="1">
      <c r="A56" t="inlineStr">
        <is>
          <t>A 37363-2022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44809</v>
      </c>
      <c r="E56" s="1" t="n">
        <v>46324</v>
      </c>
      <c r="F56" t="inlineStr">
        <is>
          <t>VÄSTRA GÖTALANDS LÄN</t>
        </is>
      </c>
      <c r="G56" t="inlineStr">
        <is>
          <t>KARLSBORG</t>
        </is>
      </c>
      <c r="H56" t="inlineStr">
        <is>
          <t>Sveaskog</t>
        </is>
      </c>
      <c r="I56" t="n">
        <v>4.4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s="2" t="inlineStr"/>
    </row>
    <row r="57" ht="15" customHeight="1">
      <c r="A57" t="inlineStr">
        <is>
          <t>A 29357-2024</t>
        </is>
      </c>
      <c r="B57" t="inlineStr">
        <is>
          <t>avverkningsanmälan</t>
        </is>
      </c>
      <c r="C57" t="inlineStr">
        <is>
          <t>Avverkning för att bevara och utveckla /försöksver</t>
        </is>
      </c>
      <c r="D57" s="1" t="n">
        <v>45483</v>
      </c>
      <c r="E57" s="1" t="n">
        <v>46324</v>
      </c>
      <c r="F57" t="inlineStr">
        <is>
          <t>VÄSTRA GÖTALANDS LÄN</t>
        </is>
      </c>
      <c r="G57" t="inlineStr">
        <is>
          <t>KARLSBORG</t>
        </is>
      </c>
      <c r="H57" t="inlineStr">
        <is>
          <t>Sveaskog</t>
        </is>
      </c>
      <c r="I57" t="n">
        <v>2.9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s="2" t="inlineStr"/>
    </row>
    <row r="58" ht="15" customHeight="1">
      <c r="A58" t="inlineStr">
        <is>
          <t>A 10007-2025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45719</v>
      </c>
      <c r="E58" s="1" t="n">
        <v>46324</v>
      </c>
      <c r="F58" t="inlineStr">
        <is>
          <t>VÄSTRA GÖTALANDS LÄN</t>
        </is>
      </c>
      <c r="G58" t="inlineStr">
        <is>
          <t>KARLSBORG</t>
        </is>
      </c>
      <c r="I58" t="n">
        <v>1.2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s="2" t="inlineStr"/>
    </row>
    <row r="59" ht="15" customHeight="1">
      <c r="A59" t="inlineStr">
        <is>
          <t>A 28460-2023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45103</v>
      </c>
      <c r="E59" s="1" t="n">
        <v>46324</v>
      </c>
      <c r="F59" t="inlineStr">
        <is>
          <t>VÄSTRA GÖTALANDS LÄN</t>
        </is>
      </c>
      <c r="G59" t="inlineStr">
        <is>
          <t>KARLSBORG</t>
        </is>
      </c>
      <c r="I59" t="n">
        <v>0.6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s="2" t="inlineStr"/>
    </row>
    <row r="60" ht="15" customHeight="1">
      <c r="A60" t="inlineStr">
        <is>
          <t>A 29490-2025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45824</v>
      </c>
      <c r="E60" s="1" t="n">
        <v>46324</v>
      </c>
      <c r="F60" t="inlineStr">
        <is>
          <t>VÄSTRA GÖTALANDS LÄN</t>
        </is>
      </c>
      <c r="G60" t="inlineStr">
        <is>
          <t>KARLSBORG</t>
        </is>
      </c>
      <c r="H60" t="inlineStr">
        <is>
          <t>Övriga Aktiebolag</t>
        </is>
      </c>
      <c r="I60" t="n">
        <v>1.5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s="2" t="inlineStr"/>
    </row>
    <row r="61" ht="15" customHeight="1">
      <c r="A61" t="inlineStr">
        <is>
          <t>A 41350-2025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45899</v>
      </c>
      <c r="E61" s="1" t="n">
        <v>46324</v>
      </c>
      <c r="F61" t="inlineStr">
        <is>
          <t>VÄSTRA GÖTALANDS LÄN</t>
        </is>
      </c>
      <c r="G61" t="inlineStr">
        <is>
          <t>KARLSBORG</t>
        </is>
      </c>
      <c r="I61" t="n">
        <v>0.6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s="2" t="inlineStr"/>
    </row>
    <row r="62" ht="15" customHeight="1">
      <c r="A62" t="inlineStr">
        <is>
          <t>A 53247-2023</t>
        </is>
      </c>
      <c r="B62" t="inlineStr">
        <is>
          <t>avverkningsanmälan</t>
        </is>
      </c>
      <c r="C62" t="inlineStr">
        <is>
          <t>Föryngringsavverkning</t>
        </is>
      </c>
      <c r="D62" s="1" t="n">
        <v>45229</v>
      </c>
      <c r="E62" s="1" t="n">
        <v>46324</v>
      </c>
      <c r="F62" t="inlineStr">
        <is>
          <t>VÄSTRA GÖTALANDS LÄN</t>
        </is>
      </c>
      <c r="G62" t="inlineStr">
        <is>
          <t>KARLSBORG</t>
        </is>
      </c>
      <c r="I62" t="n">
        <v>3.7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s="2" t="inlineStr"/>
    </row>
    <row r="63" ht="15" customHeight="1">
      <c r="A63" t="inlineStr">
        <is>
          <t>A 412-2023</t>
        </is>
      </c>
      <c r="B63" t="inlineStr">
        <is>
          <t>avverkningsanmälan</t>
        </is>
      </c>
      <c r="C63" t="inlineStr">
        <is>
          <t>Avverkning för annat ändamål</t>
        </is>
      </c>
      <c r="D63" s="1" t="n">
        <v>44929</v>
      </c>
      <c r="E63" s="1" t="n">
        <v>46324</v>
      </c>
      <c r="F63" t="inlineStr">
        <is>
          <t>VÄSTRA GÖTALANDS LÄN</t>
        </is>
      </c>
      <c r="G63" t="inlineStr">
        <is>
          <t>KARLSBORG</t>
        </is>
      </c>
      <c r="I63" t="n">
        <v>1.3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s="2" t="inlineStr"/>
      <c r="X63">
        <f>HYPERLINK("https://klasma.github.io/Logging_1446/kartor/A 412-2023 karta.png", "A 412-2023")</f>
        <v/>
      </c>
      <c r="Y63">
        <f>HYPERLINK("https://klasma.github.io/Logging_1446/kartor_geotiff/A 412-2023 georefererad karta.tif", "A 412-2023")</f>
        <v/>
      </c>
      <c r="AA63">
        <f>HYPERLINK("https://klasma.github.io/Logging_1446/klagomål/A 412-2023 FSC-klagomål.docx", "A 412-2023")</f>
        <v/>
      </c>
      <c r="AB63">
        <f>HYPERLINK("https://klasma.github.io/Logging_1446/klagomålsmail/A 412-2023 FSC-klagomål mail.docx", "A 412-2023")</f>
        <v/>
      </c>
      <c r="AC63">
        <f>HYPERLINK("https://klasma.github.io/Logging_1446/tillsyn/A 412-2023 tillsynsbegäran.docx", "A 412-2023")</f>
        <v/>
      </c>
      <c r="AD63">
        <f>HYPERLINK("https://klasma.github.io/Logging_1446/tillsynsmail/A 412-2023 tillsynsbegäran mail.docx", "A 412-2023")</f>
        <v/>
      </c>
    </row>
    <row r="64" ht="15" customHeight="1">
      <c r="A64" t="inlineStr">
        <is>
          <t>A 42757-2025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45908</v>
      </c>
      <c r="E64" s="1" t="n">
        <v>46324</v>
      </c>
      <c r="F64" t="inlineStr">
        <is>
          <t>VÄSTRA GÖTALANDS LÄN</t>
        </is>
      </c>
      <c r="G64" t="inlineStr">
        <is>
          <t>KARLSBORG</t>
        </is>
      </c>
      <c r="H64" t="inlineStr">
        <is>
          <t>Kyrkan</t>
        </is>
      </c>
      <c r="I64" t="n">
        <v>8.5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s="2" t="inlineStr"/>
    </row>
    <row r="65" ht="15" customHeight="1">
      <c r="A65" t="inlineStr">
        <is>
          <t>A 29685-2022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44755</v>
      </c>
      <c r="E65" s="1" t="n">
        <v>46324</v>
      </c>
      <c r="F65" t="inlineStr">
        <is>
          <t>VÄSTRA GÖTALANDS LÄN</t>
        </is>
      </c>
      <c r="G65" t="inlineStr">
        <is>
          <t>KARLSBORG</t>
        </is>
      </c>
      <c r="I65" t="n">
        <v>1.2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s="2" t="inlineStr"/>
    </row>
    <row r="66" ht="15" customHeight="1">
      <c r="A66" t="inlineStr">
        <is>
          <t>A 32128-2025</t>
        </is>
      </c>
      <c r="B66" t="inlineStr">
        <is>
          <t>avverkningsanmälan</t>
        </is>
      </c>
      <c r="C66" t="inlineStr">
        <is>
          <t>Avverkning för att bevara och utveckla /försöksver</t>
        </is>
      </c>
      <c r="D66" s="1" t="n">
        <v>45835</v>
      </c>
      <c r="E66" s="1" t="n">
        <v>46324</v>
      </c>
      <c r="F66" t="inlineStr">
        <is>
          <t>VÄSTRA GÖTALANDS LÄN</t>
        </is>
      </c>
      <c r="G66" t="inlineStr">
        <is>
          <t>KARLSBORG</t>
        </is>
      </c>
      <c r="H66" t="inlineStr">
        <is>
          <t>Sveaskog</t>
        </is>
      </c>
      <c r="I66" t="n">
        <v>3.6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s="2" t="inlineStr"/>
    </row>
    <row r="67" ht="15" customHeight="1">
      <c r="A67" t="inlineStr">
        <is>
          <t>A 31701-2025</t>
        </is>
      </c>
      <c r="B67" t="inlineStr">
        <is>
          <t>avverkningsanmälan</t>
        </is>
      </c>
      <c r="C67" t="inlineStr">
        <is>
          <t>Avverkning för annat ändamål</t>
        </is>
      </c>
      <c r="D67" s="1" t="n">
        <v>45834</v>
      </c>
      <c r="E67" s="1" t="n">
        <v>46324</v>
      </c>
      <c r="F67" t="inlineStr">
        <is>
          <t>VÄSTRA GÖTALANDS LÄN</t>
        </is>
      </c>
      <c r="G67" t="inlineStr">
        <is>
          <t>KARLSBORG</t>
        </is>
      </c>
      <c r="I67" t="n">
        <v>1.4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s="2" t="inlineStr"/>
    </row>
    <row r="68" ht="15" customHeight="1">
      <c r="A68" t="inlineStr">
        <is>
          <t>A 44366-2025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45916</v>
      </c>
      <c r="E68" s="1" t="n">
        <v>46324</v>
      </c>
      <c r="F68" t="inlineStr">
        <is>
          <t>VÄSTRA GÖTALANDS LÄN</t>
        </is>
      </c>
      <c r="G68" t="inlineStr">
        <is>
          <t>KARLSBORG</t>
        </is>
      </c>
      <c r="H68" t="inlineStr">
        <is>
          <t>Kyrkan</t>
        </is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s="2" t="inlineStr"/>
    </row>
    <row r="69" ht="15" customHeight="1">
      <c r="A69" t="inlineStr">
        <is>
          <t>A 45247-2025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45919</v>
      </c>
      <c r="E69" s="1" t="n">
        <v>46324</v>
      </c>
      <c r="F69" t="inlineStr">
        <is>
          <t>VÄSTRA GÖTALANDS LÄN</t>
        </is>
      </c>
      <c r="G69" t="inlineStr">
        <is>
          <t>KARLSBORG</t>
        </is>
      </c>
      <c r="I69" t="n">
        <v>5.1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s="2" t="inlineStr"/>
    </row>
    <row r="70" ht="15" customHeight="1">
      <c r="A70" t="inlineStr">
        <is>
          <t>A 45256-2025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45919</v>
      </c>
      <c r="E70" s="1" t="n">
        <v>46324</v>
      </c>
      <c r="F70" t="inlineStr">
        <is>
          <t>VÄSTRA GÖTALANDS LÄN</t>
        </is>
      </c>
      <c r="G70" t="inlineStr">
        <is>
          <t>KARLSBORG</t>
        </is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s="2" t="inlineStr"/>
    </row>
    <row r="71" ht="15" customHeight="1">
      <c r="A71" t="inlineStr">
        <is>
          <t>A 56545-2023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45243</v>
      </c>
      <c r="E71" s="1" t="n">
        <v>46324</v>
      </c>
      <c r="F71" t="inlineStr">
        <is>
          <t>VÄSTRA GÖTALANDS LÄN</t>
        </is>
      </c>
      <c r="G71" t="inlineStr">
        <is>
          <t>KARLSBORG</t>
        </is>
      </c>
      <c r="H71" t="inlineStr">
        <is>
          <t>Sveaskog</t>
        </is>
      </c>
      <c r="I71" t="n">
        <v>1.4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s="2" t="inlineStr"/>
    </row>
    <row r="72" ht="15" customHeight="1">
      <c r="A72" t="inlineStr">
        <is>
          <t>A 38073-2023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45160</v>
      </c>
      <c r="E72" s="1" t="n">
        <v>46324</v>
      </c>
      <c r="F72" t="inlineStr">
        <is>
          <t>VÄSTRA GÖTALANDS LÄN</t>
        </is>
      </c>
      <c r="G72" t="inlineStr">
        <is>
          <t>KARLSBORG</t>
        </is>
      </c>
      <c r="I72" t="n">
        <v>2.9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s="2" t="inlineStr"/>
    </row>
    <row r="73" ht="15" customHeight="1">
      <c r="A73" t="inlineStr">
        <is>
          <t>A 61211-2022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44908</v>
      </c>
      <c r="E73" s="1" t="n">
        <v>46324</v>
      </c>
      <c r="F73" t="inlineStr">
        <is>
          <t>VÄSTRA GÖTALANDS LÄN</t>
        </is>
      </c>
      <c r="G73" t="inlineStr">
        <is>
          <t>KARLSBORG</t>
        </is>
      </c>
      <c r="I73" t="n">
        <v>8.1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s="2" t="inlineStr"/>
    </row>
    <row r="74" ht="15" customHeight="1">
      <c r="A74" t="inlineStr">
        <is>
          <t>A 47265-2025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45930</v>
      </c>
      <c r="E74" s="1" t="n">
        <v>46324</v>
      </c>
      <c r="F74" t="inlineStr">
        <is>
          <t>VÄSTRA GÖTALANDS LÄN</t>
        </is>
      </c>
      <c r="G74" t="inlineStr">
        <is>
          <t>KARLSBORG</t>
        </is>
      </c>
      <c r="I74" t="n">
        <v>4.8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s="2" t="inlineStr"/>
    </row>
    <row r="75" ht="15" customHeight="1">
      <c r="A75" t="inlineStr">
        <is>
          <t>A 9788-2025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45716</v>
      </c>
      <c r="E75" s="1" t="n">
        <v>46324</v>
      </c>
      <c r="F75" t="inlineStr">
        <is>
          <t>VÄSTRA GÖTALANDS LÄN</t>
        </is>
      </c>
      <c r="G75" t="inlineStr">
        <is>
          <t>KARLSBORG</t>
        </is>
      </c>
      <c r="I75" t="n">
        <v>0.8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s="2" t="inlineStr"/>
    </row>
    <row r="76" ht="15" customHeight="1">
      <c r="A76" t="inlineStr">
        <is>
          <t>A 47262-2025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45930</v>
      </c>
      <c r="E76" s="1" t="n">
        <v>46324</v>
      </c>
      <c r="F76" t="inlineStr">
        <is>
          <t>VÄSTRA GÖTALANDS LÄN</t>
        </is>
      </c>
      <c r="G76" t="inlineStr">
        <is>
          <t>KARLSBORG</t>
        </is>
      </c>
      <c r="I76" t="n">
        <v>2.7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s="2" t="inlineStr"/>
    </row>
    <row r="77" ht="15" customHeight="1">
      <c r="A77" t="inlineStr">
        <is>
          <t>A 70945-2021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44538</v>
      </c>
      <c r="E77" s="1" t="n">
        <v>46324</v>
      </c>
      <c r="F77" t="inlineStr">
        <is>
          <t>VÄSTRA GÖTALANDS LÄN</t>
        </is>
      </c>
      <c r="G77" t="inlineStr">
        <is>
          <t>KARLSBORG</t>
        </is>
      </c>
      <c r="H77" t="inlineStr">
        <is>
          <t>Övriga Aktiebolag</t>
        </is>
      </c>
      <c r="I77" t="n">
        <v>1.7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s="2" t="inlineStr"/>
    </row>
    <row r="78" ht="15" customHeight="1">
      <c r="A78" t="inlineStr">
        <is>
          <t>A 61559-2023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45265</v>
      </c>
      <c r="E78" s="1" t="n">
        <v>46324</v>
      </c>
      <c r="F78" t="inlineStr">
        <is>
          <t>VÄSTRA GÖTALANDS LÄN</t>
        </is>
      </c>
      <c r="G78" t="inlineStr">
        <is>
          <t>KARLSBORG</t>
        </is>
      </c>
      <c r="I78" t="n">
        <v>1.1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s="2" t="inlineStr"/>
    </row>
    <row r="79" ht="15" customHeight="1">
      <c r="A79" t="inlineStr">
        <is>
          <t>A 48129-2025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45933</v>
      </c>
      <c r="E79" s="1" t="n">
        <v>46324</v>
      </c>
      <c r="F79" t="inlineStr">
        <is>
          <t>VÄSTRA GÖTALANDS LÄN</t>
        </is>
      </c>
      <c r="G79" t="inlineStr">
        <is>
          <t>KARLSBORG</t>
        </is>
      </c>
      <c r="I79" t="n">
        <v>0.9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s="2" t="inlineStr"/>
    </row>
    <row r="80" ht="15" customHeight="1">
      <c r="A80" t="inlineStr">
        <is>
          <t>A 35930-2025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45862</v>
      </c>
      <c r="E80" s="1" t="n">
        <v>46324</v>
      </c>
      <c r="F80" t="inlineStr">
        <is>
          <t>VÄSTRA GÖTALANDS LÄN</t>
        </is>
      </c>
      <c r="G80" t="inlineStr">
        <is>
          <t>KARLSBORG</t>
        </is>
      </c>
      <c r="I80" t="n">
        <v>0.8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s="2" t="inlineStr"/>
    </row>
    <row r="81" ht="15" customHeight="1">
      <c r="A81" t="inlineStr">
        <is>
          <t>A 57913-2024</t>
        </is>
      </c>
      <c r="B81" t="inlineStr">
        <is>
          <t>avverkningsanmälan</t>
        </is>
      </c>
      <c r="C81" t="inlineStr">
        <is>
          <t>Avverkning för att bevara och utveckla /försöksver</t>
        </is>
      </c>
      <c r="D81" s="1" t="n">
        <v>45631</v>
      </c>
      <c r="E81" s="1" t="n">
        <v>46324</v>
      </c>
      <c r="F81" t="inlineStr">
        <is>
          <t>VÄSTRA GÖTALANDS LÄN</t>
        </is>
      </c>
      <c r="G81" t="inlineStr">
        <is>
          <t>KARLSBORG</t>
        </is>
      </c>
      <c r="H81" t="inlineStr">
        <is>
          <t>Sveaskog</t>
        </is>
      </c>
      <c r="I81" t="n">
        <v>1.2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s="2" t="inlineStr"/>
    </row>
    <row r="82" ht="15" customHeight="1">
      <c r="A82" t="inlineStr">
        <is>
          <t>A 49985-2025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45942</v>
      </c>
      <c r="E82" s="1" t="n">
        <v>46324</v>
      </c>
      <c r="F82" t="inlineStr">
        <is>
          <t>VÄSTRA GÖTALANDS LÄN</t>
        </is>
      </c>
      <c r="G82" t="inlineStr">
        <is>
          <t>KARLSBORG</t>
        </is>
      </c>
      <c r="I82" t="n">
        <v>2.3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s="2" t="inlineStr"/>
    </row>
    <row r="83" ht="15" customHeight="1">
      <c r="A83" t="inlineStr">
        <is>
          <t>A 49866-2025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45940</v>
      </c>
      <c r="E83" s="1" t="n">
        <v>46324</v>
      </c>
      <c r="F83" t="inlineStr">
        <is>
          <t>VÄSTRA GÖTALANDS LÄN</t>
        </is>
      </c>
      <c r="G83" t="inlineStr">
        <is>
          <t>KARLSBORG</t>
        </is>
      </c>
      <c r="I83" t="n">
        <v>0.6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s="2" t="inlineStr"/>
    </row>
    <row r="84" ht="15" customHeight="1">
      <c r="A84" t="inlineStr">
        <is>
          <t>A 7977-2025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45707</v>
      </c>
      <c r="E84" s="1" t="n">
        <v>46324</v>
      </c>
      <c r="F84" t="inlineStr">
        <is>
          <t>VÄSTRA GÖTALANDS LÄN</t>
        </is>
      </c>
      <c r="G84" t="inlineStr">
        <is>
          <t>KARLSBORG</t>
        </is>
      </c>
      <c r="I84" t="n">
        <v>1.3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s="2" t="inlineStr"/>
    </row>
    <row r="85" ht="15" customHeight="1">
      <c r="A85" t="inlineStr">
        <is>
          <t>A 59047-2023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45252</v>
      </c>
      <c r="E85" s="1" t="n">
        <v>46324</v>
      </c>
      <c r="F85" t="inlineStr">
        <is>
          <t>VÄSTRA GÖTALANDS LÄN</t>
        </is>
      </c>
      <c r="G85" t="inlineStr">
        <is>
          <t>KARLSBORG</t>
        </is>
      </c>
      <c r="H85" t="inlineStr">
        <is>
          <t>Övriga Aktiebolag</t>
        </is>
      </c>
      <c r="I85" t="n">
        <v>7.4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s="2" t="inlineStr"/>
    </row>
    <row r="86" ht="15" customHeight="1">
      <c r="A86" t="inlineStr">
        <is>
          <t>A 38290-2025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45883</v>
      </c>
      <c r="E86" s="1" t="n">
        <v>46324</v>
      </c>
      <c r="F86" t="inlineStr">
        <is>
          <t>VÄSTRA GÖTALANDS LÄN</t>
        </is>
      </c>
      <c r="G86" t="inlineStr">
        <is>
          <t>KARLSBORG</t>
        </is>
      </c>
      <c r="I86" t="n">
        <v>0.7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s="2" t="inlineStr"/>
    </row>
    <row r="87" ht="15" customHeight="1">
      <c r="A87" t="inlineStr">
        <is>
          <t>A 58129-2024</t>
        </is>
      </c>
      <c r="B87" t="inlineStr">
        <is>
          <t>avverkningsanmälan</t>
        </is>
      </c>
      <c r="C87" t="inlineStr">
        <is>
          <t>Avverkning för att bevara och utveckla /försöksver</t>
        </is>
      </c>
      <c r="D87" s="1" t="n">
        <v>45632</v>
      </c>
      <c r="E87" s="1" t="n">
        <v>46324</v>
      </c>
      <c r="F87" t="inlineStr">
        <is>
          <t>VÄSTRA GÖTALANDS LÄN</t>
        </is>
      </c>
      <c r="G87" t="inlineStr">
        <is>
          <t>KARLSBORG</t>
        </is>
      </c>
      <c r="H87" t="inlineStr">
        <is>
          <t>Sveaskog</t>
        </is>
      </c>
      <c r="I87" t="n">
        <v>1.1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s="2" t="inlineStr"/>
    </row>
    <row r="88" ht="15" customHeight="1">
      <c r="A88" t="inlineStr">
        <is>
          <t>A 21014-2026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46143</v>
      </c>
      <c r="E88" s="1" t="n">
        <v>46324</v>
      </c>
      <c r="F88" t="inlineStr">
        <is>
          <t>VÄSTRA GÖTALANDS LÄN</t>
        </is>
      </c>
      <c r="G88" t="inlineStr">
        <is>
          <t>KARLSBORG</t>
        </is>
      </c>
      <c r="I88" t="n">
        <v>14.6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s="2" t="inlineStr"/>
    </row>
    <row r="89" ht="15" customHeight="1">
      <c r="A89" t="inlineStr">
        <is>
          <t>A 20940-2026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46142</v>
      </c>
      <c r="E89" s="1" t="n">
        <v>46324</v>
      </c>
      <c r="F89" t="inlineStr">
        <is>
          <t>VÄSTRA GÖTALANDS LÄN</t>
        </is>
      </c>
      <c r="G89" t="inlineStr">
        <is>
          <t>KARLSBORG</t>
        </is>
      </c>
      <c r="H89" t="inlineStr">
        <is>
          <t>Sveaskog</t>
        </is>
      </c>
      <c r="I89" t="n">
        <v>2.3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s="2" t="inlineStr"/>
    </row>
    <row r="90" ht="15" customHeight="1">
      <c r="A90" t="inlineStr">
        <is>
          <t>A 42757-2024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45566</v>
      </c>
      <c r="E90" s="1" t="n">
        <v>46324</v>
      </c>
      <c r="F90" t="inlineStr">
        <is>
          <t>VÄSTRA GÖTALANDS LÄN</t>
        </is>
      </c>
      <c r="G90" t="inlineStr">
        <is>
          <t>KARLSBORG</t>
        </is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s="2" t="inlineStr"/>
    </row>
    <row r="91" ht="15" customHeight="1">
      <c r="A91" t="inlineStr">
        <is>
          <t>A 14522-2024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45394</v>
      </c>
      <c r="E91" s="1" t="n">
        <v>46324</v>
      </c>
      <c r="F91" t="inlineStr">
        <is>
          <t>VÄSTRA GÖTALANDS LÄN</t>
        </is>
      </c>
      <c r="G91" t="inlineStr">
        <is>
          <t>KARLSBORG</t>
        </is>
      </c>
      <c r="H91" t="inlineStr">
        <is>
          <t>Sveaskog</t>
        </is>
      </c>
      <c r="I91" t="n">
        <v>0.8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s="2" t="inlineStr"/>
    </row>
    <row r="92" ht="15" customHeight="1">
      <c r="A92" t="inlineStr">
        <is>
          <t>A 57454-2024</t>
        </is>
      </c>
      <c r="B92" t="inlineStr">
        <is>
          <t>avverkningsanmälan</t>
        </is>
      </c>
      <c r="C92" t="inlineStr">
        <is>
          <t>Avverkning för annat ändamål</t>
        </is>
      </c>
      <c r="D92" s="1" t="n">
        <v>45630</v>
      </c>
      <c r="E92" s="1" t="n">
        <v>46324</v>
      </c>
      <c r="F92" t="inlineStr">
        <is>
          <t>VÄSTRA GÖTALANDS LÄN</t>
        </is>
      </c>
      <c r="G92" t="inlineStr">
        <is>
          <t>KARLSBORG</t>
        </is>
      </c>
      <c r="I92" t="n">
        <v>0.9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s="2" t="inlineStr"/>
    </row>
    <row r="93" ht="15" customHeight="1">
      <c r="A93" t="inlineStr">
        <is>
          <t>A 56110-2025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45973</v>
      </c>
      <c r="E93" s="1" t="n">
        <v>46324</v>
      </c>
      <c r="F93" t="inlineStr">
        <is>
          <t>VÄSTRA GÖTALANDS LÄN</t>
        </is>
      </c>
      <c r="G93" t="inlineStr">
        <is>
          <t>KARLSBORG</t>
        </is>
      </c>
      <c r="I93" t="n">
        <v>6.6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s="2" t="inlineStr"/>
    </row>
    <row r="94" ht="15" customHeight="1">
      <c r="A94" t="inlineStr">
        <is>
          <t>A 21988-2026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46153</v>
      </c>
      <c r="E94" s="1" t="n">
        <v>46324</v>
      </c>
      <c r="F94" t="inlineStr">
        <is>
          <t>VÄSTRA GÖTALANDS LÄN</t>
        </is>
      </c>
      <c r="G94" t="inlineStr">
        <is>
          <t>KARLSBORG</t>
        </is>
      </c>
      <c r="I94" t="n">
        <v>3.2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s="2" t="inlineStr"/>
    </row>
    <row r="95" ht="15" customHeight="1">
      <c r="A95" t="inlineStr">
        <is>
          <t>A 57581-2025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45980</v>
      </c>
      <c r="E95" s="1" t="n">
        <v>46324</v>
      </c>
      <c r="F95" t="inlineStr">
        <is>
          <t>VÄSTRA GÖTALANDS LÄN</t>
        </is>
      </c>
      <c r="G95" t="inlineStr">
        <is>
          <t>KARLSBORG</t>
        </is>
      </c>
      <c r="I95" t="n">
        <v>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s="2" t="inlineStr"/>
    </row>
    <row r="96" ht="15" customHeight="1">
      <c r="A96" t="inlineStr">
        <is>
          <t>A 48884-2023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45209</v>
      </c>
      <c r="E96" s="1" t="n">
        <v>46324</v>
      </c>
      <c r="F96" t="inlineStr">
        <is>
          <t>VÄSTRA GÖTALANDS LÄN</t>
        </is>
      </c>
      <c r="G96" t="inlineStr">
        <is>
          <t>KARLSBORG</t>
        </is>
      </c>
      <c r="I96" t="n">
        <v>0.3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s="2" t="inlineStr"/>
    </row>
    <row r="97" ht="15" customHeight="1">
      <c r="A97" t="inlineStr">
        <is>
          <t>A 39699-2025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45890</v>
      </c>
      <c r="E97" s="1" t="n">
        <v>46324</v>
      </c>
      <c r="F97" t="inlineStr">
        <is>
          <t>VÄSTRA GÖTALANDS LÄN</t>
        </is>
      </c>
      <c r="G97" t="inlineStr">
        <is>
          <t>KARLSBORG</t>
        </is>
      </c>
      <c r="I97" t="n">
        <v>1.5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s="2" t="inlineStr"/>
    </row>
    <row r="98" ht="15" customHeight="1">
      <c r="A98" t="inlineStr">
        <is>
          <t>A 59111-2025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45988</v>
      </c>
      <c r="E98" s="1" t="n">
        <v>46324</v>
      </c>
      <c r="F98" t="inlineStr">
        <is>
          <t>VÄSTRA GÖTALANDS LÄN</t>
        </is>
      </c>
      <c r="G98" t="inlineStr">
        <is>
          <t>KARLSBORG</t>
        </is>
      </c>
      <c r="I98" t="n">
        <v>0.9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s="2" t="inlineStr"/>
    </row>
    <row r="99" ht="15" customHeight="1">
      <c r="A99" t="inlineStr">
        <is>
          <t>A 59697-2025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45992</v>
      </c>
      <c r="E99" s="1" t="n">
        <v>46324</v>
      </c>
      <c r="F99" t="inlineStr">
        <is>
          <t>VÄSTRA GÖTALANDS LÄN</t>
        </is>
      </c>
      <c r="G99" t="inlineStr">
        <is>
          <t>KARLSBORG</t>
        </is>
      </c>
      <c r="I99" t="n">
        <v>1.2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s="2" t="inlineStr"/>
    </row>
    <row r="100" ht="15" customHeight="1">
      <c r="A100" t="inlineStr">
        <is>
          <t>A 59404-2022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44906</v>
      </c>
      <c r="E100" s="1" t="n">
        <v>46324</v>
      </c>
      <c r="F100" t="inlineStr">
        <is>
          <t>VÄSTRA GÖTALANDS LÄN</t>
        </is>
      </c>
      <c r="G100" t="inlineStr">
        <is>
          <t>KARLSBORG</t>
        </is>
      </c>
      <c r="I100" t="n">
        <v>0.5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s="2" t="inlineStr"/>
    </row>
    <row r="101" ht="15" customHeight="1">
      <c r="A101" t="inlineStr">
        <is>
          <t>A 56541-2023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45243</v>
      </c>
      <c r="E101" s="1" t="n">
        <v>46324</v>
      </c>
      <c r="F101" t="inlineStr">
        <is>
          <t>VÄSTRA GÖTALANDS LÄN</t>
        </is>
      </c>
      <c r="G101" t="inlineStr">
        <is>
          <t>KARLSBORG</t>
        </is>
      </c>
      <c r="H101" t="inlineStr">
        <is>
          <t>Sveaskog</t>
        </is>
      </c>
      <c r="I101" t="n">
        <v>1.9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s="2" t="inlineStr"/>
    </row>
    <row r="102" ht="15" customHeight="1">
      <c r="A102" t="inlineStr">
        <is>
          <t>A 69341-2021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44531</v>
      </c>
      <c r="E102" s="1" t="n">
        <v>46324</v>
      </c>
      <c r="F102" t="inlineStr">
        <is>
          <t>VÄSTRA GÖTALANDS LÄN</t>
        </is>
      </c>
      <c r="G102" t="inlineStr">
        <is>
          <t>KARLSBORG</t>
        </is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s="2" t="inlineStr"/>
    </row>
    <row r="103" ht="15" customHeight="1">
      <c r="A103" t="inlineStr">
        <is>
          <t>A 62068-2025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46006</v>
      </c>
      <c r="E103" s="1" t="n">
        <v>46324</v>
      </c>
      <c r="F103" t="inlineStr">
        <is>
          <t>VÄSTRA GÖTALANDS LÄN</t>
        </is>
      </c>
      <c r="G103" t="inlineStr">
        <is>
          <t>KARLSBORG</t>
        </is>
      </c>
      <c r="H103" t="inlineStr">
        <is>
          <t>Sveaskog</t>
        </is>
      </c>
      <c r="I103" t="n">
        <v>6.6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s="2" t="inlineStr"/>
    </row>
    <row r="104" ht="15" customHeight="1">
      <c r="A104" t="inlineStr">
        <is>
          <t>A 62072-2025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46006</v>
      </c>
      <c r="E104" s="1" t="n">
        <v>46324</v>
      </c>
      <c r="F104" t="inlineStr">
        <is>
          <t>VÄSTRA GÖTALANDS LÄN</t>
        </is>
      </c>
      <c r="G104" t="inlineStr">
        <is>
          <t>KARLSBORG</t>
        </is>
      </c>
      <c r="H104" t="inlineStr">
        <is>
          <t>Sveaskog</t>
        </is>
      </c>
      <c r="I104" t="n">
        <v>1.4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s="2" t="inlineStr"/>
    </row>
    <row r="105" ht="15" customHeight="1">
      <c r="A105" t="inlineStr">
        <is>
          <t>A 25697-2023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45089</v>
      </c>
      <c r="E105" s="1" t="n">
        <v>46324</v>
      </c>
      <c r="F105" t="inlineStr">
        <is>
          <t>VÄSTRA GÖTALANDS LÄN</t>
        </is>
      </c>
      <c r="G105" t="inlineStr">
        <is>
          <t>KARLSBORG</t>
        </is>
      </c>
      <c r="I105" t="n">
        <v>0.6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s="2" t="inlineStr"/>
    </row>
    <row r="106" ht="15" customHeight="1">
      <c r="A106" t="inlineStr">
        <is>
          <t>A 24541-2026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46170</v>
      </c>
      <c r="E106" s="1" t="n">
        <v>46324</v>
      </c>
      <c r="F106" t="inlineStr">
        <is>
          <t>VÄSTRA GÖTALANDS LÄN</t>
        </is>
      </c>
      <c r="G106" t="inlineStr">
        <is>
          <t>KARLSBORG</t>
        </is>
      </c>
      <c r="I106" t="n">
        <v>0.9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s="2" t="inlineStr"/>
    </row>
    <row r="107" ht="15" customHeight="1">
      <c r="A107" t="inlineStr">
        <is>
          <t>A 34125-2024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45524</v>
      </c>
      <c r="E107" s="1" t="n">
        <v>46324</v>
      </c>
      <c r="F107" t="inlineStr">
        <is>
          <t>VÄSTRA GÖTALANDS LÄN</t>
        </is>
      </c>
      <c r="G107" t="inlineStr">
        <is>
          <t>KARLSBORG</t>
        </is>
      </c>
      <c r="H107" t="inlineStr">
        <is>
          <t>Övriga Aktiebolag</t>
        </is>
      </c>
      <c r="I107" t="n">
        <v>0.1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s="2" t="inlineStr"/>
    </row>
    <row r="108" ht="15" customHeight="1">
      <c r="A108" t="inlineStr">
        <is>
          <t>A 15396-2024</t>
        </is>
      </c>
      <c r="B108" t="inlineStr">
        <is>
          <t>avverkningsanmälan</t>
        </is>
      </c>
      <c r="C108" t="inlineStr">
        <is>
          <t>Avverkning för annat ändamål</t>
        </is>
      </c>
      <c r="D108" s="1" t="n">
        <v>45401</v>
      </c>
      <c r="E108" s="1" t="n">
        <v>46324</v>
      </c>
      <c r="F108" t="inlineStr">
        <is>
          <t>VÄSTRA GÖTALANDS LÄN</t>
        </is>
      </c>
      <c r="G108" t="inlineStr">
        <is>
          <t>KARLSBORG</t>
        </is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s="2" t="inlineStr"/>
    </row>
    <row r="109" ht="15" customHeight="1">
      <c r="A109" t="inlineStr">
        <is>
          <t>A 39285-2023</t>
        </is>
      </c>
      <c r="B109" t="inlineStr">
        <is>
          <t>avverkningsanmälan</t>
        </is>
      </c>
      <c r="C109" t="inlineStr">
        <is>
          <t>Föryngringsavverkning</t>
        </is>
      </c>
      <c r="D109" s="1" t="n">
        <v>45166</v>
      </c>
      <c r="E109" s="1" t="n">
        <v>46324</v>
      </c>
      <c r="F109" t="inlineStr">
        <is>
          <t>VÄSTRA GÖTALANDS LÄN</t>
        </is>
      </c>
      <c r="G109" t="inlineStr">
        <is>
          <t>KARLSBORG</t>
        </is>
      </c>
      <c r="I109" t="n">
        <v>0.5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s="2" t="inlineStr"/>
    </row>
    <row r="110" ht="15" customHeight="1">
      <c r="A110" t="inlineStr">
        <is>
          <t>A 39287-2023</t>
        </is>
      </c>
      <c r="B110" t="inlineStr">
        <is>
          <t>avverkningsanmälan</t>
        </is>
      </c>
      <c r="C110" t="inlineStr">
        <is>
          <t>Föryngringsavverkning</t>
        </is>
      </c>
      <c r="D110" s="1" t="n">
        <v>45166</v>
      </c>
      <c r="E110" s="1" t="n">
        <v>46324</v>
      </c>
      <c r="F110" t="inlineStr">
        <is>
          <t>VÄSTRA GÖTALANDS LÄN</t>
        </is>
      </c>
      <c r="G110" t="inlineStr">
        <is>
          <t>KARLSBORG</t>
        </is>
      </c>
      <c r="I110" t="n">
        <v>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s="2" t="inlineStr"/>
    </row>
    <row r="111" ht="15" customHeight="1">
      <c r="A111" t="inlineStr">
        <is>
          <t>A 64011-2025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46021</v>
      </c>
      <c r="E111" s="1" t="n">
        <v>46324</v>
      </c>
      <c r="F111" t="inlineStr">
        <is>
          <t>VÄSTRA GÖTALANDS LÄN</t>
        </is>
      </c>
      <c r="G111" t="inlineStr">
        <is>
          <t>KARLSBORG</t>
        </is>
      </c>
      <c r="I111" t="n">
        <v>2.2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64012-2025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46021</v>
      </c>
      <c r="E112" s="1" t="n">
        <v>46324</v>
      </c>
      <c r="F112" t="inlineStr">
        <is>
          <t>VÄSTRA GÖTALANDS LÄN</t>
        </is>
      </c>
      <c r="G112" t="inlineStr">
        <is>
          <t>KARLSBORG</t>
        </is>
      </c>
      <c r="I112" t="n">
        <v>1.3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64025-2025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46021</v>
      </c>
      <c r="E113" s="1" t="n">
        <v>46324</v>
      </c>
      <c r="F113" t="inlineStr">
        <is>
          <t>VÄSTRA GÖTALANDS LÄN</t>
        </is>
      </c>
      <c r="G113" t="inlineStr">
        <is>
          <t>KARLSBORG</t>
        </is>
      </c>
      <c r="I113" t="n">
        <v>0.6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25977-2026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46181</v>
      </c>
      <c r="E114" s="1" t="n">
        <v>46324</v>
      </c>
      <c r="F114" t="inlineStr">
        <is>
          <t>VÄSTRA GÖTALANDS LÄN</t>
        </is>
      </c>
      <c r="G114" t="inlineStr">
        <is>
          <t>KARLSBORG</t>
        </is>
      </c>
      <c r="I114" t="n">
        <v>1.4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27823-2023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45098</v>
      </c>
      <c r="E115" s="1" t="n">
        <v>46324</v>
      </c>
      <c r="F115" t="inlineStr">
        <is>
          <t>VÄSTRA GÖTALANDS LÄN</t>
        </is>
      </c>
      <c r="G115" t="inlineStr">
        <is>
          <t>KARLSBORG</t>
        </is>
      </c>
      <c r="I115" t="n">
        <v>6.5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4439-2026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46045</v>
      </c>
      <c r="E116" s="1" t="n">
        <v>46324</v>
      </c>
      <c r="F116" t="inlineStr">
        <is>
          <t>VÄSTRA GÖTALANDS LÄN</t>
        </is>
      </c>
      <c r="G116" t="inlineStr">
        <is>
          <t>KARLSBORG</t>
        </is>
      </c>
      <c r="H116" t="inlineStr">
        <is>
          <t>Övriga Aktiebolag</t>
        </is>
      </c>
      <c r="I116" t="n">
        <v>14.3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4454-2026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46045</v>
      </c>
      <c r="E117" s="1" t="n">
        <v>46324</v>
      </c>
      <c r="F117" t="inlineStr">
        <is>
          <t>VÄSTRA GÖTALANDS LÄN</t>
        </is>
      </c>
      <c r="G117" t="inlineStr">
        <is>
          <t>KARLSBORG</t>
        </is>
      </c>
      <c r="H117" t="inlineStr">
        <is>
          <t>Övriga Aktiebolag</t>
        </is>
      </c>
      <c r="I117" t="n">
        <v>2.9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53898-2023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45231</v>
      </c>
      <c r="E118" s="1" t="n">
        <v>46324</v>
      </c>
      <c r="F118" t="inlineStr">
        <is>
          <t>VÄSTRA GÖTALANDS LÄN</t>
        </is>
      </c>
      <c r="G118" t="inlineStr">
        <is>
          <t>KARLSBORG</t>
        </is>
      </c>
      <c r="I118" t="n">
        <v>9.5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45019-2024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45575</v>
      </c>
      <c r="E119" s="1" t="n">
        <v>46324</v>
      </c>
      <c r="F119" t="inlineStr">
        <is>
          <t>VÄSTRA GÖTALANDS LÄN</t>
        </is>
      </c>
      <c r="G119" t="inlineStr">
        <is>
          <t>KARLSBORG</t>
        </is>
      </c>
      <c r="I119" t="n">
        <v>1.7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24008-2023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45078</v>
      </c>
      <c r="E120" s="1" t="n">
        <v>46324</v>
      </c>
      <c r="F120" t="inlineStr">
        <is>
          <t>VÄSTRA GÖTALANDS LÄN</t>
        </is>
      </c>
      <c r="G120" t="inlineStr">
        <is>
          <t>KARLSBORG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27349-2026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46188</v>
      </c>
      <c r="E121" s="1" t="n">
        <v>46324</v>
      </c>
      <c r="F121" t="inlineStr">
        <is>
          <t>VÄSTRA GÖTALANDS LÄN</t>
        </is>
      </c>
      <c r="G121" t="inlineStr">
        <is>
          <t>KARLSBORG</t>
        </is>
      </c>
      <c r="H121" t="inlineStr">
        <is>
          <t>Sveaskog</t>
        </is>
      </c>
      <c r="I121" t="n">
        <v>3.6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27333-2026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46188</v>
      </c>
      <c r="E122" s="1" t="n">
        <v>46324</v>
      </c>
      <c r="F122" t="inlineStr">
        <is>
          <t>VÄSTRA GÖTALANDS LÄN</t>
        </is>
      </c>
      <c r="G122" t="inlineStr">
        <is>
          <t>KARLSBORG</t>
        </is>
      </c>
      <c r="H122" t="inlineStr">
        <is>
          <t>Sveaskog</t>
        </is>
      </c>
      <c r="I122" t="n">
        <v>2.3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42825-2024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45566</v>
      </c>
      <c r="E123" s="1" t="n">
        <v>46324</v>
      </c>
      <c r="F123" t="inlineStr">
        <is>
          <t>VÄSTRA GÖTALANDS LÄN</t>
        </is>
      </c>
      <c r="G123" t="inlineStr">
        <is>
          <t>KARLSBORG</t>
        </is>
      </c>
      <c r="I123" t="n">
        <v>4.8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6035-2026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46052</v>
      </c>
      <c r="E124" s="1" t="n">
        <v>46324</v>
      </c>
      <c r="F124" t="inlineStr">
        <is>
          <t>VÄSTRA GÖTALANDS LÄN</t>
        </is>
      </c>
      <c r="G124" t="inlineStr">
        <is>
          <t>KARLSBORG</t>
        </is>
      </c>
      <c r="I124" t="n">
        <v>0.4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6408-2026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46055</v>
      </c>
      <c r="E125" s="1" t="n">
        <v>46324</v>
      </c>
      <c r="F125" t="inlineStr">
        <is>
          <t>VÄSTRA GÖTALANDS LÄN</t>
        </is>
      </c>
      <c r="G125" t="inlineStr">
        <is>
          <t>KARLSBORG</t>
        </is>
      </c>
      <c r="I125" t="n">
        <v>7.3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63732-2025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46010</v>
      </c>
      <c r="E126" s="1" t="n">
        <v>46324</v>
      </c>
      <c r="F126" t="inlineStr">
        <is>
          <t>VÄSTRA GÖTALANDS LÄN</t>
        </is>
      </c>
      <c r="G126" t="inlineStr">
        <is>
          <t>KARLSBORG</t>
        </is>
      </c>
      <c r="H126" t="inlineStr">
        <is>
          <t>Övriga statliga verk och myndigheter</t>
        </is>
      </c>
      <c r="I126" t="n">
        <v>1.5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63731-2025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46010</v>
      </c>
      <c r="E127" s="1" t="n">
        <v>46324</v>
      </c>
      <c r="F127" t="inlineStr">
        <is>
          <t>VÄSTRA GÖTALANDS LÄN</t>
        </is>
      </c>
      <c r="G127" t="inlineStr">
        <is>
          <t>KARLSBORG</t>
        </is>
      </c>
      <c r="H127" t="inlineStr">
        <is>
          <t>Övriga statliga verk och myndigheter</t>
        </is>
      </c>
      <c r="I127" t="n">
        <v>0.8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63734-2025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46010</v>
      </c>
      <c r="E128" s="1" t="n">
        <v>46324</v>
      </c>
      <c r="F128" t="inlineStr">
        <is>
          <t>VÄSTRA GÖTALANDS LÄN</t>
        </is>
      </c>
      <c r="G128" t="inlineStr">
        <is>
          <t>KARLSBORG</t>
        </is>
      </c>
      <c r="H128" t="inlineStr">
        <is>
          <t>Övriga statliga verk och myndigheter</t>
        </is>
      </c>
      <c r="I128" t="n">
        <v>2.1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63733-2025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46010</v>
      </c>
      <c r="E129" s="1" t="n">
        <v>46324</v>
      </c>
      <c r="F129" t="inlineStr">
        <is>
          <t>VÄSTRA GÖTALANDS LÄN</t>
        </is>
      </c>
      <c r="G129" t="inlineStr">
        <is>
          <t>KARLSBORG</t>
        </is>
      </c>
      <c r="H129" t="inlineStr">
        <is>
          <t>Övriga statliga verk och myndigheter</t>
        </is>
      </c>
      <c r="I129" t="n">
        <v>5.4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7644-2026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46062</v>
      </c>
      <c r="E130" s="1" t="n">
        <v>46324</v>
      </c>
      <c r="F130" t="inlineStr">
        <is>
          <t>VÄSTRA GÖTALANDS LÄN</t>
        </is>
      </c>
      <c r="G130" t="inlineStr">
        <is>
          <t>KARLSBORG</t>
        </is>
      </c>
      <c r="I130" t="n">
        <v>5.7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62304-2021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44503</v>
      </c>
      <c r="E131" s="1" t="n">
        <v>46324</v>
      </c>
      <c r="F131" t="inlineStr">
        <is>
          <t>VÄSTRA GÖTALANDS LÄN</t>
        </is>
      </c>
      <c r="G131" t="inlineStr">
        <is>
          <t>KARLSBORG</t>
        </is>
      </c>
      <c r="H131" t="inlineStr">
        <is>
          <t>Sveaskog</t>
        </is>
      </c>
      <c r="I131" t="n">
        <v>1.2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9130-2026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46069</v>
      </c>
      <c r="E132" s="1" t="n">
        <v>46324</v>
      </c>
      <c r="F132" t="inlineStr">
        <is>
          <t>VÄSTRA GÖTALANDS LÄN</t>
        </is>
      </c>
      <c r="G132" t="inlineStr">
        <is>
          <t>KARLSBORG</t>
        </is>
      </c>
      <c r="I132" t="n">
        <v>1.9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58573-2023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45251</v>
      </c>
      <c r="E133" s="1" t="n">
        <v>46324</v>
      </c>
      <c r="F133" t="inlineStr">
        <is>
          <t>VÄSTRA GÖTALANDS LÄN</t>
        </is>
      </c>
      <c r="G133" t="inlineStr">
        <is>
          <t>KARLSBORG</t>
        </is>
      </c>
      <c r="I133" t="n">
        <v>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37383-2022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44809</v>
      </c>
      <c r="E134" s="1" t="n">
        <v>46324</v>
      </c>
      <c r="F134" t="inlineStr">
        <is>
          <t>VÄSTRA GÖTALANDS LÄN</t>
        </is>
      </c>
      <c r="G134" t="inlineStr">
        <is>
          <t>KARLSBORG</t>
        </is>
      </c>
      <c r="H134" t="inlineStr">
        <is>
          <t>Sveaskog</t>
        </is>
      </c>
      <c r="I134" t="n">
        <v>0.8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56495-2023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45243</v>
      </c>
      <c r="E135" s="1" t="n">
        <v>46324</v>
      </c>
      <c r="F135" t="inlineStr">
        <is>
          <t>VÄSTRA GÖTALANDS LÄN</t>
        </is>
      </c>
      <c r="G135" t="inlineStr">
        <is>
          <t>KARLSBORG</t>
        </is>
      </c>
      <c r="I135" t="n">
        <v>1.1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14514-2024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45394</v>
      </c>
      <c r="E136" s="1" t="n">
        <v>46324</v>
      </c>
      <c r="F136" t="inlineStr">
        <is>
          <t>VÄSTRA GÖTALANDS LÄN</t>
        </is>
      </c>
      <c r="G136" t="inlineStr">
        <is>
          <t>KARLSBORG</t>
        </is>
      </c>
      <c r="H136" t="inlineStr">
        <is>
          <t>Sveaskog</t>
        </is>
      </c>
      <c r="I136" t="n">
        <v>0.9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10907-2026</t>
        </is>
      </c>
      <c r="B137" t="inlineStr">
        <is>
          <t>avverkningsanmälan</t>
        </is>
      </c>
      <c r="C137" t="inlineStr">
        <is>
          <t>Föryngringsavverkning</t>
        </is>
      </c>
      <c r="D137" s="1" t="n">
        <v>46079</v>
      </c>
      <c r="E137" s="1" t="n">
        <v>46324</v>
      </c>
      <c r="F137" t="inlineStr">
        <is>
          <t>VÄSTRA GÖTALANDS LÄN</t>
        </is>
      </c>
      <c r="G137" t="inlineStr">
        <is>
          <t>KARLSBORG</t>
        </is>
      </c>
      <c r="I137" t="n">
        <v>1.2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2100-2023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44939</v>
      </c>
      <c r="E138" s="1" t="n">
        <v>46324</v>
      </c>
      <c r="F138" t="inlineStr">
        <is>
          <t>VÄSTRA GÖTALANDS LÄN</t>
        </is>
      </c>
      <c r="G138" t="inlineStr">
        <is>
          <t>KARLSBORG</t>
        </is>
      </c>
      <c r="I138" t="n">
        <v>0.6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15220-2023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45019</v>
      </c>
      <c r="E139" s="1" t="n">
        <v>46324</v>
      </c>
      <c r="F139" t="inlineStr">
        <is>
          <t>VÄSTRA GÖTALANDS LÄN</t>
        </is>
      </c>
      <c r="G139" t="inlineStr">
        <is>
          <t>KARLSBORG</t>
        </is>
      </c>
      <c r="I139" t="n">
        <v>1.5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25696-2023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45089</v>
      </c>
      <c r="E140" s="1" t="n">
        <v>46324</v>
      </c>
      <c r="F140" t="inlineStr">
        <is>
          <t>VÄSTRA GÖTALANDS LÄN</t>
        </is>
      </c>
      <c r="G140" t="inlineStr">
        <is>
          <t>KARLSBORG</t>
        </is>
      </c>
      <c r="I140" t="n">
        <v>1.4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42598-2024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45565</v>
      </c>
      <c r="E141" s="1" t="n">
        <v>46324</v>
      </c>
      <c r="F141" t="inlineStr">
        <is>
          <t>VÄSTRA GÖTALANDS LÄN</t>
        </is>
      </c>
      <c r="G141" t="inlineStr">
        <is>
          <t>KARLSBORG</t>
        </is>
      </c>
      <c r="I141" t="n">
        <v>8.9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30262-2026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46206</v>
      </c>
      <c r="E142" s="1" t="n">
        <v>46324</v>
      </c>
      <c r="F142" t="inlineStr">
        <is>
          <t>VÄSTRA GÖTALANDS LÄN</t>
        </is>
      </c>
      <c r="G142" t="inlineStr">
        <is>
          <t>KARLSBORG</t>
        </is>
      </c>
      <c r="I142" t="n">
        <v>1.5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40128-2023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45169</v>
      </c>
      <c r="E143" s="1" t="n">
        <v>46324</v>
      </c>
      <c r="F143" t="inlineStr">
        <is>
          <t>VÄSTRA GÖTALANDS LÄN</t>
        </is>
      </c>
      <c r="G143" t="inlineStr">
        <is>
          <t>KARLSBORG</t>
        </is>
      </c>
      <c r="H143" t="inlineStr">
        <is>
          <t>Övriga Aktiebolag</t>
        </is>
      </c>
      <c r="I143" t="n">
        <v>1.9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28528-2024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45478</v>
      </c>
      <c r="E144" s="1" t="n">
        <v>46324</v>
      </c>
      <c r="F144" t="inlineStr">
        <is>
          <t>VÄSTRA GÖTALANDS LÄN</t>
        </is>
      </c>
      <c r="G144" t="inlineStr">
        <is>
          <t>KARLSBORG</t>
        </is>
      </c>
      <c r="I144" t="n">
        <v>0.5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44577-2023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45183</v>
      </c>
      <c r="E145" s="1" t="n">
        <v>46324</v>
      </c>
      <c r="F145" t="inlineStr">
        <is>
          <t>VÄSTRA GÖTALANDS LÄN</t>
        </is>
      </c>
      <c r="G145" t="inlineStr">
        <is>
          <t>KARLSBORG</t>
        </is>
      </c>
      <c r="I145" t="n">
        <v>2.2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26016-2023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45090</v>
      </c>
      <c r="E146" s="1" t="n">
        <v>46324</v>
      </c>
      <c r="F146" t="inlineStr">
        <is>
          <t>VÄSTRA GÖTALANDS LÄN</t>
        </is>
      </c>
      <c r="G146" t="inlineStr">
        <is>
          <t>KARLSBORG</t>
        </is>
      </c>
      <c r="I146" t="n">
        <v>0.5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51111-2024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45603</v>
      </c>
      <c r="E147" s="1" t="n">
        <v>46324</v>
      </c>
      <c r="F147" t="inlineStr">
        <is>
          <t>VÄSTRA GÖTALANDS LÄN</t>
        </is>
      </c>
      <c r="G147" t="inlineStr">
        <is>
          <t>KARLSBORG</t>
        </is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22890-2026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46160</v>
      </c>
      <c r="E148" s="1" t="n">
        <v>46324</v>
      </c>
      <c r="F148" t="inlineStr">
        <is>
          <t>VÄSTRA GÖTALANDS LÄN</t>
        </is>
      </c>
      <c r="G148" t="inlineStr">
        <is>
          <t>KARLSBORG</t>
        </is>
      </c>
      <c r="H148" t="inlineStr">
        <is>
          <t>Sveaskog</t>
        </is>
      </c>
      <c r="I148" t="n">
        <v>0.8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30610-2026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46210</v>
      </c>
      <c r="E149" s="1" t="n">
        <v>46324</v>
      </c>
      <c r="F149" t="inlineStr">
        <is>
          <t>VÄSTRA GÖTALANDS LÄN</t>
        </is>
      </c>
      <c r="G149" t="inlineStr">
        <is>
          <t>KARLSBORG</t>
        </is>
      </c>
      <c r="H149" t="inlineStr">
        <is>
          <t>Sveaskog</t>
        </is>
      </c>
      <c r="I149" t="n">
        <v>3.2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30609-2026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46210</v>
      </c>
      <c r="E150" s="1" t="n">
        <v>46324</v>
      </c>
      <c r="F150" t="inlineStr">
        <is>
          <t>VÄSTRA GÖTALANDS LÄN</t>
        </is>
      </c>
      <c r="G150" t="inlineStr">
        <is>
          <t>KARLSBORG</t>
        </is>
      </c>
      <c r="H150" t="inlineStr">
        <is>
          <t>Sveaskog</t>
        </is>
      </c>
      <c r="I150" t="n">
        <v>3.7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42724-2024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45566</v>
      </c>
      <c r="E151" s="1" t="n">
        <v>46324</v>
      </c>
      <c r="F151" t="inlineStr">
        <is>
          <t>VÄSTRA GÖTALANDS LÄN</t>
        </is>
      </c>
      <c r="G151" t="inlineStr">
        <is>
          <t>KARLSBORG</t>
        </is>
      </c>
      <c r="I151" t="n">
        <v>8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15958-2022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44664</v>
      </c>
      <c r="E152" s="1" t="n">
        <v>46324</v>
      </c>
      <c r="F152" t="inlineStr">
        <is>
          <t>VÄSTRA GÖTALANDS LÄN</t>
        </is>
      </c>
      <c r="G152" t="inlineStr">
        <is>
          <t>KARLSBORG</t>
        </is>
      </c>
      <c r="H152" t="inlineStr">
        <is>
          <t>Övriga Aktiebolag</t>
        </is>
      </c>
      <c r="I152" t="n">
        <v>3.4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20564-2024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45436</v>
      </c>
      <c r="E153" s="1" t="n">
        <v>46324</v>
      </c>
      <c r="F153" t="inlineStr">
        <is>
          <t>VÄSTRA GÖTALANDS LÄN</t>
        </is>
      </c>
      <c r="G153" t="inlineStr">
        <is>
          <t>KARLSBORG</t>
        </is>
      </c>
      <c r="I153" t="n">
        <v>0.6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58127-2024</t>
        </is>
      </c>
      <c r="B154" t="inlineStr">
        <is>
          <t>avverkningsanmälan</t>
        </is>
      </c>
      <c r="C154" t="inlineStr">
        <is>
          <t>Avverkning för att bevara och utveckla /försöksver</t>
        </is>
      </c>
      <c r="D154" s="1" t="n">
        <v>45632</v>
      </c>
      <c r="E154" s="1" t="n">
        <v>46324</v>
      </c>
      <c r="F154" t="inlineStr">
        <is>
          <t>VÄSTRA GÖTALANDS LÄN</t>
        </is>
      </c>
      <c r="G154" t="inlineStr">
        <is>
          <t>KARLSBORG</t>
        </is>
      </c>
      <c r="H154" t="inlineStr">
        <is>
          <t>Sveaskog</t>
        </is>
      </c>
      <c r="I154" t="n">
        <v>5.8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38995-2024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45548</v>
      </c>
      <c r="E155" s="1" t="n">
        <v>46324</v>
      </c>
      <c r="F155" t="inlineStr">
        <is>
          <t>VÄSTRA GÖTALANDS LÄN</t>
        </is>
      </c>
      <c r="G155" t="inlineStr">
        <is>
          <t>KARLSBORG</t>
        </is>
      </c>
      <c r="I155" t="n">
        <v>0.7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54416-2024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45617</v>
      </c>
      <c r="E156" s="1" t="n">
        <v>46324</v>
      </c>
      <c r="F156" t="inlineStr">
        <is>
          <t>VÄSTRA GÖTALANDS LÄN</t>
        </is>
      </c>
      <c r="G156" t="inlineStr">
        <is>
          <t>KARLSBORG</t>
        </is>
      </c>
      <c r="I156" t="n">
        <v>3.5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22435-2025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45786</v>
      </c>
      <c r="E157" s="1" t="n">
        <v>46324</v>
      </c>
      <c r="F157" t="inlineStr">
        <is>
          <t>VÄSTRA GÖTALANDS LÄN</t>
        </is>
      </c>
      <c r="G157" t="inlineStr">
        <is>
          <t>KARLSBORG</t>
        </is>
      </c>
      <c r="H157" t="inlineStr">
        <is>
          <t>Sveaskog</t>
        </is>
      </c>
      <c r="I157" t="n">
        <v>1.7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22761-2025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45789</v>
      </c>
      <c r="E158" s="1" t="n">
        <v>46324</v>
      </c>
      <c r="F158" t="inlineStr">
        <is>
          <t>VÄSTRA GÖTALANDS LÄN</t>
        </is>
      </c>
      <c r="G158" t="inlineStr">
        <is>
          <t>KARLSBORG</t>
        </is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31798-2026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46230</v>
      </c>
      <c r="E159" s="1" t="n">
        <v>46324</v>
      </c>
      <c r="F159" t="inlineStr">
        <is>
          <t>VÄSTRA GÖTALANDS LÄN</t>
        </is>
      </c>
      <c r="G159" t="inlineStr">
        <is>
          <t>KARLSBORG</t>
        </is>
      </c>
      <c r="I159" t="n">
        <v>0.9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18564-2026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46127</v>
      </c>
      <c r="E160" s="1" t="n">
        <v>46324</v>
      </c>
      <c r="F160" t="inlineStr">
        <is>
          <t>VÄSTRA GÖTALANDS LÄN</t>
        </is>
      </c>
      <c r="G160" t="inlineStr">
        <is>
          <t>KARLSBORG</t>
        </is>
      </c>
      <c r="H160" t="inlineStr">
        <is>
          <t>Sveaskog</t>
        </is>
      </c>
      <c r="I160" t="n">
        <v>2.3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10667-2025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45721</v>
      </c>
      <c r="E161" s="1" t="n">
        <v>46324</v>
      </c>
      <c r="F161" t="inlineStr">
        <is>
          <t>VÄSTRA GÖTALANDS LÄN</t>
        </is>
      </c>
      <c r="G161" t="inlineStr">
        <is>
          <t>KARLSBORG</t>
        </is>
      </c>
      <c r="I161" t="n">
        <v>2.7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13077-2023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45002</v>
      </c>
      <c r="E162" s="1" t="n">
        <v>46324</v>
      </c>
      <c r="F162" t="inlineStr">
        <is>
          <t>VÄSTRA GÖTALANDS LÄN</t>
        </is>
      </c>
      <c r="G162" t="inlineStr">
        <is>
          <t>KARLSBORG</t>
        </is>
      </c>
      <c r="I162" t="n">
        <v>6.6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59845-2023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45257</v>
      </c>
      <c r="E163" s="1" t="n">
        <v>46324</v>
      </c>
      <c r="F163" t="inlineStr">
        <is>
          <t>VÄSTRA GÖTALANDS LÄN</t>
        </is>
      </c>
      <c r="G163" t="inlineStr">
        <is>
          <t>KARLSBORG</t>
        </is>
      </c>
      <c r="I163" t="n">
        <v>3.7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14703-2025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45742</v>
      </c>
      <c r="E164" s="1" t="n">
        <v>46324</v>
      </c>
      <c r="F164" t="inlineStr">
        <is>
          <t>VÄSTRA GÖTALANDS LÄN</t>
        </is>
      </c>
      <c r="G164" t="inlineStr">
        <is>
          <t>KARLSBORG</t>
        </is>
      </c>
      <c r="I164" t="n">
        <v>0.7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70783-2021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44537</v>
      </c>
      <c r="E165" s="1" t="n">
        <v>46324</v>
      </c>
      <c r="F165" t="inlineStr">
        <is>
          <t>VÄSTRA GÖTALANDS LÄN</t>
        </is>
      </c>
      <c r="G165" t="inlineStr">
        <is>
          <t>KARLSBORG</t>
        </is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17002-2025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45755</v>
      </c>
      <c r="E166" s="1" t="n">
        <v>46324</v>
      </c>
      <c r="F166" t="inlineStr">
        <is>
          <t>VÄSTRA GÖTALANDS LÄN</t>
        </is>
      </c>
      <c r="G166" t="inlineStr">
        <is>
          <t>KARLSBORG</t>
        </is>
      </c>
      <c r="I166" t="n">
        <v>0.7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48385-2025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45933</v>
      </c>
      <c r="E167" s="1" t="n">
        <v>46324</v>
      </c>
      <c r="F167" t="inlineStr">
        <is>
          <t>VÄSTRA GÖTALANDS LÄN</t>
        </is>
      </c>
      <c r="G167" t="inlineStr">
        <is>
          <t>KARLSBORG</t>
        </is>
      </c>
      <c r="H167" t="inlineStr">
        <is>
          <t>Sveaskog</t>
        </is>
      </c>
      <c r="I167" t="n">
        <v>9.4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33122-2022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44785</v>
      </c>
      <c r="E168" s="1" t="n">
        <v>46324</v>
      </c>
      <c r="F168" t="inlineStr">
        <is>
          <t>VÄSTRA GÖTALANDS LÄN</t>
        </is>
      </c>
      <c r="G168" t="inlineStr">
        <is>
          <t>KARLSBORG</t>
        </is>
      </c>
      <c r="H168" t="inlineStr">
        <is>
          <t>Sveaskog</t>
        </is>
      </c>
      <c r="I168" t="n">
        <v>2.3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35441-2024</t>
        </is>
      </c>
      <c r="B169" t="inlineStr">
        <is>
          <t>avverkningsanmälan</t>
        </is>
      </c>
      <c r="C169" t="inlineStr">
        <is>
          <t>Avverkning för att bevara och utveckla /försöksver</t>
        </is>
      </c>
      <c r="D169" s="1" t="n">
        <v>45531</v>
      </c>
      <c r="E169" s="1" t="n">
        <v>46324</v>
      </c>
      <c r="F169" t="inlineStr">
        <is>
          <t>VÄSTRA GÖTALANDS LÄN</t>
        </is>
      </c>
      <c r="G169" t="inlineStr">
        <is>
          <t>KARLSBORG</t>
        </is>
      </c>
      <c r="H169" t="inlineStr">
        <is>
          <t>Sveaskog</t>
        </is>
      </c>
      <c r="I169" t="n">
        <v>9.800000000000001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44985-2024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45575</v>
      </c>
      <c r="E170" s="1" t="n">
        <v>46324</v>
      </c>
      <c r="F170" t="inlineStr">
        <is>
          <t>VÄSTRA GÖTALANDS LÄN</t>
        </is>
      </c>
      <c r="G170" t="inlineStr">
        <is>
          <t>KARLSBORG</t>
        </is>
      </c>
      <c r="I170" t="n">
        <v>0.5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39394-2026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46288</v>
      </c>
      <c r="E171" s="1" t="n">
        <v>46324</v>
      </c>
      <c r="F171" t="inlineStr">
        <is>
          <t>VÄSTRA GÖTALANDS LÄN</t>
        </is>
      </c>
      <c r="G171" t="inlineStr">
        <is>
          <t>KARLSBORG</t>
        </is>
      </c>
      <c r="I171" t="n">
        <v>7.3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57235-2022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44895</v>
      </c>
      <c r="E172" s="1" t="n">
        <v>46324</v>
      </c>
      <c r="F172" t="inlineStr">
        <is>
          <t>VÄSTRA GÖTALANDS LÄN</t>
        </is>
      </c>
      <c r="G172" t="inlineStr">
        <is>
          <t>KARLSBORG</t>
        </is>
      </c>
      <c r="I172" t="n">
        <v>2.8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8052-2023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44974</v>
      </c>
      <c r="E173" s="1" t="n">
        <v>46324</v>
      </c>
      <c r="F173" t="inlineStr">
        <is>
          <t>VÄSTRA GÖTALANDS LÄN</t>
        </is>
      </c>
      <c r="G173" t="inlineStr">
        <is>
          <t>KARLSBORG</t>
        </is>
      </c>
      <c r="I173" t="n">
        <v>0.9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8053-2023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44974</v>
      </c>
      <c r="E174" s="1" t="n">
        <v>46324</v>
      </c>
      <c r="F174" t="inlineStr">
        <is>
          <t>VÄSTRA GÖTALANDS LÄN</t>
        </is>
      </c>
      <c r="G174" t="inlineStr">
        <is>
          <t>KARLSBORG</t>
        </is>
      </c>
      <c r="I174" t="n">
        <v>1.1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2796-2023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44944</v>
      </c>
      <c r="E175" s="1" t="n">
        <v>46324</v>
      </c>
      <c r="F175" t="inlineStr">
        <is>
          <t>VÄSTRA GÖTALANDS LÄN</t>
        </is>
      </c>
      <c r="G175" t="inlineStr">
        <is>
          <t>KARLSBORG</t>
        </is>
      </c>
      <c r="H175" t="inlineStr">
        <is>
          <t>Övriga Aktiebolag</t>
        </is>
      </c>
      <c r="I175" t="n">
        <v>8.5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24725-2026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46171</v>
      </c>
      <c r="E176" s="1" t="n">
        <v>46324</v>
      </c>
      <c r="F176" t="inlineStr">
        <is>
          <t>VÄSTRA GÖTALANDS LÄN</t>
        </is>
      </c>
      <c r="G176" t="inlineStr">
        <is>
          <t>KARLSBORG</t>
        </is>
      </c>
      <c r="H176" t="inlineStr">
        <is>
          <t>Sveaskog</t>
        </is>
      </c>
      <c r="I176" t="n">
        <v>1.7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40129-2023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45169</v>
      </c>
      <c r="E177" s="1" t="n">
        <v>46324</v>
      </c>
      <c r="F177" t="inlineStr">
        <is>
          <t>VÄSTRA GÖTALANDS LÄN</t>
        </is>
      </c>
      <c r="G177" t="inlineStr">
        <is>
          <t>KARLSBORG</t>
        </is>
      </c>
      <c r="H177" t="inlineStr">
        <is>
          <t>Övriga Aktiebolag</t>
        </is>
      </c>
      <c r="I177" t="n">
        <v>0.9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48175-2024</t>
        </is>
      </c>
      <c r="B178" t="inlineStr">
        <is>
          <t>avverkningsanmälan</t>
        </is>
      </c>
      <c r="C178" t="inlineStr">
        <is>
          <t>Föryngringsavverkning</t>
        </is>
      </c>
      <c r="D178" s="1" t="n">
        <v>45589</v>
      </c>
      <c r="E178" s="1" t="n">
        <v>46324</v>
      </c>
      <c r="F178" t="inlineStr">
        <is>
          <t>VÄSTRA GÖTALANDS LÄN</t>
        </is>
      </c>
      <c r="G178" t="inlineStr">
        <is>
          <t>KARLSBORG</t>
        </is>
      </c>
      <c r="I178" t="n">
        <v>0.5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14525-2024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45394</v>
      </c>
      <c r="E179" s="1" t="n">
        <v>46324</v>
      </c>
      <c r="F179" t="inlineStr">
        <is>
          <t>VÄSTRA GÖTALANDS LÄN</t>
        </is>
      </c>
      <c r="G179" t="inlineStr">
        <is>
          <t>KARLSBORG</t>
        </is>
      </c>
      <c r="H179" t="inlineStr">
        <is>
          <t>Sveaskog</t>
        </is>
      </c>
      <c r="I179" t="n">
        <v>0.8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59401-2022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44906</v>
      </c>
      <c r="E180" s="1" t="n">
        <v>46324</v>
      </c>
      <c r="F180" t="inlineStr">
        <is>
          <t>VÄSTRA GÖTALANDS LÄN</t>
        </is>
      </c>
      <c r="G180" t="inlineStr">
        <is>
          <t>KARLSBORG</t>
        </is>
      </c>
      <c r="I180" t="n">
        <v>1.2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18623-2022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44687</v>
      </c>
      <c r="E181" s="1" t="n">
        <v>46324</v>
      </c>
      <c r="F181" t="inlineStr">
        <is>
          <t>VÄSTRA GÖTALANDS LÄN</t>
        </is>
      </c>
      <c r="G181" t="inlineStr">
        <is>
          <t>KARLSBORG</t>
        </is>
      </c>
      <c r="I181" t="n">
        <v>1.8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2784-2023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44944</v>
      </c>
      <c r="E182" s="1" t="n">
        <v>46324</v>
      </c>
      <c r="F182" t="inlineStr">
        <is>
          <t>VÄSTRA GÖTALANDS LÄN</t>
        </is>
      </c>
      <c r="G182" t="inlineStr">
        <is>
          <t>KARLSBORG</t>
        </is>
      </c>
      <c r="H182" t="inlineStr">
        <is>
          <t>Övriga Aktiebolag</t>
        </is>
      </c>
      <c r="I182" t="n">
        <v>3.2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1454-2023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44937</v>
      </c>
      <c r="E183" s="1" t="n">
        <v>46324</v>
      </c>
      <c r="F183" t="inlineStr">
        <is>
          <t>VÄSTRA GÖTALANDS LÄN</t>
        </is>
      </c>
      <c r="G183" t="inlineStr">
        <is>
          <t>KARLSBORG</t>
        </is>
      </c>
      <c r="I183" t="n">
        <v>6.8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41297-2026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46300</v>
      </c>
      <c r="E184" s="1" t="n">
        <v>46324</v>
      </c>
      <c r="F184" t="inlineStr">
        <is>
          <t>VÄSTRA GÖTALANDS LÄN</t>
        </is>
      </c>
      <c r="G184" t="inlineStr">
        <is>
          <t>KARLSBORG</t>
        </is>
      </c>
      <c r="I184" t="n">
        <v>0.9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42710-2024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45566</v>
      </c>
      <c r="E185" s="1" t="n">
        <v>46324</v>
      </c>
      <c r="F185" t="inlineStr">
        <is>
          <t>VÄSTRA GÖTALANDS LÄN</t>
        </is>
      </c>
      <c r="G185" t="inlineStr">
        <is>
          <t>KARLSBORG</t>
        </is>
      </c>
      <c r="I185" t="n">
        <v>5.9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53251-2024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45614</v>
      </c>
      <c r="E186" s="1" t="n">
        <v>46324</v>
      </c>
      <c r="F186" t="inlineStr">
        <is>
          <t>VÄSTRA GÖTALANDS LÄN</t>
        </is>
      </c>
      <c r="G186" t="inlineStr">
        <is>
          <t>KARLSBORG</t>
        </is>
      </c>
      <c r="I186" t="n">
        <v>3.6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34314-2024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45524</v>
      </c>
      <c r="E187" s="1" t="n">
        <v>46324</v>
      </c>
      <c r="F187" t="inlineStr">
        <is>
          <t>VÄSTRA GÖTALANDS LÄN</t>
        </is>
      </c>
      <c r="G187" t="inlineStr">
        <is>
          <t>KARLSBORG</t>
        </is>
      </c>
      <c r="H187" t="inlineStr">
        <is>
          <t>Övriga Aktiebolag</t>
        </is>
      </c>
      <c r="I187" t="n">
        <v>0.7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41684-2023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45176</v>
      </c>
      <c r="E188" s="1" t="n">
        <v>46324</v>
      </c>
      <c r="F188" t="inlineStr">
        <is>
          <t>VÄSTRA GÖTALANDS LÄN</t>
        </is>
      </c>
      <c r="G188" t="inlineStr">
        <is>
          <t>KARLSBORG</t>
        </is>
      </c>
      <c r="I188" t="n">
        <v>7.3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41294-2026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46300</v>
      </c>
      <c r="E189" s="1" t="n">
        <v>46324</v>
      </c>
      <c r="F189" t="inlineStr">
        <is>
          <t>VÄSTRA GÖTALANDS LÄN</t>
        </is>
      </c>
      <c r="G189" t="inlineStr">
        <is>
          <t>KARLSBORG</t>
        </is>
      </c>
      <c r="I189" t="n">
        <v>1.1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41597-2026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46302</v>
      </c>
      <c r="E190" s="1" t="n">
        <v>46324</v>
      </c>
      <c r="F190" t="inlineStr">
        <is>
          <t>VÄSTRA GÖTALANDS LÄN</t>
        </is>
      </c>
      <c r="G190" t="inlineStr">
        <is>
          <t>KARLSBORG</t>
        </is>
      </c>
      <c r="I190" t="n">
        <v>0.5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35151-2026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46260</v>
      </c>
      <c r="E191" s="1" t="n">
        <v>46324</v>
      </c>
      <c r="F191" t="inlineStr">
        <is>
          <t>VÄSTRA GÖTALANDS LÄN</t>
        </is>
      </c>
      <c r="G191" t="inlineStr">
        <is>
          <t>KARLSBORG</t>
        </is>
      </c>
      <c r="I191" t="n">
        <v>7.6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2791-2023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44944</v>
      </c>
      <c r="E192" s="1" t="n">
        <v>46324</v>
      </c>
      <c r="F192" t="inlineStr">
        <is>
          <t>VÄSTRA GÖTALANDS LÄN</t>
        </is>
      </c>
      <c r="G192" t="inlineStr">
        <is>
          <t>KARLSBORG</t>
        </is>
      </c>
      <c r="H192" t="inlineStr">
        <is>
          <t>Övriga Aktiebolag</t>
        </is>
      </c>
      <c r="I192" t="n">
        <v>6.4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10828-2024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45369</v>
      </c>
      <c r="E193" s="1" t="n">
        <v>46324</v>
      </c>
      <c r="F193" t="inlineStr">
        <is>
          <t>VÄSTRA GÖTALANDS LÄN</t>
        </is>
      </c>
      <c r="G193" t="inlineStr">
        <is>
          <t>KARLSBORG</t>
        </is>
      </c>
      <c r="I193" t="n">
        <v>0.4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26914-2024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45470</v>
      </c>
      <c r="E194" s="1" t="n">
        <v>46324</v>
      </c>
      <c r="F194" t="inlineStr">
        <is>
          <t>VÄSTRA GÖTALANDS LÄN</t>
        </is>
      </c>
      <c r="G194" t="inlineStr">
        <is>
          <t>KARLSBORG</t>
        </is>
      </c>
      <c r="H194" t="inlineStr">
        <is>
          <t>Övriga Aktiebolag</t>
        </is>
      </c>
      <c r="I194" t="n">
        <v>7.1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34670-2022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44795</v>
      </c>
      <c r="E195" s="1" t="n">
        <v>46324</v>
      </c>
      <c r="F195" t="inlineStr">
        <is>
          <t>VÄSTRA GÖTALANDS LÄN</t>
        </is>
      </c>
      <c r="G195" t="inlineStr">
        <is>
          <t>KARLSBORG</t>
        </is>
      </c>
      <c r="H195" t="inlineStr">
        <is>
          <t>Sveaskog</t>
        </is>
      </c>
      <c r="I195" t="n">
        <v>1.4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25999-2023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45090</v>
      </c>
      <c r="E196" s="1" t="n">
        <v>46324</v>
      </c>
      <c r="F196" t="inlineStr">
        <is>
          <t>VÄSTRA GÖTALANDS LÄN</t>
        </is>
      </c>
      <c r="G196" t="inlineStr">
        <is>
          <t>KARLSBORG</t>
        </is>
      </c>
      <c r="I196" t="n">
        <v>0.6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41937-2024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45561</v>
      </c>
      <c r="E197" s="1" t="n">
        <v>46324</v>
      </c>
      <c r="F197" t="inlineStr">
        <is>
          <t>VÄSTRA GÖTALANDS LÄN</t>
        </is>
      </c>
      <c r="G197" t="inlineStr">
        <is>
          <t>KARLSBORG</t>
        </is>
      </c>
      <c r="I197" t="n">
        <v>1.4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43005-2026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46311</v>
      </c>
      <c r="E198" s="1" t="n">
        <v>46324</v>
      </c>
      <c r="F198" t="inlineStr">
        <is>
          <t>VÄSTRA GÖTALANDS LÄN</t>
        </is>
      </c>
      <c r="G198" t="inlineStr">
        <is>
          <t>KARLSBORG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24594-2022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44727</v>
      </c>
      <c r="E199" s="1" t="n">
        <v>46324</v>
      </c>
      <c r="F199" t="inlineStr">
        <is>
          <t>VÄSTRA GÖTALANDS LÄN</t>
        </is>
      </c>
      <c r="G199" t="inlineStr">
        <is>
          <t>KARLSBORG</t>
        </is>
      </c>
      <c r="I199" t="n">
        <v>1.4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54444-2023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45233</v>
      </c>
      <c r="E200" s="1" t="n">
        <v>46324</v>
      </c>
      <c r="F200" t="inlineStr">
        <is>
          <t>VÄSTRA GÖTALANDS LÄN</t>
        </is>
      </c>
      <c r="G200" t="inlineStr">
        <is>
          <t>KARLSBORG</t>
        </is>
      </c>
      <c r="I200" t="n">
        <v>1.3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30136-2024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45489</v>
      </c>
      <c r="E201" s="1" t="n">
        <v>46324</v>
      </c>
      <c r="F201" t="inlineStr">
        <is>
          <t>VÄSTRA GÖTALANDS LÄN</t>
        </is>
      </c>
      <c r="G201" t="inlineStr">
        <is>
          <t>KARLSBORG</t>
        </is>
      </c>
      <c r="I201" t="n">
        <v>2.5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14738-2025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45742</v>
      </c>
      <c r="E202" s="1" t="n">
        <v>46324</v>
      </c>
      <c r="F202" t="inlineStr">
        <is>
          <t>VÄSTRA GÖTALANDS LÄN</t>
        </is>
      </c>
      <c r="G202" t="inlineStr">
        <is>
          <t>KARLSBORG</t>
        </is>
      </c>
      <c r="I202" t="n">
        <v>1.4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</row>
    <row r="203" ht="15" customHeight="1">
      <c r="A203" t="inlineStr">
        <is>
          <t>A 44061-2026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46317</v>
      </c>
      <c r="E203" s="1" t="n">
        <v>46324</v>
      </c>
      <c r="F203" t="inlineStr">
        <is>
          <t>VÄSTRA GÖTALANDS LÄN</t>
        </is>
      </c>
      <c r="G203" t="inlineStr">
        <is>
          <t>KARLSBORG</t>
        </is>
      </c>
      <c r="I203" t="n">
        <v>2.1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65313-2021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44515</v>
      </c>
      <c r="E204" s="1" t="n">
        <v>46324</v>
      </c>
      <c r="F204" t="inlineStr">
        <is>
          <t>VÄSTRA GÖTALANDS LÄN</t>
        </is>
      </c>
      <c r="G204" t="inlineStr">
        <is>
          <t>KARLSBORG</t>
        </is>
      </c>
      <c r="I204" t="n">
        <v>1.8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26017-2023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45090</v>
      </c>
      <c r="E205" s="1" t="n">
        <v>46324</v>
      </c>
      <c r="F205" t="inlineStr">
        <is>
          <t>VÄSTRA GÖTALANDS LÄN</t>
        </is>
      </c>
      <c r="G205" t="inlineStr">
        <is>
          <t>KARLSBORG</t>
        </is>
      </c>
      <c r="I205" t="n">
        <v>0.6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50985-2023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45218</v>
      </c>
      <c r="E206" s="1" t="n">
        <v>46324</v>
      </c>
      <c r="F206" t="inlineStr">
        <is>
          <t>VÄSTRA GÖTALANDS LÄN</t>
        </is>
      </c>
      <c r="G206" t="inlineStr">
        <is>
          <t>KARLSBORG</t>
        </is>
      </c>
      <c r="H206" t="inlineStr">
        <is>
          <t>Sveaskog</t>
        </is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10415-2025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45720</v>
      </c>
      <c r="E207" s="1" t="n">
        <v>46324</v>
      </c>
      <c r="F207" t="inlineStr">
        <is>
          <t>VÄSTRA GÖTALANDS LÄN</t>
        </is>
      </c>
      <c r="G207" t="inlineStr">
        <is>
          <t>KARLSBORG</t>
        </is>
      </c>
      <c r="I207" t="n">
        <v>1.1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27332-2026</t>
        </is>
      </c>
      <c r="B208" t="inlineStr">
        <is>
          <t>avverkningsanmälan</t>
        </is>
      </c>
      <c r="C208" t="inlineStr">
        <is>
          <t>Föryngringsavverkning</t>
        </is>
      </c>
      <c r="D208" s="1" t="n">
        <v>46188</v>
      </c>
      <c r="E208" s="1" t="n">
        <v>46324</v>
      </c>
      <c r="F208" t="inlineStr">
        <is>
          <t>VÄSTRA GÖTALANDS LÄN</t>
        </is>
      </c>
      <c r="G208" t="inlineStr">
        <is>
          <t>KARLSBORG</t>
        </is>
      </c>
      <c r="H208" t="inlineStr">
        <is>
          <t>Sveaskog</t>
        </is>
      </c>
      <c r="I208" t="n">
        <v>12.6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37622-2026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46276</v>
      </c>
      <c r="E209" s="1" t="n">
        <v>46324</v>
      </c>
      <c r="F209" t="inlineStr">
        <is>
          <t>VÄSTRA GÖTALANDS LÄN</t>
        </is>
      </c>
      <c r="G209" t="inlineStr">
        <is>
          <t>KARLSBORG</t>
        </is>
      </c>
      <c r="I209" t="n">
        <v>2.8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27906-2026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46191</v>
      </c>
      <c r="E210" s="1" t="n">
        <v>46324</v>
      </c>
      <c r="F210" t="inlineStr">
        <is>
          <t>VÄSTRA GÖTALANDS LÄN</t>
        </is>
      </c>
      <c r="G210" t="inlineStr">
        <is>
          <t>KARLSBORG</t>
        </is>
      </c>
      <c r="I210" t="n">
        <v>5.2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57915-2024</t>
        </is>
      </c>
      <c r="B211" t="inlineStr">
        <is>
          <t>avverkningsanmälan</t>
        </is>
      </c>
      <c r="C211" t="inlineStr">
        <is>
          <t>Avverkning för att bevara och utveckla /försöksver</t>
        </is>
      </c>
      <c r="D211" s="1" t="n">
        <v>45631</v>
      </c>
      <c r="E211" s="1" t="n">
        <v>46324</v>
      </c>
      <c r="F211" t="inlineStr">
        <is>
          <t>VÄSTRA GÖTALANDS LÄN</t>
        </is>
      </c>
      <c r="G211" t="inlineStr">
        <is>
          <t>KARLSBORG</t>
        </is>
      </c>
      <c r="H211" t="inlineStr">
        <is>
          <t>Sveaskog</t>
        </is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41943-2024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45561</v>
      </c>
      <c r="E212" s="1" t="n">
        <v>46324</v>
      </c>
      <c r="F212" t="inlineStr">
        <is>
          <t>VÄSTRA GÖTALANDS LÄN</t>
        </is>
      </c>
      <c r="G212" t="inlineStr">
        <is>
          <t>KARLSBORG</t>
        </is>
      </c>
      <c r="I212" t="n">
        <v>1.1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41295-2026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46300</v>
      </c>
      <c r="E213" s="1" t="n">
        <v>46324</v>
      </c>
      <c r="F213" t="inlineStr">
        <is>
          <t>VÄSTRA GÖTALANDS LÄN</t>
        </is>
      </c>
      <c r="G213" t="inlineStr">
        <is>
          <t>KARLSBORG</t>
        </is>
      </c>
      <c r="I213" t="n">
        <v>6.9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13252-2024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45386</v>
      </c>
      <c r="E214" s="1" t="n">
        <v>46324</v>
      </c>
      <c r="F214" t="inlineStr">
        <is>
          <t>VÄSTRA GÖTALANDS LÄN</t>
        </is>
      </c>
      <c r="G214" t="inlineStr">
        <is>
          <t>KARLSBORG</t>
        </is>
      </c>
      <c r="I214" t="n">
        <v>1.8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59045-2023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45252</v>
      </c>
      <c r="E215" s="1" t="n">
        <v>46324</v>
      </c>
      <c r="F215" t="inlineStr">
        <is>
          <t>VÄSTRA GÖTALANDS LÄN</t>
        </is>
      </c>
      <c r="G215" t="inlineStr">
        <is>
          <t>KARLSBORG</t>
        </is>
      </c>
      <c r="H215" t="inlineStr">
        <is>
          <t>Övriga Aktiebolag</t>
        </is>
      </c>
      <c r="I215" t="n">
        <v>2.4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S 2395-2024</t>
        </is>
      </c>
      <c r="B216" t="inlineStr">
        <is>
          <t>samrådsanmälan</t>
        </is>
      </c>
      <c r="C216" t="inlineStr">
        <is>
          <t>Annan skogsbruksåtgärd</t>
        </is>
      </c>
      <c r="D216" s="1" t="n">
        <v>45468</v>
      </c>
      <c r="E216" s="1" t="n">
        <v>46324</v>
      </c>
      <c r="F216" t="inlineStr">
        <is>
          <t>VÄSTRA GÖTALANDS LÄN</t>
        </is>
      </c>
      <c r="G216" t="inlineStr">
        <is>
          <t>KARLSBORG</t>
        </is>
      </c>
      <c r="H216" t="inlineStr">
        <is>
          <t>Sveaskog</t>
        </is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>
      <c r="A217" t="inlineStr">
        <is>
          <t>S 343-2026</t>
        </is>
      </c>
      <c r="B217" t="inlineStr">
        <is>
          <t>samrådsanmälan</t>
        </is>
      </c>
      <c r="C217" t="inlineStr">
        <is>
          <t>Skogsgödsling</t>
        </is>
      </c>
      <c r="D217" s="1" t="n">
        <v>46059</v>
      </c>
      <c r="E217" s="1" t="n">
        <v>46324</v>
      </c>
      <c r="F217" t="inlineStr">
        <is>
          <t>VÄSTRA GÖTALANDS LÄN</t>
        </is>
      </c>
      <c r="G217" t="inlineStr">
        <is>
          <t>KARLSBORG</t>
        </is>
      </c>
      <c r="I217" t="n">
        <v>25.7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2026-10-29T03:13:20Z</dcterms:created>
  <dcterms:modified xmlns:dcterms="http://purl.org/dc/terms/" xmlns:xsi="http://www.w3.org/2001/XMLSchema-instance" xsi:type="dcterms:W3CDTF">2026-10-29T03:13:20Z</dcterms:modified>
</cp:coreProperties>
</file>