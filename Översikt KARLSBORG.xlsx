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46298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46298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46298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46298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46298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46298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46298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46298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46298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46298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46298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46298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46298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46298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46298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46298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46298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46298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46298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46298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46298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46298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31801-2026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46230</v>
      </c>
      <c r="E27" s="1" t="n">
        <v>46298</v>
      </c>
      <c r="F27" t="inlineStr">
        <is>
          <t>VÄSTRA GÖTALANDS LÄN</t>
        </is>
      </c>
      <c r="G27" t="inlineStr">
        <is>
          <t>KARLSBORG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Knärot</t>
        </is>
      </c>
      <c r="W27">
        <f>HYPERLINK("https://klasma.github.io/Logging_1446/artfynd/A 31801-2026 artfynd.xlsx", "A 31801-2026")</f>
        <v/>
      </c>
      <c r="X27">
        <f>HYPERLINK("https://klasma.github.io/Logging_1446/kartor/A 31801-2026 karta.png", "A 31801-2026")</f>
        <v/>
      </c>
      <c r="Y27">
        <f>HYPERLINK("https://klasma.github.io/Logging_1446/kartor_geotiff/A 31801-2026 georefererad karta.tif", "A 31801-2026")</f>
        <v/>
      </c>
      <c r="Z27">
        <f>HYPERLINK("https://klasma.github.io/Logging_1446/knärot/A 31801-2026 karta knärot.png", "A 31801-2026")</f>
        <v/>
      </c>
      <c r="AA27">
        <f>HYPERLINK("https://klasma.github.io/Logging_1446/klagomål/A 31801-2026 FSC-klagomål.docx", "A 31801-2026")</f>
        <v/>
      </c>
      <c r="AB27">
        <f>HYPERLINK("https://klasma.github.io/Logging_1446/klagomålsmail/A 31801-2026 FSC-klagomål mail.docx", "A 31801-2026")</f>
        <v/>
      </c>
      <c r="AC27">
        <f>HYPERLINK("https://klasma.github.io/Logging_1446/tillsyn/A 31801-2026 tillsynsbegäran.docx", "A 31801-2026")</f>
        <v/>
      </c>
      <c r="AD27">
        <f>HYPERLINK("https://klasma.github.io/Logging_1446/tillsynsmail/A 31801-2026 tillsynsbegäran mail.docx", "A 31801-2026")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46298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46298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46298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46298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46298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46298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46298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46298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46298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46298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46298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46298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46298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45453</v>
      </c>
      <c r="E43" s="1" t="n">
        <v>46298</v>
      </c>
      <c r="F43" t="inlineStr">
        <is>
          <t>VÄSTRA GÖTALANDS LÄN</t>
        </is>
      </c>
      <c r="G43" t="inlineStr">
        <is>
          <t>KARLSBORG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46298</v>
      </c>
      <c r="F44" t="inlineStr">
        <is>
          <t>VÄSTRA GÖTALANDS LÄN</t>
        </is>
      </c>
      <c r="G44" t="inlineStr">
        <is>
          <t>KARLSBORG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46298</v>
      </c>
      <c r="F45" t="inlineStr">
        <is>
          <t>VÄSTRA GÖTALANDS LÄN</t>
        </is>
      </c>
      <c r="G45" t="inlineStr">
        <is>
          <t>KARLSBORG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45524</v>
      </c>
      <c r="E46" s="1" t="n">
        <v>46298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46298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38073-2023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45160</v>
      </c>
      <c r="E48" s="1" t="n">
        <v>46298</v>
      </c>
      <c r="F48" t="inlineStr">
        <is>
          <t>VÄSTRA GÖTALANDS LÄN</t>
        </is>
      </c>
      <c r="G48" t="inlineStr">
        <is>
          <t>KARLSBORG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44538</v>
      </c>
      <c r="E49" s="1" t="n">
        <v>46298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42757-2024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45566</v>
      </c>
      <c r="E50" s="1" t="n">
        <v>46298</v>
      </c>
      <c r="F50" t="inlineStr">
        <is>
          <t>VÄSTRA GÖTALANDS LÄN</t>
        </is>
      </c>
      <c r="G50" t="inlineStr">
        <is>
          <t>KARLSBORG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46298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45243</v>
      </c>
      <c r="E52" s="1" t="n">
        <v>46298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46298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62072-2025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46006</v>
      </c>
      <c r="E54" s="1" t="n">
        <v>46298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46298</v>
      </c>
      <c r="F55" t="inlineStr">
        <is>
          <t>VÄSTRA GÖTALANDS LÄN</t>
        </is>
      </c>
      <c r="G55" t="inlineStr">
        <is>
          <t>KARLSBORG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46298</v>
      </c>
      <c r="F56" t="inlineStr">
        <is>
          <t>VÄSTRA GÖTALANDS LÄN</t>
        </is>
      </c>
      <c r="G56" t="inlineStr">
        <is>
          <t>KARLSBORG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45721</v>
      </c>
      <c r="E57" s="1" t="n">
        <v>46298</v>
      </c>
      <c r="F57" t="inlineStr">
        <is>
          <t>VÄSTRA GÖTALANDS LÄN</t>
        </is>
      </c>
      <c r="G57" t="inlineStr">
        <is>
          <t>KARLSBORG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46298</v>
      </c>
      <c r="F58" t="inlineStr">
        <is>
          <t>VÄSTRA GÖTALANDS LÄN</t>
        </is>
      </c>
      <c r="G58" t="inlineStr">
        <is>
          <t>KARLSBORG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46298</v>
      </c>
      <c r="F59" t="inlineStr">
        <is>
          <t>VÄSTRA GÖTALANDS LÄN</t>
        </is>
      </c>
      <c r="G59" t="inlineStr">
        <is>
          <t>KARLSBORG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46298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45103</v>
      </c>
      <c r="E61" s="1" t="n">
        <v>46298</v>
      </c>
      <c r="F61" t="inlineStr">
        <is>
          <t>VÄSTRA GÖTALANDS LÄN</t>
        </is>
      </c>
      <c r="G61" t="inlineStr">
        <is>
          <t>KARLSBORG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46298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46298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46298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46298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15220-2023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46298</v>
      </c>
      <c r="F66" t="inlineStr">
        <is>
          <t>VÄSTRA GÖTALANDS LÄN</t>
        </is>
      </c>
      <c r="G66" t="inlineStr">
        <is>
          <t>KARLSBORG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46298</v>
      </c>
      <c r="F67" t="inlineStr">
        <is>
          <t>VÄSTRA GÖTALANDS LÄN</t>
        </is>
      </c>
      <c r="G67" t="inlineStr">
        <is>
          <t>KARLSBORG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46298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Kyrkan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46298</v>
      </c>
      <c r="F69" t="inlineStr">
        <is>
          <t>VÄSTRA GÖTALANDS LÄN</t>
        </is>
      </c>
      <c r="G69" t="inlineStr">
        <is>
          <t>KARLSBORG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46298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46298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46298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45630</v>
      </c>
      <c r="E73" s="1" t="n">
        <v>46298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46298</v>
      </c>
      <c r="F74" t="inlineStr">
        <is>
          <t>VÄSTRA GÖTALANDS LÄN</t>
        </is>
      </c>
      <c r="G74" t="inlineStr">
        <is>
          <t>KARLSBORG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46298</v>
      </c>
      <c r="F75" t="inlineStr">
        <is>
          <t>VÄSTRA GÖTALANDS LÄN</t>
        </is>
      </c>
      <c r="G75" t="inlineStr">
        <is>
          <t>KARLSBORG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46298</v>
      </c>
      <c r="F76" t="inlineStr">
        <is>
          <t>VÄSTRA GÖTALANDS LÄN</t>
        </is>
      </c>
      <c r="G76" t="inlineStr">
        <is>
          <t>KARLSBORG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46298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46298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46298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45247-2025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46298</v>
      </c>
      <c r="F80" t="inlineStr">
        <is>
          <t>VÄSTRA GÖTALANDS LÄN</t>
        </is>
      </c>
      <c r="G80" t="inlineStr">
        <is>
          <t>KARLSBORG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46298</v>
      </c>
      <c r="F81" t="inlineStr">
        <is>
          <t>VÄSTRA GÖTALANDS LÄN</t>
        </is>
      </c>
      <c r="G81" t="inlineStr">
        <is>
          <t>KARLSBORG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46298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46298</v>
      </c>
      <c r="F83" t="inlineStr">
        <is>
          <t>VÄSTRA GÖTALANDS LÄN</t>
        </is>
      </c>
      <c r="G83" t="inlineStr">
        <is>
          <t>KARLSBORG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46298</v>
      </c>
      <c r="F84" t="inlineStr">
        <is>
          <t>VÄSTRA GÖTALANDS LÄN</t>
        </is>
      </c>
      <c r="G84" t="inlineStr">
        <is>
          <t>KARLSBORG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46298</v>
      </c>
      <c r="F85" t="inlineStr">
        <is>
          <t>VÄSTRA GÖTALANDS LÄN</t>
        </is>
      </c>
      <c r="G85" t="inlineStr">
        <is>
          <t>KARLSBORG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58127-2024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45632</v>
      </c>
      <c r="E86" s="1" t="n">
        <v>46298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46298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46298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46298</v>
      </c>
      <c r="F89" t="inlineStr">
        <is>
          <t>VÄSTRA GÖTALANDS LÄN</t>
        </is>
      </c>
      <c r="G89" t="inlineStr">
        <is>
          <t>KARLSBORG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46298</v>
      </c>
      <c r="F90" t="inlineStr">
        <is>
          <t>VÄSTRA GÖTALANDS LÄN</t>
        </is>
      </c>
      <c r="G90" t="inlineStr">
        <is>
          <t>KARLSBORG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46298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statliga verk och myndigheter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45002</v>
      </c>
      <c r="E92" s="1" t="n">
        <v>46298</v>
      </c>
      <c r="F92" t="inlineStr">
        <is>
          <t>VÄSTRA GÖTALANDS LÄN</t>
        </is>
      </c>
      <c r="G92" t="inlineStr">
        <is>
          <t>KARLSBORG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46298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statliga verk och myndigheter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46298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statliga verk och myndigheter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46298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statliga verk och myndigheter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46298</v>
      </c>
      <c r="F96" t="inlineStr">
        <is>
          <t>VÄSTRA GÖTALANDS LÄN</t>
        </is>
      </c>
      <c r="G96" t="inlineStr">
        <is>
          <t>KARLSBORG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46298</v>
      </c>
      <c r="F97" t="inlineStr">
        <is>
          <t>VÄSTRA GÖTALANDS LÄN</t>
        </is>
      </c>
      <c r="G97" t="inlineStr">
        <is>
          <t>KARLSBORG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46298</v>
      </c>
      <c r="F98" t="inlineStr">
        <is>
          <t>VÄSTRA GÖTALANDS LÄN</t>
        </is>
      </c>
      <c r="G98" t="inlineStr">
        <is>
          <t>KARLSBORG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46298</v>
      </c>
      <c r="F99" t="inlineStr">
        <is>
          <t>VÄSTRA GÖTALANDS LÄN</t>
        </is>
      </c>
      <c r="G99" t="inlineStr">
        <is>
          <t>KARLSBORG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45742</v>
      </c>
      <c r="E100" s="1" t="n">
        <v>46298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46298</v>
      </c>
      <c r="F101" t="inlineStr">
        <is>
          <t>VÄSTRA GÖTALANDS LÄN</t>
        </is>
      </c>
      <c r="G101" t="inlineStr">
        <is>
          <t>KARLSBORG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45942</v>
      </c>
      <c r="E102" s="1" t="n">
        <v>46298</v>
      </c>
      <c r="F102" t="inlineStr">
        <is>
          <t>VÄSTRA GÖTALANDS LÄN</t>
        </is>
      </c>
      <c r="G102" t="inlineStr">
        <is>
          <t>KARLSBORG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46298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46298</v>
      </c>
      <c r="F104" t="inlineStr">
        <is>
          <t>VÄSTRA GÖTALANDS LÄN</t>
        </is>
      </c>
      <c r="G104" t="inlineStr">
        <is>
          <t>KARLSBORG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46298</v>
      </c>
      <c r="F105" t="inlineStr">
        <is>
          <t>VÄSTRA GÖTALANDS LÄN</t>
        </is>
      </c>
      <c r="G105" t="inlineStr">
        <is>
          <t>KARLSBORG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46298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46298</v>
      </c>
      <c r="F107" t="inlineStr">
        <is>
          <t>VÄSTRA GÖTALANDS LÄN</t>
        </is>
      </c>
      <c r="G107" t="inlineStr">
        <is>
          <t>KARLSBORG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44944</v>
      </c>
      <c r="E108" s="1" t="n">
        <v>46298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46298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46298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46298</v>
      </c>
      <c r="F111" t="inlineStr">
        <is>
          <t>VÄSTRA GÖTALANDS LÄN</t>
        </is>
      </c>
      <c r="G111" t="inlineStr">
        <is>
          <t>KARLSBORG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45394</v>
      </c>
      <c r="E112" s="1" t="n">
        <v>46298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46298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44687</v>
      </c>
      <c r="E114" s="1" t="n">
        <v>46298</v>
      </c>
      <c r="F114" t="inlineStr">
        <is>
          <t>VÄSTRA GÖTALANDS LÄN</t>
        </is>
      </c>
      <c r="G114" t="inlineStr">
        <is>
          <t>KARLSBORG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46298</v>
      </c>
      <c r="F115" t="inlineStr">
        <is>
          <t>VÄSTRA GÖTALANDS LÄN</t>
        </is>
      </c>
      <c r="G115" t="inlineStr">
        <is>
          <t>KARLSBORG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46298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46298</v>
      </c>
      <c r="F117" t="inlineStr">
        <is>
          <t>VÄSTRA GÖTALANDS LÄN</t>
        </is>
      </c>
      <c r="G117" t="inlineStr">
        <is>
          <t>KARLSBORG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46298</v>
      </c>
      <c r="F118" t="inlineStr">
        <is>
          <t>VÄSTRA GÖTALANDS LÄN</t>
        </is>
      </c>
      <c r="G118" t="inlineStr">
        <is>
          <t>KARLSBORG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45566</v>
      </c>
      <c r="E119" s="1" t="n">
        <v>46298</v>
      </c>
      <c r="F119" t="inlineStr">
        <is>
          <t>VÄSTRA GÖTALANDS LÄN</t>
        </is>
      </c>
      <c r="G119" t="inlineStr">
        <is>
          <t>KARLSBORG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46298</v>
      </c>
      <c r="F120" t="inlineStr">
        <is>
          <t>VÄSTRA GÖTALANDS LÄN</t>
        </is>
      </c>
      <c r="G120" t="inlineStr">
        <is>
          <t>KARLSBORG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46298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45176</v>
      </c>
      <c r="E122" s="1" t="n">
        <v>46298</v>
      </c>
      <c r="F122" t="inlineStr">
        <is>
          <t>VÄSTRA GÖTALANDS LÄN</t>
        </is>
      </c>
      <c r="G122" t="inlineStr">
        <is>
          <t>KARLSBORG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46298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46298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46298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46298</v>
      </c>
      <c r="F126" t="inlineStr">
        <is>
          <t>VÄSTRA GÖTALANDS LÄN</t>
        </is>
      </c>
      <c r="G126" t="inlineStr">
        <is>
          <t>KARLSBORG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18564-2026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46298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46298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46298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46298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46298</v>
      </c>
      <c r="F131" t="inlineStr">
        <is>
          <t>VÄSTRA GÖTALANDS LÄN</t>
        </is>
      </c>
      <c r="G131" t="inlineStr">
        <is>
          <t>KARLSBORG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32128-2025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45835</v>
      </c>
      <c r="E132" s="1" t="n">
        <v>46298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31701-2025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45834</v>
      </c>
      <c r="E133" s="1" t="n">
        <v>46298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46298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24594-2022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44727</v>
      </c>
      <c r="E135" s="1" t="n">
        <v>46298</v>
      </c>
      <c r="F135" t="inlineStr">
        <is>
          <t>VÄSTRA GÖTALANDS LÄN</t>
        </is>
      </c>
      <c r="G135" t="inlineStr">
        <is>
          <t>KARLSBORG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45233</v>
      </c>
      <c r="E136" s="1" t="n">
        <v>46298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46298</v>
      </c>
      <c r="F137" t="inlineStr">
        <is>
          <t>VÄSTRA GÖTALANDS LÄN</t>
        </is>
      </c>
      <c r="G137" t="inlineStr">
        <is>
          <t>KARLSBORG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46298</v>
      </c>
      <c r="F138" t="inlineStr">
        <is>
          <t>VÄSTRA GÖTALANDS LÄN</t>
        </is>
      </c>
      <c r="G138" t="inlineStr">
        <is>
          <t>KARLSBORG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46298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46298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35441-2024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45531</v>
      </c>
      <c r="E141" s="1" t="n">
        <v>46298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46298</v>
      </c>
      <c r="F142" t="inlineStr">
        <is>
          <t>VÄSTRA GÖTALANDS LÄN</t>
        </is>
      </c>
      <c r="G142" t="inlineStr">
        <is>
          <t>KARLSBORG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46298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65313-2021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46298</v>
      </c>
      <c r="F144" t="inlineStr">
        <is>
          <t>VÄSTRA GÖTALANDS LÄN</t>
        </is>
      </c>
      <c r="G144" t="inlineStr">
        <is>
          <t>KARLSBORG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46298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46298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46298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46298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45862</v>
      </c>
      <c r="E149" s="1" t="n">
        <v>46298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57915-2024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45631</v>
      </c>
      <c r="E150" s="1" t="n">
        <v>46298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46143</v>
      </c>
      <c r="E151" s="1" t="n">
        <v>46298</v>
      </c>
      <c r="F151" t="inlineStr">
        <is>
          <t>VÄSTRA GÖTALANDS LÄN</t>
        </is>
      </c>
      <c r="G151" t="inlineStr">
        <is>
          <t>KARLSBORG</t>
        </is>
      </c>
      <c r="I151" t="n">
        <v>14.6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46298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46298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46298</v>
      </c>
      <c r="F154" t="inlineStr">
        <is>
          <t>VÄSTRA GÖTALANDS LÄN</t>
        </is>
      </c>
      <c r="G154" t="inlineStr">
        <is>
          <t>KARLSBORG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46298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46298</v>
      </c>
      <c r="F156" t="inlineStr">
        <is>
          <t>VÄSTRA GÖTALANDS LÄN</t>
        </is>
      </c>
      <c r="G156" t="inlineStr">
        <is>
          <t>KARLSBORG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44906</v>
      </c>
      <c r="E157" s="1" t="n">
        <v>46298</v>
      </c>
      <c r="F157" t="inlineStr">
        <is>
          <t>VÄSTRA GÖTALANDS LÄN</t>
        </is>
      </c>
      <c r="G157" t="inlineStr">
        <is>
          <t>KARLSBORG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46298</v>
      </c>
      <c r="F158" t="inlineStr">
        <is>
          <t>VÄSTRA GÖTALANDS LÄN</t>
        </is>
      </c>
      <c r="G158" t="inlineStr">
        <is>
          <t>KARLSBORG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46298</v>
      </c>
      <c r="F159" t="inlineStr">
        <is>
          <t>VÄSTRA GÖTALANDS LÄN</t>
        </is>
      </c>
      <c r="G159" t="inlineStr">
        <is>
          <t>KARLSBORG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46298</v>
      </c>
      <c r="F160" t="inlineStr">
        <is>
          <t>VÄSTRA GÖTALANDS LÄN</t>
        </is>
      </c>
      <c r="G160" t="inlineStr">
        <is>
          <t>KARLSBORG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46298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45076</v>
      </c>
      <c r="E162" s="1" t="n">
        <v>46298</v>
      </c>
      <c r="F162" t="inlineStr">
        <is>
          <t>VÄSTRA GÖTALANDS LÄN</t>
        </is>
      </c>
      <c r="G162" t="inlineStr">
        <is>
          <t>KARLSBORG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46298</v>
      </c>
      <c r="F163" t="inlineStr">
        <is>
          <t>VÄSTRA GÖTALANDS LÄN</t>
        </is>
      </c>
      <c r="G163" t="inlineStr">
        <is>
          <t>KARLSBORG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46298</v>
      </c>
      <c r="F164" t="inlineStr">
        <is>
          <t>VÄSTRA GÖTALANDS LÄN</t>
        </is>
      </c>
      <c r="G164" t="inlineStr">
        <is>
          <t>KARLSBORG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46298</v>
      </c>
      <c r="F165" t="inlineStr">
        <is>
          <t>VÄSTRA GÖTALANDS LÄN</t>
        </is>
      </c>
      <c r="G165" t="inlineStr">
        <is>
          <t>KARLSBORG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46298</v>
      </c>
      <c r="F166" t="inlineStr">
        <is>
          <t>VÄSTRA GÖTALANDS LÄN</t>
        </is>
      </c>
      <c r="G166" t="inlineStr">
        <is>
          <t>KARLSBORG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46298</v>
      </c>
      <c r="F167" t="inlineStr">
        <is>
          <t>VÄSTRA GÖTALANDS LÄN</t>
        </is>
      </c>
      <c r="G167" t="inlineStr">
        <is>
          <t>KARLSBORG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46298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46298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46298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46298</v>
      </c>
      <c r="F171" t="inlineStr">
        <is>
          <t>VÄSTRA GÖTALANDS LÄN</t>
        </is>
      </c>
      <c r="G171" t="inlineStr">
        <is>
          <t>KARLSBORG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46298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29357-2024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45483</v>
      </c>
      <c r="E173" s="1" t="n">
        <v>46298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46298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46298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44929</v>
      </c>
      <c r="E176" s="1" t="n">
        <v>46298</v>
      </c>
      <c r="F176" t="inlineStr">
        <is>
          <t>VÄSTRA GÖTALANDS LÄN</t>
        </is>
      </c>
      <c r="G176" t="inlineStr">
        <is>
          <t>KARLSBORG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X176">
        <f>HYPERLINK("https://klasma.github.io/Logging_1446/kartor/A 412-2023 karta.png", "A 412-2023")</f>
        <v/>
      </c>
      <c r="Y176">
        <f>HYPERLINK("https://klasma.github.io/Logging_1446/kartor_geotiff/A 412-2023 georefererad karta.tif", "A 412-2023")</f>
        <v/>
      </c>
      <c r="AA176">
        <f>HYPERLINK("https://klasma.github.io/Logging_1446/klagomål/A 412-2023 FSC-klagomål.docx", "A 412-2023")</f>
        <v/>
      </c>
      <c r="AB176">
        <f>HYPERLINK("https://klasma.github.io/Logging_1446/klagomålsmail/A 412-2023 FSC-klagomål mail.docx", "A 412-2023")</f>
        <v/>
      </c>
      <c r="AC176">
        <f>HYPERLINK("https://klasma.github.io/Logging_1446/tillsyn/A 412-2023 tillsynsbegäran.docx", "A 412-2023")</f>
        <v/>
      </c>
      <c r="AD176">
        <f>HYPERLINK("https://klasma.github.io/Logging_1446/tillsynsmail/A 412-2023 tillsynsbegäran mail.docx", "A 412-2023")</f>
        <v/>
      </c>
    </row>
    <row r="177" ht="15" customHeight="1">
      <c r="A177" t="inlineStr">
        <is>
          <t>A 29685-2022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46298</v>
      </c>
      <c r="F177" t="inlineStr">
        <is>
          <t>VÄSTRA GÖTALANDS LÄN</t>
        </is>
      </c>
      <c r="G177" t="inlineStr">
        <is>
          <t>KARLSBORG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46298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46298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46298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46298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46298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46298</v>
      </c>
      <c r="F183" t="inlineStr">
        <is>
          <t>VÄSTRA GÖTALANDS LÄN</t>
        </is>
      </c>
      <c r="G183" t="inlineStr">
        <is>
          <t>KARLSBORG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46260</v>
      </c>
      <c r="E184" s="1" t="n">
        <v>46298</v>
      </c>
      <c r="F184" t="inlineStr">
        <is>
          <t>VÄSTRA GÖTALANDS LÄN</t>
        </is>
      </c>
      <c r="G184" t="inlineStr">
        <is>
          <t>KARLSBORG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46298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46298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46298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58129-2024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45632</v>
      </c>
      <c r="E188" s="1" t="n">
        <v>46298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46230</v>
      </c>
      <c r="E189" s="1" t="n">
        <v>46298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46276</v>
      </c>
      <c r="E190" s="1" t="n">
        <v>46298</v>
      </c>
      <c r="F190" t="inlineStr">
        <is>
          <t>VÄSTRA GÖTALANDS LÄN</t>
        </is>
      </c>
      <c r="G190" t="inlineStr">
        <is>
          <t>KARLSBORG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46298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46298</v>
      </c>
      <c r="F192" t="inlineStr">
        <is>
          <t>VÄSTRA GÖTALANDS LÄN</t>
        </is>
      </c>
      <c r="G192" t="inlineStr">
        <is>
          <t>KARLSBORG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59890-2021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46298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44906</v>
      </c>
      <c r="E194" s="1" t="n">
        <v>46298</v>
      </c>
      <c r="F194" t="inlineStr">
        <is>
          <t>VÄSTRA GÖTALANDS LÄN</t>
        </is>
      </c>
      <c r="G194" t="inlineStr">
        <is>
          <t>KARLSBORG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46288</v>
      </c>
      <c r="E195" s="1" t="n">
        <v>46298</v>
      </c>
      <c r="F195" t="inlineStr">
        <is>
          <t>VÄSTRA GÖTALANDS LÄN</t>
        </is>
      </c>
      <c r="G195" t="inlineStr">
        <is>
          <t>KARLSBORG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69341-2021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46298</v>
      </c>
      <c r="F196" t="inlineStr">
        <is>
          <t>VÄSTRA GÖTALANDS LÄN</t>
        </is>
      </c>
      <c r="G196" t="inlineStr">
        <is>
          <t>KARLSBORG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46298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46298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46298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15396-2024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45401</v>
      </c>
      <c r="E200" s="1" t="n">
        <v>46298</v>
      </c>
      <c r="F200" t="inlineStr">
        <is>
          <t>VÄSTRA GÖTALANDS LÄN</t>
        </is>
      </c>
      <c r="G200" t="inlineStr">
        <is>
          <t>KARLSBORG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46298</v>
      </c>
      <c r="F201" t="inlineStr">
        <is>
          <t>VÄSTRA GÖTALANDS LÄN</t>
        </is>
      </c>
      <c r="G201" t="inlineStr">
        <is>
          <t>KARLSBORG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44494</v>
      </c>
      <c r="E202" s="1" t="n">
        <v>46298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statliga verk och myndigheter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46298</v>
      </c>
      <c r="F203" t="inlineStr">
        <is>
          <t>VÄSTRA GÖTALANDS LÄN</t>
        </is>
      </c>
      <c r="G203" t="inlineStr">
        <is>
          <t>KARLSBORG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46298</v>
      </c>
      <c r="F204" t="inlineStr">
        <is>
          <t>VÄSTRA GÖTALANDS LÄN</t>
        </is>
      </c>
      <c r="G204" t="inlineStr">
        <is>
          <t>KARLSBORG</t>
        </is>
      </c>
      <c r="I204" t="n">
        <v>9.5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45575</v>
      </c>
      <c r="E205" s="1" t="n">
        <v>46298</v>
      </c>
      <c r="F205" t="inlineStr">
        <is>
          <t>VÄSTRA GÖTALANDS LÄN</t>
        </is>
      </c>
      <c r="G205" t="inlineStr">
        <is>
          <t>KARLSBORG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46298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46298</v>
      </c>
      <c r="F207" t="inlineStr">
        <is>
          <t>VÄSTRA GÖTALANDS LÄN</t>
        </is>
      </c>
      <c r="G207" t="inlineStr">
        <is>
          <t>KARLSBORG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45251</v>
      </c>
      <c r="E208" s="1" t="n">
        <v>46298</v>
      </c>
      <c r="F208" t="inlineStr">
        <is>
          <t>VÄSTRA GÖTALANDS LÄN</t>
        </is>
      </c>
      <c r="G208" t="inlineStr">
        <is>
          <t>KARLSBORG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46298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46298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44939</v>
      </c>
      <c r="E211" s="1" t="n">
        <v>46298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46298</v>
      </c>
      <c r="F212" t="inlineStr">
        <is>
          <t>VÄSTRA GÖTALANDS LÄN</t>
        </is>
      </c>
      <c r="G212" t="inlineStr">
        <is>
          <t>KARLSBORG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45169</v>
      </c>
      <c r="E213" s="1" t="n">
        <v>46298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45566</v>
      </c>
      <c r="E214" s="1" t="n">
        <v>46298</v>
      </c>
      <c r="F214" t="inlineStr">
        <is>
          <t>VÄSTRA GÖTALANDS LÄN</t>
        </is>
      </c>
      <c r="G214" t="inlineStr">
        <is>
          <t>KARLSBORG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46298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46298</v>
      </c>
      <c r="F216" t="inlineStr">
        <is>
          <t>VÄSTRA GÖTALANDS LÄN</t>
        </is>
      </c>
      <c r="G216" t="inlineStr">
        <is>
          <t>KARLSBORG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46298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46298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46298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2395-2024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45468</v>
      </c>
      <c r="E220" s="1" t="n">
        <v>46298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343-2026</t>
        </is>
      </c>
      <c r="B221" t="inlineStr">
        <is>
          <t>samrådsanmälan</t>
        </is>
      </c>
      <c r="C221" t="inlineStr">
        <is>
          <t>Skogsgödsling</t>
        </is>
      </c>
      <c r="D221" s="1" t="n">
        <v>46059</v>
      </c>
      <c r="E221" s="1" t="n">
        <v>46298</v>
      </c>
      <c r="F221" t="inlineStr">
        <is>
          <t>VÄSTRA GÖTALANDS LÄN</t>
        </is>
      </c>
      <c r="G221" t="inlineStr">
        <is>
          <t>KARLSBORG</t>
        </is>
      </c>
      <c r="I221" t="n">
        <v>25.7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2026-10-03T01:59:47Z</dcterms:created>
  <dcterms:modified xmlns:dcterms="http://purl.org/dc/terms/" xmlns:xsi="http://www.w3.org/2001/XMLSchema-instance" xsi:type="dcterms:W3CDTF">2026-10-03T01:59:47Z</dcterms:modified>
</cp:coreProperties>
</file>