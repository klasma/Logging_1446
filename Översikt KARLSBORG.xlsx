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46229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46229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46229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Talltita
Älg
Mindre märgborre
Vågbandad barkbock
Tjäder</t>
        </is>
      </c>
      <c r="W4">
        <f>HYPERLINK("https://klasma.github.io/Logging_1446/artfynd/A 22877-2026 artfynd.xlsx", "A 22877-2026")</f>
        <v/>
      </c>
      <c r="X4">
        <f>HYPERLINK("https://klasma.github.io/Logging_1446/kartor/A 22877-2026 karta.png", "A 22877-2026")</f>
        <v/>
      </c>
      <c r="Y4">
        <f>HYPERLINK("https://klasma.github.io/Logging_1446/kartor_geotiff/A 22877-2026 georefererad karta.tif", "A 22877-2026")</f>
        <v/>
      </c>
      <c r="AA4">
        <f>HYPERLINK("https://klasma.github.io/Logging_1446/klagomål/A 22877-2026 FSC-klagomål.docx", "A 22877-2026")</f>
        <v/>
      </c>
      <c r="AB4">
        <f>HYPERLINK("https://klasma.github.io/Logging_1446/klagomålsmail/A 22877-2026 FSC-klagomål mail.docx", "A 22877-2026")</f>
        <v/>
      </c>
      <c r="AC4">
        <f>HYPERLINK("https://klasma.github.io/Logging_1446/tillsyn/A 22877-2026 tillsynsbegäran.docx", "A 22877-2026")</f>
        <v/>
      </c>
      <c r="AD4">
        <f>HYPERLINK("https://klasma.github.io/Logging_1446/tillsynsmail/A 22877-2026 tillsynsbegäran mail.docx", "A 22877-2026")</f>
        <v/>
      </c>
      <c r="AE4">
        <f>HYPERLINK("https://klasma.github.io/Logging_1446/fåglar/A 22877-2026 prioriterade fågelarter.docx", "A 22877-2026")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46229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45741</v>
      </c>
      <c r="E6" s="1" t="n">
        <v>46229</v>
      </c>
      <c r="F6" t="inlineStr">
        <is>
          <t>VÄSTRA GÖTALANDS LÄN</t>
        </is>
      </c>
      <c r="G6" t="inlineStr">
        <is>
          <t>KARLSBORG</t>
        </is>
      </c>
      <c r="I6" t="n">
        <v>7.9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Järnsparv
Talltita
Spillkråka
Kungsfågel
Åkergroda</t>
        </is>
      </c>
      <c r="W6">
        <f>HYPERLINK("https://klasma.github.io/Logging_1446/artfynd/A 14438-2025 artfynd.xlsx", "A 14438-2025")</f>
        <v/>
      </c>
      <c r="X6">
        <f>HYPERLINK("https://klasma.github.io/Logging_1446/kartor/A 14438-2025 karta.png", "A 14438-2025")</f>
        <v/>
      </c>
      <c r="Y6">
        <f>HYPERLINK("https://klasma.github.io/Logging_1446/kartor_geotiff/A 14438-2025 georefererad karta.tif", "A 14438-2025")</f>
        <v/>
      </c>
      <c r="AA6">
        <f>HYPERLINK("https://klasma.github.io/Logging_1446/klagomål/A 14438-2025 FSC-klagomål.docx", "A 14438-2025")</f>
        <v/>
      </c>
      <c r="AB6">
        <f>HYPERLINK("https://klasma.github.io/Logging_1446/klagomålsmail/A 14438-2025 FSC-klagomål mail.docx", "A 14438-2025")</f>
        <v/>
      </c>
      <c r="AC6">
        <f>HYPERLINK("https://klasma.github.io/Logging_1446/tillsyn/A 14438-2025 tillsynsbegäran.docx", "A 14438-2025")</f>
        <v/>
      </c>
      <c r="AD6">
        <f>HYPERLINK("https://klasma.github.io/Logging_1446/tillsynsmail/A 14438-2025 tillsynsbegäran mail.docx", "A 14438-2025")</f>
        <v/>
      </c>
      <c r="AE6">
        <f>HYPERLINK("https://klasma.github.io/Logging_1446/fåglar/A 14438-2025 prioriterade fågelarter.docx", "A 14438-2025")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46229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46229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46229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46229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46229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46229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46229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46229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46229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46229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HYPERLINK("https://klasma.github.io/Logging_1446/artfynd/A 19851-2025 artfynd.xlsx", "A 19851-2025")</f>
        <v/>
      </c>
      <c r="X16">
        <f>HYPERLINK("https://klasma.github.io/Logging_1446/kartor/A 19851-2025 karta.png", "A 19851-2025")</f>
        <v/>
      </c>
      <c r="Y16">
        <f>HYPERLINK("https://klasma.github.io/Logging_1446/kartor_geotiff/A 19851-2025 georefererad karta.tif", "A 19851-2025")</f>
        <v/>
      </c>
      <c r="Z16">
        <f>HYPERLINK("https://klasma.github.io/Logging_1446/knärot/A 19851-2025 karta knärot.png", "A 19851-2025")</f>
        <v/>
      </c>
      <c r="AA16">
        <f>HYPERLINK("https://klasma.github.io/Logging_1446/klagomål/A 19851-2025 FSC-klagomål.docx", "A 19851-2025")</f>
        <v/>
      </c>
      <c r="AB16">
        <f>HYPERLINK("https://klasma.github.io/Logging_1446/klagomålsmail/A 19851-2025 FSC-klagomål mail.docx", "A 19851-2025")</f>
        <v/>
      </c>
      <c r="AC16">
        <f>HYPERLINK("https://klasma.github.io/Logging_1446/tillsyn/A 19851-2025 tillsynsbegäran.docx", "A 19851-2025")</f>
        <v/>
      </c>
      <c r="AD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46229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46229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46229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46229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46229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46229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46229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46229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46229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46229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18567-2026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46127</v>
      </c>
      <c r="E27" s="1" t="n">
        <v>46229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2.6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18567-2026 artfynd.xlsx", "A 18567-2026")</f>
        <v/>
      </c>
      <c r="X27">
        <f>HYPERLINK("https://klasma.github.io/Logging_1446/kartor/A 18567-2026 karta.png", "A 18567-2026")</f>
        <v/>
      </c>
      <c r="Y27">
        <f>HYPERLINK("https://klasma.github.io/Logging_1446/kartor_geotiff/A 18567-2026 georefererad karta.tif", "A 18567-2026")</f>
        <v/>
      </c>
      <c r="AA27">
        <f>HYPERLINK("https://klasma.github.io/Logging_1446/klagomål/A 18567-2026 FSC-klagomål.docx", "A 18567-2026")</f>
        <v/>
      </c>
      <c r="AB27">
        <f>HYPERLINK("https://klasma.github.io/Logging_1446/klagomålsmail/A 18567-2026 FSC-klagomål mail.docx", "A 18567-2026")</f>
        <v/>
      </c>
      <c r="AC27">
        <f>HYPERLINK("https://klasma.github.io/Logging_1446/tillsyn/A 18567-2026 tillsynsbegäran.docx", "A 18567-2026")</f>
        <v/>
      </c>
      <c r="AD27">
        <f>HYPERLINK("https://klasma.github.io/Logging_1446/tillsynsmail/A 18567-2026 tillsynsbegäran mail.docx", "A 18567-2026")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46229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46229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46229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46229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46229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46229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46229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46229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46229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46229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46229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46229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46229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46229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46229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46229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46229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46229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46229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46229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46229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46229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46229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46229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46229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46229</v>
      </c>
      <c r="F53" t="inlineStr">
        <is>
          <t>VÄSTRA GÖTALANDS LÄN</t>
        </is>
      </c>
      <c r="G53" t="inlineStr">
        <is>
          <t>KARLSBORG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46229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46229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46229</v>
      </c>
      <c r="F56" t="inlineStr">
        <is>
          <t>VÄSTRA GÖTALANDS LÄN</t>
        </is>
      </c>
      <c r="G56" t="inlineStr">
        <is>
          <t>KARLSBORG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46229</v>
      </c>
      <c r="F57" t="inlineStr">
        <is>
          <t>VÄSTRA GÖTALANDS LÄN</t>
        </is>
      </c>
      <c r="G57" t="inlineStr">
        <is>
          <t>KARLSBORG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42757-2024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46229</v>
      </c>
      <c r="F58" t="inlineStr">
        <is>
          <t>VÄSTRA GÖTALANDS LÄN</t>
        </is>
      </c>
      <c r="G58" t="inlineStr">
        <is>
          <t>KARLSBORG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46229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46229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46229</v>
      </c>
      <c r="F61" t="inlineStr">
        <is>
          <t>VÄSTRA GÖTALANDS LÄN</t>
        </is>
      </c>
      <c r="G61" t="inlineStr">
        <is>
          <t>KARLSBORG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46229</v>
      </c>
      <c r="F62" t="inlineStr">
        <is>
          <t>VÄSTRA GÖTALANDS LÄN</t>
        </is>
      </c>
      <c r="G62" t="inlineStr">
        <is>
          <t>KARLSBORG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46229</v>
      </c>
      <c r="F63" t="inlineStr">
        <is>
          <t>VÄSTRA GÖTALANDS LÄN</t>
        </is>
      </c>
      <c r="G63" t="inlineStr">
        <is>
          <t>KARLSBORG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46229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45183</v>
      </c>
      <c r="E65" s="1" t="n">
        <v>46229</v>
      </c>
      <c r="F65" t="inlineStr">
        <is>
          <t>VÄSTRA GÖTALANDS LÄN</t>
        </is>
      </c>
      <c r="G65" t="inlineStr">
        <is>
          <t>KARLSBORG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46229</v>
      </c>
      <c r="F66" t="inlineStr">
        <is>
          <t>VÄSTRA GÖTALANDS LÄN</t>
        </is>
      </c>
      <c r="G66" t="inlineStr">
        <is>
          <t>KARLSBORG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46229</v>
      </c>
      <c r="F67" t="inlineStr">
        <is>
          <t>VÄSTRA GÖTALANDS LÄN</t>
        </is>
      </c>
      <c r="G67" t="inlineStr">
        <is>
          <t>KARLSBORG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46229</v>
      </c>
      <c r="F68" t="inlineStr">
        <is>
          <t>VÄSTRA GÖTALANDS LÄN</t>
        </is>
      </c>
      <c r="G68" t="inlineStr">
        <is>
          <t>KARLSBORG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45742</v>
      </c>
      <c r="E69" s="1" t="n">
        <v>46229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46229</v>
      </c>
      <c r="F70" t="inlineStr">
        <is>
          <t>VÄSTRA GÖTALANDS LÄN</t>
        </is>
      </c>
      <c r="G70" t="inlineStr">
        <is>
          <t>KARLSBORG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58127-2024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45632</v>
      </c>
      <c r="E71" s="1" t="n">
        <v>46229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Sveaskog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46229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statliga verk och myndigheter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46229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46229</v>
      </c>
      <c r="F74" t="inlineStr">
        <is>
          <t>VÄSTRA GÖTALANDS LÄN</t>
        </is>
      </c>
      <c r="G74" t="inlineStr">
        <is>
          <t>KARLSBORG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46229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46229</v>
      </c>
      <c r="F76" t="inlineStr">
        <is>
          <t>VÄSTRA GÖTALANDS LÄN</t>
        </is>
      </c>
      <c r="G76" t="inlineStr">
        <is>
          <t>KARLSBORG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46229</v>
      </c>
      <c r="F77" t="inlineStr">
        <is>
          <t>VÄSTRA GÖTALANDS LÄN</t>
        </is>
      </c>
      <c r="G77" t="inlineStr">
        <is>
          <t>KARLSBORG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46229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45169</v>
      </c>
      <c r="E79" s="1" t="n">
        <v>46229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Aktiebolag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43021-2021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44431</v>
      </c>
      <c r="E80" s="1" t="n">
        <v>46229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46229</v>
      </c>
      <c r="F81" t="inlineStr">
        <is>
          <t>VÄSTRA GÖTALANDS LÄN</t>
        </is>
      </c>
      <c r="G81" t="inlineStr">
        <is>
          <t>KARLSBORG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46229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46229</v>
      </c>
      <c r="F83" t="inlineStr">
        <is>
          <t>VÄSTRA GÖTALANDS LÄN</t>
        </is>
      </c>
      <c r="G83" t="inlineStr">
        <is>
          <t>KARLSBORG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44906</v>
      </c>
      <c r="E84" s="1" t="n">
        <v>46229</v>
      </c>
      <c r="F84" t="inlineStr">
        <is>
          <t>VÄSTRA GÖTALANDS LÄN</t>
        </is>
      </c>
      <c r="G84" t="inlineStr">
        <is>
          <t>KARLSBORG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46229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Aktiebolag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46229</v>
      </c>
      <c r="F86" t="inlineStr">
        <is>
          <t>VÄSTRA GÖTALANDS LÄN</t>
        </is>
      </c>
      <c r="G86" t="inlineStr">
        <is>
          <t>KARLSBORG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45566</v>
      </c>
      <c r="E87" s="1" t="n">
        <v>46229</v>
      </c>
      <c r="F87" t="inlineStr">
        <is>
          <t>VÄSTRA GÖTALANDS LÄN</t>
        </is>
      </c>
      <c r="G87" t="inlineStr">
        <is>
          <t>KARLSBORG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46229</v>
      </c>
      <c r="F88" t="inlineStr">
        <is>
          <t>VÄSTRA GÖTALANDS LÄN</t>
        </is>
      </c>
      <c r="G88" t="inlineStr">
        <is>
          <t>KARLSBORG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45883</v>
      </c>
      <c r="E89" s="1" t="n">
        <v>46229</v>
      </c>
      <c r="F89" t="inlineStr">
        <is>
          <t>VÄSTRA GÖTALANDS LÄN</t>
        </is>
      </c>
      <c r="G89" t="inlineStr">
        <is>
          <t>KARLSBORG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45524</v>
      </c>
      <c r="E90" s="1" t="n">
        <v>46229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41684-2023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46229</v>
      </c>
      <c r="F91" t="inlineStr">
        <is>
          <t>VÄSTRA GÖTALANDS LÄN</t>
        </is>
      </c>
      <c r="G91" t="inlineStr">
        <is>
          <t>KARLSBORG</t>
        </is>
      </c>
      <c r="I91" t="n">
        <v>7.3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46229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28460-2023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46229</v>
      </c>
      <c r="F93" t="inlineStr">
        <is>
          <t>VÄSTRA GÖTALANDS LÄN</t>
        </is>
      </c>
      <c r="G93" t="inlineStr">
        <is>
          <t>KARLSBORG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46229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46229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Aktiebolag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45899</v>
      </c>
      <c r="E96" s="1" t="n">
        <v>46229</v>
      </c>
      <c r="F96" t="inlineStr">
        <is>
          <t>VÄSTRA GÖTALANDS LÄN</t>
        </is>
      </c>
      <c r="G96" t="inlineStr">
        <is>
          <t>KARLSBORG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46229</v>
      </c>
      <c r="F97" t="inlineStr">
        <is>
          <t>VÄSTRA GÖTALANDS LÄN</t>
        </is>
      </c>
      <c r="G97" t="inlineStr">
        <is>
          <t>KARLSBORG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45470</v>
      </c>
      <c r="E98" s="1" t="n">
        <v>46229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Aktiebolag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46229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Kyrkan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44795</v>
      </c>
      <c r="E100" s="1" t="n">
        <v>46229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46229</v>
      </c>
      <c r="F101" t="inlineStr">
        <is>
          <t>VÄSTRA GÖTALANDS LÄN</t>
        </is>
      </c>
      <c r="G101" t="inlineStr">
        <is>
          <t>KARLSBORG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46229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45090</v>
      </c>
      <c r="E103" s="1" t="n">
        <v>46229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44785</v>
      </c>
      <c r="E104" s="1" t="n">
        <v>46229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35441-2024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45531</v>
      </c>
      <c r="E105" s="1" t="n">
        <v>46229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Sveaskog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46229</v>
      </c>
      <c r="F106" t="inlineStr">
        <is>
          <t>VÄSTRA GÖTALANDS LÄN</t>
        </is>
      </c>
      <c r="G106" t="inlineStr">
        <is>
          <t>KARLSBORG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45916</v>
      </c>
      <c r="E107" s="1" t="n">
        <v>46229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Kyrkan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46229</v>
      </c>
      <c r="F108" t="inlineStr">
        <is>
          <t>VÄSTRA GÖTALANDS LÄN</t>
        </is>
      </c>
      <c r="G108" t="inlineStr">
        <is>
          <t>KARLSBORG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46229</v>
      </c>
      <c r="F109" t="inlineStr">
        <is>
          <t>VÄSTRA GÖTALANDS LÄN</t>
        </is>
      </c>
      <c r="G109" t="inlineStr">
        <is>
          <t>KARLSBORG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46229</v>
      </c>
      <c r="F110" t="inlineStr">
        <is>
          <t>VÄSTRA GÖTALANDS LÄN</t>
        </is>
      </c>
      <c r="G110" t="inlineStr">
        <is>
          <t>KARLSBORG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44727</v>
      </c>
      <c r="E111" s="1" t="n">
        <v>46229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46229</v>
      </c>
      <c r="F112" t="inlineStr">
        <is>
          <t>VÄSTRA GÖTALANDS LÄN</t>
        </is>
      </c>
      <c r="G112" t="inlineStr">
        <is>
          <t>KARLSBORG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45233</v>
      </c>
      <c r="E113" s="1" t="n">
        <v>46229</v>
      </c>
      <c r="F113" t="inlineStr">
        <is>
          <t>VÄSTRA GÖTALANDS LÄN</t>
        </is>
      </c>
      <c r="G113" t="inlineStr">
        <is>
          <t>KARLSBORG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46229</v>
      </c>
      <c r="F114" t="inlineStr">
        <is>
          <t>VÄSTRA GÖTALANDS LÄN</t>
        </is>
      </c>
      <c r="G114" t="inlineStr">
        <is>
          <t>KARLSBORG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45566</v>
      </c>
      <c r="E115" s="1" t="n">
        <v>46229</v>
      </c>
      <c r="F115" t="inlineStr">
        <is>
          <t>VÄSTRA GÖTALANDS LÄN</t>
        </is>
      </c>
      <c r="G115" t="inlineStr">
        <is>
          <t>KARLSBORG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46229</v>
      </c>
      <c r="F116" t="inlineStr">
        <is>
          <t>VÄSTRA GÖTALANDS LÄN</t>
        </is>
      </c>
      <c r="G116" t="inlineStr">
        <is>
          <t>KARLSBORG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46229</v>
      </c>
      <c r="F117" t="inlineStr">
        <is>
          <t>VÄSTRA GÖTALANDS LÄN</t>
        </is>
      </c>
      <c r="G117" t="inlineStr">
        <is>
          <t>KARLSBORG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45942</v>
      </c>
      <c r="E118" s="1" t="n">
        <v>46229</v>
      </c>
      <c r="F118" t="inlineStr">
        <is>
          <t>VÄSTRA GÖTALANDS LÄN</t>
        </is>
      </c>
      <c r="G118" t="inlineStr">
        <is>
          <t>KARLSBORG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46229</v>
      </c>
      <c r="F119" t="inlineStr">
        <is>
          <t>VÄSTRA GÖTALANDS LÄN</t>
        </is>
      </c>
      <c r="G119" t="inlineStr">
        <is>
          <t>KARLSBORG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65313-2021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46229</v>
      </c>
      <c r="F120" t="inlineStr">
        <is>
          <t>VÄSTRA GÖTALANDS LÄN</t>
        </is>
      </c>
      <c r="G120" t="inlineStr">
        <is>
          <t>KARLSBORG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46143</v>
      </c>
      <c r="E121" s="1" t="n">
        <v>46229</v>
      </c>
      <c r="F121" t="inlineStr">
        <is>
          <t>VÄSTRA GÖTALANDS LÄN</t>
        </is>
      </c>
      <c r="G121" t="inlineStr">
        <is>
          <t>KARLSBORG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46142</v>
      </c>
      <c r="E122" s="1" t="n">
        <v>46229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46142</v>
      </c>
      <c r="E123" s="1" t="n">
        <v>46229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45090</v>
      </c>
      <c r="E124" s="1" t="n">
        <v>46229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46229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46229</v>
      </c>
      <c r="F126" t="inlineStr">
        <is>
          <t>VÄSTRA GÖTALANDS LÄN</t>
        </is>
      </c>
      <c r="G126" t="inlineStr">
        <is>
          <t>KARLSBORG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27332-2026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46229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27333-2026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46229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27349-2026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46229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57915-2024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45631</v>
      </c>
      <c r="E130" s="1" t="n">
        <v>46229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46229</v>
      </c>
      <c r="F131" t="inlineStr">
        <is>
          <t>VÄSTRA GÖTALANDS LÄN</t>
        </is>
      </c>
      <c r="G131" t="inlineStr">
        <is>
          <t>KARLSBORG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46229</v>
      </c>
      <c r="F132" t="inlineStr">
        <is>
          <t>VÄSTRA GÖTALANDS LÄN</t>
        </is>
      </c>
      <c r="G132" t="inlineStr">
        <is>
          <t>KARLSBORG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46229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46229</v>
      </c>
      <c r="F134" t="inlineStr">
        <is>
          <t>VÄSTRA GÖTALANDS LÄN</t>
        </is>
      </c>
      <c r="G134" t="inlineStr">
        <is>
          <t>KARLSBORG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46229</v>
      </c>
      <c r="F135" t="inlineStr">
        <is>
          <t>VÄSTRA GÖTALANDS LÄN</t>
        </is>
      </c>
      <c r="G135" t="inlineStr">
        <is>
          <t>KARLSBORG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21988-2026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46229</v>
      </c>
      <c r="F136" t="inlineStr">
        <is>
          <t>VÄSTRA GÖTALANDS LÄN</t>
        </is>
      </c>
      <c r="G136" t="inlineStr">
        <is>
          <t>KARLSBORG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44906</v>
      </c>
      <c r="E137" s="1" t="n">
        <v>46229</v>
      </c>
      <c r="F137" t="inlineStr">
        <is>
          <t>VÄSTRA GÖTALANDS LÄN</t>
        </is>
      </c>
      <c r="G137" t="inlineStr">
        <is>
          <t>KARLSBORG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45209</v>
      </c>
      <c r="E138" s="1" t="n">
        <v>46229</v>
      </c>
      <c r="F138" t="inlineStr">
        <is>
          <t>VÄSTRA GÖTALANDS LÄN</t>
        </is>
      </c>
      <c r="G138" t="inlineStr">
        <is>
          <t>KARLSBORG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45988</v>
      </c>
      <c r="E139" s="1" t="n">
        <v>46229</v>
      </c>
      <c r="F139" t="inlineStr">
        <is>
          <t>VÄSTRA GÖTALANDS LÄN</t>
        </is>
      </c>
      <c r="G139" t="inlineStr">
        <is>
          <t>KARLSBORG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46229</v>
      </c>
      <c r="F140" t="inlineStr">
        <is>
          <t>VÄSTRA GÖTALANDS LÄN</t>
        </is>
      </c>
      <c r="G140" t="inlineStr">
        <is>
          <t>KARLSBORG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45589</v>
      </c>
      <c r="E141" s="1" t="n">
        <v>46229</v>
      </c>
      <c r="F141" t="inlineStr">
        <is>
          <t>VÄSTRA GÖTALANDS LÄN</t>
        </is>
      </c>
      <c r="G141" t="inlineStr">
        <is>
          <t>KARLSBORG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44972</v>
      </c>
      <c r="E142" s="1" t="n">
        <v>46229</v>
      </c>
      <c r="F142" t="inlineStr">
        <is>
          <t>VÄSTRA GÖTALANDS LÄN</t>
        </is>
      </c>
      <c r="G142" t="inlineStr">
        <is>
          <t>KARLSBORG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23500-2023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45076</v>
      </c>
      <c r="E143" s="1" t="n">
        <v>46229</v>
      </c>
      <c r="F143" t="inlineStr">
        <is>
          <t>VÄSTRA GÖTALANDS LÄN</t>
        </is>
      </c>
      <c r="G143" t="inlineStr">
        <is>
          <t>KARLSBORG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45265</v>
      </c>
      <c r="E144" s="1" t="n">
        <v>46229</v>
      </c>
      <c r="F144" t="inlineStr">
        <is>
          <t>VÄSTRA GÖTALANDS LÄN</t>
        </is>
      </c>
      <c r="G144" t="inlineStr">
        <is>
          <t>KARLSBORG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46229</v>
      </c>
      <c r="F145" t="inlineStr">
        <is>
          <t>VÄSTRA GÖTALANDS LÄN</t>
        </is>
      </c>
      <c r="G145" t="inlineStr">
        <is>
          <t>KARLSBORG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46229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46229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44428</v>
      </c>
      <c r="E148" s="1" t="n">
        <v>46229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Kyrkan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46229</v>
      </c>
      <c r="F149" t="inlineStr">
        <is>
          <t>VÄSTRA GÖTALANDS LÄN</t>
        </is>
      </c>
      <c r="G149" t="inlineStr">
        <is>
          <t>KARLSBORG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46229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46229</v>
      </c>
      <c r="F151" t="inlineStr">
        <is>
          <t>VÄSTRA GÖTALANDS LÄN</t>
        </is>
      </c>
      <c r="G151" t="inlineStr">
        <is>
          <t>KARLSBORG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58533-2023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46229</v>
      </c>
      <c r="F152" t="inlineStr">
        <is>
          <t>VÄSTRA GÖTALANDS LÄN</t>
        </is>
      </c>
      <c r="G152" t="inlineStr">
        <is>
          <t>KARLSBORG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58152-2022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46229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46229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29357-2024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45483</v>
      </c>
      <c r="E155" s="1" t="n">
        <v>46229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46229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46160</v>
      </c>
      <c r="E157" s="1" t="n">
        <v>46229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46229</v>
      </c>
      <c r="F158" t="inlineStr">
        <is>
          <t>VÄSTRA GÖTALANDS LÄN</t>
        </is>
      </c>
      <c r="G158" t="inlineStr">
        <is>
          <t>KARLSBORG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46229</v>
      </c>
      <c r="F159" t="inlineStr">
        <is>
          <t>VÄSTRA GÖTALANDS LÄN</t>
        </is>
      </c>
      <c r="G159" t="inlineStr">
        <is>
          <t>KARLSBORG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46229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46229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14.3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46229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Aktiebolag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46229</v>
      </c>
      <c r="F163" t="inlineStr">
        <is>
          <t>VÄSTRA GÖTALANDS LÄN</t>
        </is>
      </c>
      <c r="G163" t="inlineStr">
        <is>
          <t>KARLSBORG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44929</v>
      </c>
      <c r="E164" s="1" t="n">
        <v>46229</v>
      </c>
      <c r="F164" t="inlineStr">
        <is>
          <t>VÄSTRA GÖTALANDS LÄN</t>
        </is>
      </c>
      <c r="G164" t="inlineStr">
        <is>
          <t>KARLSBORG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  <c r="X164">
        <f>HYPERLINK("https://klasma.github.io/Logging_1446/kartor/A 412-2023 karta.png", "A 412-2023")</f>
        <v/>
      </c>
      <c r="Y164">
        <f>HYPERLINK("https://klasma.github.io/Logging_1446/kartor_geotiff/A 412-2023 georefererad karta.tif", "A 412-2023")</f>
        <v/>
      </c>
      <c r="AA164">
        <f>HYPERLINK("https://klasma.github.io/Logging_1446/klagomål/A 412-2023 FSC-klagomål.docx", "A 412-2023")</f>
        <v/>
      </c>
      <c r="AB164">
        <f>HYPERLINK("https://klasma.github.io/Logging_1446/klagomålsmail/A 412-2023 FSC-klagomål mail.docx", "A 412-2023")</f>
        <v/>
      </c>
      <c r="AC164">
        <f>HYPERLINK("https://klasma.github.io/Logging_1446/tillsyn/A 412-2023 tillsynsbegäran.docx", "A 412-2023")</f>
        <v/>
      </c>
      <c r="AD164">
        <f>HYPERLINK("https://klasma.github.io/Logging_1446/tillsynsmail/A 412-2023 tillsynsbegäran mail.docx", "A 412-2023")</f>
        <v/>
      </c>
    </row>
    <row r="165" ht="15" customHeight="1">
      <c r="A165" t="inlineStr">
        <is>
          <t>A 43709-2024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46229</v>
      </c>
      <c r="F165" t="inlineStr">
        <is>
          <t>VÄSTRA GÖTALANDS LÄN</t>
        </is>
      </c>
      <c r="G165" t="inlineStr">
        <is>
          <t>KARLSBORG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44755</v>
      </c>
      <c r="E166" s="1" t="n">
        <v>46229</v>
      </c>
      <c r="F166" t="inlineStr">
        <is>
          <t>VÄSTRA GÖTALANDS LÄN</t>
        </is>
      </c>
      <c r="G166" t="inlineStr">
        <is>
          <t>KARLSBORG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46229</v>
      </c>
      <c r="F167" t="inlineStr">
        <is>
          <t>VÄSTRA GÖTALANDS LÄN</t>
        </is>
      </c>
      <c r="G167" t="inlineStr">
        <is>
          <t>KARLSBORG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46229</v>
      </c>
      <c r="F168" t="inlineStr">
        <is>
          <t>VÄSTRA GÖTALANDS LÄN</t>
        </is>
      </c>
      <c r="G168" t="inlineStr">
        <is>
          <t>KARLSBORG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46229</v>
      </c>
      <c r="F169" t="inlineStr">
        <is>
          <t>VÄSTRA GÖTALANDS LÄN</t>
        </is>
      </c>
      <c r="G169" t="inlineStr">
        <is>
          <t>KARLSBORG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63732-2025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46010</v>
      </c>
      <c r="E170" s="1" t="n">
        <v>46229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46229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46229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statliga verk och myndigheter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46229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statliga verk och myndigheter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46229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46229</v>
      </c>
      <c r="F175" t="inlineStr">
        <is>
          <t>VÄSTRA GÖTALANDS LÄN</t>
        </is>
      </c>
      <c r="G175" t="inlineStr">
        <is>
          <t>KARLSBORG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46229</v>
      </c>
      <c r="F176" t="inlineStr">
        <is>
          <t>VÄSTRA GÖTALANDS LÄN</t>
        </is>
      </c>
      <c r="G176" t="inlineStr">
        <is>
          <t>KARLSBORG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61211-2022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46229</v>
      </c>
      <c r="F177" t="inlineStr">
        <is>
          <t>VÄSTRA GÖTALANDS LÄN</t>
        </is>
      </c>
      <c r="G177" t="inlineStr">
        <is>
          <t>KARLSBORG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30610-2026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46229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46229</v>
      </c>
      <c r="F179" t="inlineStr">
        <is>
          <t>VÄSTRA GÖTALANDS LÄN</t>
        </is>
      </c>
      <c r="G179" t="inlineStr">
        <is>
          <t>KARLSBORG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57913-2024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45631</v>
      </c>
      <c r="E180" s="1" t="n">
        <v>46229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46229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46229</v>
      </c>
      <c r="F182" t="inlineStr">
        <is>
          <t>VÄSTRA GÖTALANDS LÄN</t>
        </is>
      </c>
      <c r="G182" t="inlineStr">
        <is>
          <t>KARLSBORG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46229</v>
      </c>
      <c r="F183" t="inlineStr">
        <is>
          <t>VÄSTRA GÖTALANDS LÄN</t>
        </is>
      </c>
      <c r="G183" t="inlineStr">
        <is>
          <t>KARLSBORG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46229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58129-2024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45632</v>
      </c>
      <c r="E185" s="1" t="n">
        <v>46229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46171</v>
      </c>
      <c r="E186" s="1" t="n">
        <v>46229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46171</v>
      </c>
      <c r="E187" s="1" t="n">
        <v>46229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46229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46229</v>
      </c>
      <c r="F189" t="inlineStr">
        <is>
          <t>VÄSTRA GÖTALANDS LÄN</t>
        </is>
      </c>
      <c r="G189" t="inlineStr">
        <is>
          <t>KARLSBORG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46229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46229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46229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46229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46127</v>
      </c>
      <c r="E194" s="1" t="n">
        <v>46229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46229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59890-2021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46229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46181</v>
      </c>
      <c r="E197" s="1" t="n">
        <v>46229</v>
      </c>
      <c r="F197" t="inlineStr">
        <is>
          <t>VÄSTRA GÖTALANDS LÄN</t>
        </is>
      </c>
      <c r="G197" t="inlineStr">
        <is>
          <t>KARLSBORG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44906</v>
      </c>
      <c r="E198" s="1" t="n">
        <v>46229</v>
      </c>
      <c r="F198" t="inlineStr">
        <is>
          <t>VÄSTRA GÖTALANDS LÄN</t>
        </is>
      </c>
      <c r="G198" t="inlineStr">
        <is>
          <t>KARLSBORG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69341-2021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44531</v>
      </c>
      <c r="E199" s="1" t="n">
        <v>46229</v>
      </c>
      <c r="F199" t="inlineStr">
        <is>
          <t>VÄSTRA GÖTALANDS LÄN</t>
        </is>
      </c>
      <c r="G199" t="inlineStr">
        <is>
          <t>KARLSBORG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46229</v>
      </c>
      <c r="F200" t="inlineStr">
        <is>
          <t>VÄSTRA GÖTALANDS LÄN</t>
        </is>
      </c>
      <c r="G200" t="inlineStr">
        <is>
          <t>KARLSBORG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46229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15396-2024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45401</v>
      </c>
      <c r="E202" s="1" t="n">
        <v>46229</v>
      </c>
      <c r="F202" t="inlineStr">
        <is>
          <t>VÄSTRA GÖTALANDS LÄN</t>
        </is>
      </c>
      <c r="G202" t="inlineStr">
        <is>
          <t>KARLSBORG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59877-2021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44494</v>
      </c>
      <c r="E203" s="1" t="n">
        <v>46229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statliga verk och myndigheter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46229</v>
      </c>
      <c r="F204" t="inlineStr">
        <is>
          <t>VÄSTRA GÖTALANDS LÄN</t>
        </is>
      </c>
      <c r="G204" t="inlineStr">
        <is>
          <t>KARLSBORG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46229</v>
      </c>
      <c r="F205" t="inlineStr">
        <is>
          <t>VÄSTRA GÖTALANDS LÄN</t>
        </is>
      </c>
      <c r="G205" t="inlineStr">
        <is>
          <t>KARLSBORG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45575</v>
      </c>
      <c r="E206" s="1" t="n">
        <v>46229</v>
      </c>
      <c r="F206" t="inlineStr">
        <is>
          <t>VÄSTRA GÖTALANDS LÄN</t>
        </is>
      </c>
      <c r="G206" t="inlineStr">
        <is>
          <t>KARLSBORG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46229</v>
      </c>
      <c r="F207" t="inlineStr">
        <is>
          <t>VÄSTRA GÖTALANDS LÄN</t>
        </is>
      </c>
      <c r="G207" t="inlineStr">
        <is>
          <t>KARLSBORG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45566</v>
      </c>
      <c r="E208" s="1" t="n">
        <v>46229</v>
      </c>
      <c r="F208" t="inlineStr">
        <is>
          <t>VÄSTRA GÖTALANDS LÄN</t>
        </is>
      </c>
      <c r="G208" t="inlineStr">
        <is>
          <t>KARLSBORG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46229</v>
      </c>
      <c r="F209" t="inlineStr">
        <is>
          <t>VÄSTRA GÖTALANDS LÄN</t>
        </is>
      </c>
      <c r="G209" t="inlineStr">
        <is>
          <t>KARLSBORG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44809</v>
      </c>
      <c r="E210" s="1" t="n">
        <v>46229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46229</v>
      </c>
      <c r="F211" t="inlineStr">
        <is>
          <t>VÄSTRA GÖTALANDS LÄN</t>
        </is>
      </c>
      <c r="G211" t="inlineStr">
        <is>
          <t>KARLSBORG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46229</v>
      </c>
      <c r="F212" t="inlineStr">
        <is>
          <t>VÄSTRA GÖTALANDS LÄN</t>
        </is>
      </c>
      <c r="G212" t="inlineStr">
        <is>
          <t>KARLSBORG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46229</v>
      </c>
      <c r="F213" t="inlineStr">
        <is>
          <t>VÄSTRA GÖTALANDS LÄN</t>
        </is>
      </c>
      <c r="G213" t="inlineStr">
        <is>
          <t>KARLSBORG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45565</v>
      </c>
      <c r="E214" s="1" t="n">
        <v>46229</v>
      </c>
      <c r="F214" t="inlineStr">
        <is>
          <t>VÄSTRA GÖTALANDS LÄN</t>
        </is>
      </c>
      <c r="G214" t="inlineStr">
        <is>
          <t>KARLSBORG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46229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46229</v>
      </c>
      <c r="F216" t="inlineStr">
        <is>
          <t>VÄSTRA GÖTALANDS LÄN</t>
        </is>
      </c>
      <c r="G216" t="inlineStr">
        <is>
          <t>KARLSBORG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46229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Aktiebolag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45436</v>
      </c>
      <c r="E218" s="1" t="n">
        <v>46229</v>
      </c>
      <c r="F218" t="inlineStr">
        <is>
          <t>VÄSTRA GÖTALANDS LÄN</t>
        </is>
      </c>
      <c r="G218" t="inlineStr">
        <is>
          <t>KARLSBORG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46229</v>
      </c>
      <c r="F219" t="inlineStr">
        <is>
          <t>VÄSTRA GÖTALANDS LÄN</t>
        </is>
      </c>
      <c r="G219" t="inlineStr">
        <is>
          <t>KARLSBORG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44439</v>
      </c>
      <c r="E220" s="1" t="n">
        <v>46229</v>
      </c>
      <c r="F220" t="inlineStr">
        <is>
          <t>VÄSTRA GÖTALANDS LÄN</t>
        </is>
      </c>
      <c r="G220" t="inlineStr">
        <is>
          <t>KARLSBORG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46229</v>
      </c>
      <c r="F221" t="inlineStr">
        <is>
          <t>VÄSTRA GÖTALANDS LÄN</t>
        </is>
      </c>
      <c r="G221" t="inlineStr">
        <is>
          <t>KARLSBORG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45786</v>
      </c>
      <c r="E222" s="1" t="n">
        <v>46229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45789</v>
      </c>
      <c r="E223" s="1" t="n">
        <v>46229</v>
      </c>
      <c r="F223" t="inlineStr">
        <is>
          <t>VÄSTRA GÖTALANDS LÄN</t>
        </is>
      </c>
      <c r="G223" t="inlineStr">
        <is>
          <t>KARLSBORG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10667-2025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46229</v>
      </c>
      <c r="F224" t="inlineStr">
        <is>
          <t>VÄSTRA GÖTALANDS LÄN</t>
        </is>
      </c>
      <c r="G224" t="inlineStr">
        <is>
          <t>KARLSBORG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45630</v>
      </c>
      <c r="E225" s="1" t="n">
        <v>46229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Övriga Aktiebolag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45527</v>
      </c>
      <c r="E226" s="1" t="n">
        <v>46229</v>
      </c>
      <c r="F226" t="inlineStr">
        <is>
          <t>VÄSTRA GÖTALANDS LÄN</t>
        </is>
      </c>
      <c r="G226" t="inlineStr">
        <is>
          <t>KARLSBORG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46229</v>
      </c>
      <c r="F227" t="inlineStr">
        <is>
          <t>VÄSTRA GÖTALANDS LÄN</t>
        </is>
      </c>
      <c r="G227" t="inlineStr">
        <is>
          <t>KARLSBORG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46229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Övriga Aktiebolag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46229</v>
      </c>
      <c r="F229" t="inlineStr">
        <is>
          <t>VÄSTRA GÖTALANDS LÄN</t>
        </is>
      </c>
      <c r="G229" t="inlineStr">
        <is>
          <t>KARLSBORG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46229</v>
      </c>
      <c r="F230" t="inlineStr">
        <is>
          <t>VÄSTRA GÖTALANDS LÄN</t>
        </is>
      </c>
      <c r="G230" t="inlineStr">
        <is>
          <t>KARLSBORG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45835</v>
      </c>
      <c r="E231" s="1" t="n">
        <v>46229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Sveaskog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31701-2025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45834</v>
      </c>
      <c r="E232" s="1" t="n">
        <v>46229</v>
      </c>
      <c r="F232" t="inlineStr">
        <is>
          <t>VÄSTRA GÖTALANDS LÄN</t>
        </is>
      </c>
      <c r="G232" t="inlineStr">
        <is>
          <t>KARLSBORG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45716</v>
      </c>
      <c r="E233" s="1" t="n">
        <v>46229</v>
      </c>
      <c r="F233" t="inlineStr">
        <is>
          <t>VÄSTRA GÖTALANDS LÄN</t>
        </is>
      </c>
      <c r="G233" t="inlineStr">
        <is>
          <t>KARLSBORG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46229</v>
      </c>
      <c r="F234" t="inlineStr">
        <is>
          <t>VÄSTRA GÖTALANDS LÄN</t>
        </is>
      </c>
      <c r="G234" t="inlineStr">
        <is>
          <t>KARLSBORG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45862</v>
      </c>
      <c r="E235" s="1" t="n">
        <v>46229</v>
      </c>
      <c r="F235" t="inlineStr">
        <is>
          <t>VÄSTRA GÖTALANDS LÄN</t>
        </is>
      </c>
      <c r="G235" t="inlineStr">
        <is>
          <t>KARLSBORG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46229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46229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2026-07-26T01:50:45Z</dcterms:created>
  <dcterms:modified xmlns:dcterms="http://purl.org/dc/terms/" xmlns:xsi="http://www.w3.org/2001/XMLSchema-instance" xsi:type="dcterms:W3CDTF">2026-07-26T01:50:46Z</dcterms:modified>
</cp:coreProperties>
</file>