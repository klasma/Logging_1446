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412-2023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44929</v>
      </c>
      <c r="E2" s="1" t="n">
        <v>46248</v>
      </c>
      <c r="F2" t="inlineStr">
        <is>
          <t>VÄSTRA GÖTALANDS LÄN</t>
        </is>
      </c>
      <c r="G2" t="inlineStr">
        <is>
          <t>KARLSBORG</t>
        </is>
      </c>
      <c r="I2" t="n">
        <v>8.6</v>
      </c>
      <c r="J2" t="n">
        <v>1</v>
      </c>
      <c r="K2" t="n">
        <v>1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9</v>
      </c>
      <c r="U2" t="n">
        <v>0</v>
      </c>
      <c r="V2" s="2" t="inlineStr">
        <is>
          <t>Lakritsmusseron
Skrovlig taggsvamp
Dofttaggsvamp
Dropptaggsvamp
Motaggsvamp
Zontaggsvamp
Vanlig padda</t>
        </is>
      </c>
      <c r="W2">
        <f>HYPERLINK("https://klasma.github.io/Logging_1446/artfynd/A 412-2023 artfynd.xlsx", "A 412-2023")</f>
        <v/>
      </c>
      <c r="X2">
        <f>HYPERLINK("https://klasma.github.io/Logging_1446/kartor/A 412-2023 karta.png", "A 412-2023")</f>
        <v/>
      </c>
      <c r="Y2">
        <f>HYPERLINK("https://klasma.github.io/Logging_1446/kartor_geotiff/A 412-2023 georefererad karta.tif", "A 412-2023")</f>
        <v/>
      </c>
      <c r="AA2">
        <f>HYPERLINK("https://klasma.github.io/Logging_1446/klagomål/A 412-2023 FSC-klagomål.docx", "A 412-2023")</f>
        <v/>
      </c>
      <c r="AB2">
        <f>HYPERLINK("https://klasma.github.io/Logging_1446/klagomålsmail/A 412-2023 FSC-klagomål mail.docx", "A 412-2023")</f>
        <v/>
      </c>
      <c r="AC2">
        <f>HYPERLINK("https://klasma.github.io/Logging_1446/tillsyn/A 412-2023 tillsynsbegäran.docx", "A 412-2023")</f>
        <v/>
      </c>
      <c r="AD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44448</v>
      </c>
      <c r="E3" s="1" t="n">
        <v>46248</v>
      </c>
      <c r="F3" t="inlineStr">
        <is>
          <t>VÄSTRA GÖTALANDS LÄN</t>
        </is>
      </c>
      <c r="G3" t="inlineStr">
        <is>
          <t>KARLSBORG</t>
        </is>
      </c>
      <c r="I3" t="n">
        <v>12.9</v>
      </c>
      <c r="J3" t="n">
        <v>4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5</v>
      </c>
      <c r="T3" t="n">
        <v>8</v>
      </c>
      <c r="U3" t="n">
        <v>8</v>
      </c>
      <c r="V3" s="2" t="inlineStr">
        <is>
          <t>Knärot
Kattfotslav
Tretåig hackspett
Spillkråka
Orre</t>
        </is>
      </c>
      <c r="W3">
        <f>HYPERLINK("https://klasma.github.io/Logging_1446/artfynd/A 47703-2021 artfynd.xlsx", "A 47703-2021")</f>
        <v/>
      </c>
      <c r="X3">
        <f>HYPERLINK("https://klasma.github.io/Logging_1446/kartor/A 47703-2021 karta.png", "A 47703-2021")</f>
        <v/>
      </c>
      <c r="Y3">
        <f>HYPERLINK("https://klasma.github.io/Logging_1446/kartor_geotiff/A 47703-2021 georefererad karta.tif", "A 47703-2021")</f>
        <v/>
      </c>
      <c r="Z3">
        <f>HYPERLINK("https://klasma.github.io/Logging_1446/knärot/A 47703-2021 karta knärot.png", "A 47703-2021")</f>
        <v/>
      </c>
      <c r="AA3">
        <f>HYPERLINK("https://klasma.github.io/Logging_1446/klagomål/A 47703-2021 FSC-klagomål.docx", "A 47703-2021")</f>
        <v/>
      </c>
      <c r="AB3">
        <f>HYPERLINK("https://klasma.github.io/Logging_1446/klagomålsmail/A 47703-2021 FSC-klagomål mail.docx", "A 47703-2021")</f>
        <v/>
      </c>
      <c r="AC3">
        <f>HYPERLINK("https://klasma.github.io/Logging_1446/tillsyn/A 47703-2021 tillsynsbegäran.docx", "A 47703-2021")</f>
        <v/>
      </c>
      <c r="AD3">
        <f>HYPERLINK("https://klasma.github.io/Logging_1446/tillsynsmail/A 47703-2021 tillsynsbegäran mail.docx", "A 47703-2021")</f>
        <v/>
      </c>
      <c r="AE3">
        <f>HYPERLINK("https://klasma.github.io/Logging_1446/fåglar/A 47703-2021 prioriterade fågelarter.docx", "A 47703-2021")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46248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46248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46248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46248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46248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47698-2021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44448</v>
      </c>
      <c r="E9" s="1" t="n">
        <v>46248</v>
      </c>
      <c r="F9" t="inlineStr">
        <is>
          <t>VÄSTRA GÖTALANDS LÄN</t>
        </is>
      </c>
      <c r="G9" t="inlineStr">
        <is>
          <t>KARLSBORG</t>
        </is>
      </c>
      <c r="I9" t="n">
        <v>9.699999999999999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Tjäder
Orre</t>
        </is>
      </c>
      <c r="W9">
        <f>HYPERLINK("https://klasma.github.io/Logging_1446/artfynd/A 47698-2021 artfynd.xlsx", "A 47698-2021")</f>
        <v/>
      </c>
      <c r="X9">
        <f>HYPERLINK("https://klasma.github.io/Logging_1446/kartor/A 47698-2021 karta.png", "A 47698-2021")</f>
        <v/>
      </c>
      <c r="Y9">
        <f>HYPERLINK("https://klasma.github.io/Logging_1446/kartor_geotiff/A 47698-2021 georefererad karta.tif", "A 47698-2021")</f>
        <v/>
      </c>
      <c r="AA9">
        <f>HYPERLINK("https://klasma.github.io/Logging_1446/klagomål/A 47698-2021 FSC-klagomål.docx", "A 47698-2021")</f>
        <v/>
      </c>
      <c r="AB9">
        <f>HYPERLINK("https://klasma.github.io/Logging_1446/klagomålsmail/A 47698-2021 FSC-klagomål mail.docx", "A 47698-2021")</f>
        <v/>
      </c>
      <c r="AC9">
        <f>HYPERLINK("https://klasma.github.io/Logging_1446/tillsyn/A 47698-2021 tillsynsbegäran.docx", "A 47698-2021")</f>
        <v/>
      </c>
      <c r="AD9">
        <f>HYPERLINK("https://klasma.github.io/Logging_1446/tillsynsmail/A 47698-2021 tillsynsbegäran mail.docx", "A 47698-2021")</f>
        <v/>
      </c>
      <c r="AE9">
        <f>HYPERLINK("https://klasma.github.io/Logging_1446/fåglar/A 47698-2021 prioriterade fågelarter.docx", "A 47698-2021")</f>
        <v/>
      </c>
    </row>
    <row r="10" ht="15" customHeight="1">
      <c r="A10" t="inlineStr">
        <is>
          <t>A 19851-2025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45771</v>
      </c>
      <c r="E10" s="1" t="n">
        <v>46248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4.9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0</v>
      </c>
      <c r="V10" s="2" t="inlineStr">
        <is>
          <t>Knärot
Kungsfågel</t>
        </is>
      </c>
      <c r="W10">
        <f>HYPERLINK("https://klasma.github.io/Logging_1446/artfynd/A 19851-2025 artfynd.xlsx", "A 19851-2025")</f>
        <v/>
      </c>
      <c r="X10">
        <f>HYPERLINK("https://klasma.github.io/Logging_1446/kartor/A 19851-2025 karta.png", "A 19851-2025")</f>
        <v/>
      </c>
      <c r="Y10">
        <f>HYPERLINK("https://klasma.github.io/Logging_1446/kartor_geotiff/A 19851-2025 georefererad karta.tif", "A 19851-2025")</f>
        <v/>
      </c>
      <c r="Z10">
        <f>HYPERLINK("https://klasma.github.io/Logging_1446/knärot/A 19851-2025 karta knärot.png", "A 19851-2025")</f>
        <v/>
      </c>
      <c r="AA10">
        <f>HYPERLINK("https://klasma.github.io/Logging_1446/klagomål/A 19851-2025 FSC-klagomål.docx", "A 19851-2025")</f>
        <v/>
      </c>
      <c r="AB10">
        <f>HYPERLINK("https://klasma.github.io/Logging_1446/klagomålsmail/A 19851-2025 FSC-klagomål mail.docx", "A 19851-2025")</f>
        <v/>
      </c>
      <c r="AC10">
        <f>HYPERLINK("https://klasma.github.io/Logging_1446/tillsyn/A 19851-2025 tillsynsbegäran.docx", "A 19851-2025")</f>
        <v/>
      </c>
      <c r="AD10">
        <f>HYPERLINK("https://klasma.github.io/Logging_1446/tillsynsmail/A 19851-2025 tillsynsbegäran mail.docx", "A 19851-2025")</f>
        <v/>
      </c>
    </row>
    <row r="11" ht="15" customHeight="1">
      <c r="A11" t="inlineStr">
        <is>
          <t>A 38204-2024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45545</v>
      </c>
      <c r="E11" s="1" t="n">
        <v>46248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5.4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6</v>
      </c>
      <c r="V11" s="2" t="inlineStr">
        <is>
          <t>Knärot
Kungsfågel</t>
        </is>
      </c>
      <c r="W11">
        <f>HYPERLINK("https://klasma.github.io/Logging_1446/artfynd/A 38204-2024 artfynd.xlsx", "A 38204-2024")</f>
        <v/>
      </c>
      <c r="X11">
        <f>HYPERLINK("https://klasma.github.io/Logging_1446/kartor/A 38204-2024 karta.png", "A 38204-2024")</f>
        <v/>
      </c>
      <c r="Y11">
        <f>HYPERLINK("https://klasma.github.io/Logging_1446/kartor_geotiff/A 38204-2024 georefererad karta.tif", "A 38204-2024")</f>
        <v/>
      </c>
      <c r="Z11">
        <f>HYPERLINK("https://klasma.github.io/Logging_1446/knärot/A 38204-2024 karta knärot.png", "A 38204-2024")</f>
        <v/>
      </c>
      <c r="AA11">
        <f>HYPERLINK("https://klasma.github.io/Logging_1446/klagomål/A 38204-2024 FSC-klagomål.docx", "A 38204-2024")</f>
        <v/>
      </c>
      <c r="AB11">
        <f>HYPERLINK("https://klasma.github.io/Logging_1446/klagomålsmail/A 38204-2024 FSC-klagomål mail.docx", "A 38204-2024")</f>
        <v/>
      </c>
      <c r="AC11">
        <f>HYPERLINK("https://klasma.github.io/Logging_1446/tillsyn/A 38204-2024 tillsynsbegäran.docx", "A 38204-2024")</f>
        <v/>
      </c>
      <c r="AD11">
        <f>HYPERLINK("https://klasma.github.io/Logging_1446/tillsynsmail/A 38204-2024 tillsynsbegäran mail.docx", "A 38204-2024")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46248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46248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Spillkråka</t>
        </is>
      </c>
      <c r="W13">
        <f>HYPERLINK("https://klasma.github.io/Logging_1446/artfynd/A 52381-2024 artfynd.xlsx", "A 52381-2024")</f>
        <v/>
      </c>
      <c r="X13">
        <f>HYPERLINK("https://klasma.github.io/Logging_1446/kartor/A 52381-2024 karta.png", "A 52381-2024")</f>
        <v/>
      </c>
      <c r="Y13">
        <f>HYPERLINK("https://klasma.github.io/Logging_1446/kartor_geotiff/A 52381-2024 georefererad karta.tif", "A 52381-2024")</f>
        <v/>
      </c>
      <c r="Z13">
        <f>HYPERLINK("https://klasma.github.io/Logging_1446/knärot/A 52381-2024 karta knärot.png", "A 52381-2024")</f>
        <v/>
      </c>
      <c r="AA13">
        <f>HYPERLINK("https://klasma.github.io/Logging_1446/klagomål/A 52381-2024 FSC-klagomål.docx", "A 52381-2024")</f>
        <v/>
      </c>
      <c r="AB13">
        <f>HYPERLINK("https://klasma.github.io/Logging_1446/klagomålsmail/A 52381-2024 FSC-klagomål mail.docx", "A 52381-2024")</f>
        <v/>
      </c>
      <c r="AC13">
        <f>HYPERLINK("https://klasma.github.io/Logging_1446/tillsyn/A 52381-2024 tillsynsbegäran.docx", "A 52381-2024")</f>
        <v/>
      </c>
      <c r="AD13">
        <f>HYPERLINK("https://klasma.github.io/Logging_1446/tillsynsmail/A 52381-2024 tillsynsbegäran mail.docx", "A 52381-2024")</f>
        <v/>
      </c>
      <c r="AE13">
        <f>HYPERLINK("https://klasma.github.io/Logging_1446/fåglar/A 52381-2024 prioriterade fågelarter.docx", "A 52381-2024")</f>
        <v/>
      </c>
    </row>
    <row r="14" ht="15" customHeight="1">
      <c r="A14" t="inlineStr">
        <is>
          <t>A 13365-2024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45387</v>
      </c>
      <c r="E14" s="1" t="n">
        <v>46248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Övriga Aktiebolag</t>
        </is>
      </c>
      <c r="I14" t="n">
        <v>2.5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15</v>
      </c>
      <c r="U14" t="n">
        <v>15</v>
      </c>
      <c r="V14" s="2" t="inlineStr">
        <is>
          <t>Grönpyrola
Tjäder</t>
        </is>
      </c>
      <c r="W14">
        <f>HYPERLINK("https://klasma.github.io/Logging_1446/artfynd/A 13365-2024 artfynd.xlsx", "A 13365-2024")</f>
        <v/>
      </c>
      <c r="X14">
        <f>HYPERLINK("https://klasma.github.io/Logging_1446/kartor/A 13365-2024 karta.png", "A 13365-2024")</f>
        <v/>
      </c>
      <c r="Y14">
        <f>HYPERLINK("https://klasma.github.io/Logging_1446/kartor_geotiff/A 13365-2024 georefererad karta.tif", "A 13365-2024")</f>
        <v/>
      </c>
      <c r="AA14">
        <f>HYPERLINK("https://klasma.github.io/Logging_1446/klagomål/A 13365-2024 FSC-klagomål.docx", "A 13365-2024")</f>
        <v/>
      </c>
      <c r="AB14">
        <f>HYPERLINK("https://klasma.github.io/Logging_1446/klagomålsmail/A 13365-2024 FSC-klagomål mail.docx", "A 13365-2024")</f>
        <v/>
      </c>
      <c r="AC14">
        <f>HYPERLINK("https://klasma.github.io/Logging_1446/tillsyn/A 13365-2024 tillsynsbegäran.docx", "A 13365-2024")</f>
        <v/>
      </c>
      <c r="AD14">
        <f>HYPERLINK("https://klasma.github.io/Logging_1446/tillsynsmail/A 13365-2024 tillsynsbegäran mail.docx", "A 13365-2024")</f>
        <v/>
      </c>
      <c r="AE14">
        <f>HYPERLINK("https://klasma.github.io/Logging_1446/fåglar/A 13365-2024 prioriterade fågelarter.docx", "A 13365-2024")</f>
        <v/>
      </c>
    </row>
    <row r="15" ht="15" customHeight="1">
      <c r="A15" t="inlineStr">
        <is>
          <t>S 1323-2025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45771</v>
      </c>
      <c r="E15" s="1" t="n">
        <v>46248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HYPERLINK("https://klasma.github.io/Logging_1446/artfynd/S 1323-2025 artfynd.xlsx", "S 1323-2025")</f>
        <v/>
      </c>
      <c r="X15">
        <f>HYPERLINK("https://klasma.github.io/Logging_1446/kartor/S 1323-2025 karta.png", "S 1323-2025")</f>
        <v/>
      </c>
      <c r="Y15">
        <f>HYPERLINK("https://klasma.github.io/Logging_1446/kartor_geotiff/S 1323-2025 georefererad karta.tif", "S 1323-2025")</f>
        <v/>
      </c>
      <c r="Z15">
        <f>HYPERLINK("https://klasma.github.io/Logging_1446/knärot/S 1323-2025 karta knärot.png", "S 1323-2025")</f>
        <v/>
      </c>
      <c r="AA15">
        <f>HYPERLINK("https://klasma.github.io/Logging_1446/klagomål/S 1323-2025 FSC-klagomål.docx", "S 1323-2025")</f>
        <v/>
      </c>
      <c r="AB15">
        <f>HYPERLINK("https://klasma.github.io/Logging_1446/klagomålsmail/S 1323-2025 FSC-klagomål mail.docx", "S 1323-2025")</f>
        <v/>
      </c>
      <c r="AC15">
        <f>HYPERLINK("https://klasma.github.io/Logging_1446/tillsyn/S 1323-2025 tillsynsbegäran.docx", "S 1323-2025")</f>
        <v/>
      </c>
      <c r="AD15">
        <f>HYPERLINK("https://klasma.github.io/Logging_1446/tillsynsmail/S 1323-2025 tillsynsbegäran mail.docx", "S 1323-2025")</f>
        <v/>
      </c>
    </row>
    <row r="16" ht="15" customHeight="1">
      <c r="A16" t="inlineStr">
        <is>
          <t>A 59712-2021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46248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Ask</t>
        </is>
      </c>
      <c r="W16">
        <f>HYPERLINK("https://klasma.github.io/Logging_1446/artfynd/A 59712-2021 artfynd.xlsx", "A 59712-2021")</f>
        <v/>
      </c>
      <c r="X16">
        <f>HYPERLINK("https://klasma.github.io/Logging_1446/kartor/A 59712-2021 karta.png", "A 59712-2021")</f>
        <v/>
      </c>
      <c r="Y16">
        <f>HYPERLINK("https://klasma.github.io/Logging_1446/kartor_geotiff/A 59712-2021 georefererad karta.tif", "A 59712-2021")</f>
        <v/>
      </c>
      <c r="AA16">
        <f>HYPERLINK("https://klasma.github.io/Logging_1446/klagomål/A 59712-2021 FSC-klagomål.docx", "A 59712-2021")</f>
        <v/>
      </c>
      <c r="AB16">
        <f>HYPERLINK("https://klasma.github.io/Logging_1446/klagomålsmail/A 59712-2021 FSC-klagomål mail.docx", "A 59712-2021")</f>
        <v/>
      </c>
      <c r="AC16">
        <f>HYPERLINK("https://klasma.github.io/Logging_1446/tillsyn/A 59712-2021 tillsynsbegäran.docx", "A 59712-2021")</f>
        <v/>
      </c>
      <c r="AD16">
        <f>HYPERLINK("https://klasma.github.io/Logging_1446/tillsynsmail/A 59712-2021 tillsynsbegäran mail.docx", "A 59712-2021")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46248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38103-2023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45161</v>
      </c>
      <c r="E18" s="1" t="n">
        <v>46248</v>
      </c>
      <c r="F18" t="inlineStr">
        <is>
          <t>VÄSTRA GÖTALANDS LÄN</t>
        </is>
      </c>
      <c r="G18" t="inlineStr">
        <is>
          <t>KARLSBORG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Lopplummer (aggregat)</t>
        </is>
      </c>
      <c r="W18">
        <f>HYPERLINK("https://klasma.github.io/Logging_1446/artfynd/A 38103-2023 artfynd.xlsx", "A 38103-2023")</f>
        <v/>
      </c>
      <c r="X18">
        <f>HYPERLINK("https://klasma.github.io/Logging_1446/kartor/A 38103-2023 karta.png", "A 38103-2023")</f>
        <v/>
      </c>
      <c r="Y18">
        <f>HYPERLINK("https://klasma.github.io/Logging_1446/kartor_geotiff/A 38103-2023 georefererad karta.tif", "A 38103-2023")</f>
        <v/>
      </c>
      <c r="AA18">
        <f>HYPERLINK("https://klasma.github.io/Logging_1446/klagomål/A 38103-2023 FSC-klagomål.docx", "A 38103-2023")</f>
        <v/>
      </c>
      <c r="AB18">
        <f>HYPERLINK("https://klasma.github.io/Logging_1446/klagomålsmail/A 38103-2023 FSC-klagomål mail.docx", "A 38103-2023")</f>
        <v/>
      </c>
      <c r="AC18">
        <f>HYPERLINK("https://klasma.github.io/Logging_1446/tillsyn/A 38103-2023 tillsynsbegäran.docx", "A 38103-2023")</f>
        <v/>
      </c>
      <c r="AD18">
        <f>HYPERLINK("https://klasma.github.io/Logging_1446/tillsynsmail/A 38103-2023 tillsynsbegäran mail.docx", "A 38103-2023")</f>
        <v/>
      </c>
    </row>
    <row r="19" ht="15" customHeight="1">
      <c r="A19" t="inlineStr">
        <is>
          <t>A 51531-2023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46248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Kommuner</t>
        </is>
      </c>
      <c r="I19" t="n">
        <v>11.2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Revlummer</t>
        </is>
      </c>
      <c r="W19">
        <f>HYPERLINK("https://klasma.github.io/Logging_1446/artfynd/A 51531-2023 artfynd.xlsx", "A 51531-2023")</f>
        <v/>
      </c>
      <c r="X19">
        <f>HYPERLINK("https://klasma.github.io/Logging_1446/kartor/A 51531-2023 karta.png", "A 51531-2023")</f>
        <v/>
      </c>
      <c r="Y19">
        <f>HYPERLINK("https://klasma.github.io/Logging_1446/kartor_geotiff/A 51531-2023 georefererad karta.tif", "A 51531-2023")</f>
        <v/>
      </c>
      <c r="AA19">
        <f>HYPERLINK("https://klasma.github.io/Logging_1446/klagomål/A 51531-2023 FSC-klagomål.docx", "A 51531-2023")</f>
        <v/>
      </c>
      <c r="AB19">
        <f>HYPERLINK("https://klasma.github.io/Logging_1446/klagomålsmail/A 51531-2023 FSC-klagomål mail.docx", "A 51531-2023")</f>
        <v/>
      </c>
      <c r="AC19">
        <f>HYPERLINK("https://klasma.github.io/Logging_1446/tillsyn/A 51531-2023 tillsynsbegäran.docx", "A 51531-2023")</f>
        <v/>
      </c>
      <c r="AD19">
        <f>HYPERLINK("https://klasma.github.io/Logging_1446/tillsynsmail/A 51531-2023 tillsynsbegäran mail.docx", "A 51531-2023")</f>
        <v/>
      </c>
    </row>
    <row r="20" ht="15" customHeight="1">
      <c r="A20" t="inlineStr">
        <is>
          <t>A 9337-2025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45714</v>
      </c>
      <c r="E20" s="1" t="n">
        <v>46248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HYPERLINK("https://klasma.github.io/Logging_1446/artfynd/A 9337-2025 artfynd.xlsx", "A 9337-2025")</f>
        <v/>
      </c>
      <c r="X20">
        <f>HYPERLINK("https://klasma.github.io/Logging_1446/kartor/A 9337-2025 karta.png", "A 9337-2025")</f>
        <v/>
      </c>
      <c r="Y20">
        <f>HYPERLINK("https://klasma.github.io/Logging_1446/kartor_geotiff/A 9337-2025 georefererad karta.tif", "A 9337-2025")</f>
        <v/>
      </c>
      <c r="AA20">
        <f>HYPERLINK("https://klasma.github.io/Logging_1446/klagomål/A 9337-2025 FSC-klagomål.docx", "A 9337-2025")</f>
        <v/>
      </c>
      <c r="AB20">
        <f>HYPERLINK("https://klasma.github.io/Logging_1446/klagomålsmail/A 9337-2025 FSC-klagomål mail.docx", "A 9337-2025")</f>
        <v/>
      </c>
      <c r="AC20">
        <f>HYPERLINK("https://klasma.github.io/Logging_1446/tillsyn/A 9337-2025 tillsynsbegäran.docx", "A 9337-2025")</f>
        <v/>
      </c>
      <c r="AD20">
        <f>HYPERLINK("https://klasma.github.io/Logging_1446/tillsynsmail/A 9337-2025 tillsynsbegäran mail.docx", "A 9337-2025")</f>
        <v/>
      </c>
    </row>
    <row r="21" ht="15" customHeight="1">
      <c r="A21" t="inlineStr">
        <is>
          <t>A 28315-2025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45818</v>
      </c>
      <c r="E21" s="1" t="n">
        <v>46248</v>
      </c>
      <c r="F21" t="inlineStr">
        <is>
          <t>VÄSTRA GÖTALANDS LÄN</t>
        </is>
      </c>
      <c r="G21" t="inlineStr">
        <is>
          <t>KARLSBORG</t>
        </is>
      </c>
      <c r="I21" t="n">
        <v>2.3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Rostfläck</t>
        </is>
      </c>
      <c r="W21">
        <f>HYPERLINK("https://klasma.github.io/Logging_1446/artfynd/A 28315-2025 artfynd.xlsx", "A 28315-2025")</f>
        <v/>
      </c>
      <c r="X21">
        <f>HYPERLINK("https://klasma.github.io/Logging_1446/kartor/A 28315-2025 karta.png", "A 28315-2025")</f>
        <v/>
      </c>
      <c r="Y21">
        <f>HYPERLINK("https://klasma.github.io/Logging_1446/kartor_geotiff/A 28315-2025 georefererad karta.tif", "A 28315-2025")</f>
        <v/>
      </c>
      <c r="AA21">
        <f>HYPERLINK("https://klasma.github.io/Logging_1446/klagomål/A 28315-2025 FSC-klagomål.docx", "A 28315-2025")</f>
        <v/>
      </c>
      <c r="AB21">
        <f>HYPERLINK("https://klasma.github.io/Logging_1446/klagomålsmail/A 28315-2025 FSC-klagomål mail.docx", "A 28315-2025")</f>
        <v/>
      </c>
      <c r="AC21">
        <f>HYPERLINK("https://klasma.github.io/Logging_1446/tillsyn/A 28315-2025 tillsynsbegäran.docx", "A 28315-2025")</f>
        <v/>
      </c>
      <c r="AD21">
        <f>HYPERLINK("https://klasma.github.io/Logging_1446/tillsynsmail/A 28315-2025 tillsynsbegäran mail.docx", "A 28315-2025")</f>
        <v/>
      </c>
    </row>
    <row r="22" ht="15" customHeight="1">
      <c r="A22" t="inlineStr">
        <is>
          <t>A 23973-2023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45075</v>
      </c>
      <c r="E22" s="1" t="n">
        <v>46248</v>
      </c>
      <c r="F22" t="inlineStr">
        <is>
          <t>VÄSTRA GÖTALANDS LÄN</t>
        </is>
      </c>
      <c r="G22" t="inlineStr">
        <is>
          <t>KARLSBORG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Orre</t>
        </is>
      </c>
      <c r="W22">
        <f>HYPERLINK("https://klasma.github.io/Logging_1446/artfynd/A 23973-2023 artfynd.xlsx", "A 23973-2023")</f>
        <v/>
      </c>
      <c r="X22">
        <f>HYPERLINK("https://klasma.github.io/Logging_1446/kartor/A 23973-2023 karta.png", "A 23973-2023")</f>
        <v/>
      </c>
      <c r="Y22">
        <f>HYPERLINK("https://klasma.github.io/Logging_1446/kartor_geotiff/A 23973-2023 georefererad karta.tif", "A 23973-2023")</f>
        <v/>
      </c>
      <c r="AA22">
        <f>HYPERLINK("https://klasma.github.io/Logging_1446/klagomål/A 23973-2023 FSC-klagomål.docx", "A 23973-2023")</f>
        <v/>
      </c>
      <c r="AB22">
        <f>HYPERLINK("https://klasma.github.io/Logging_1446/klagomålsmail/A 23973-2023 FSC-klagomål mail.docx", "A 23973-2023")</f>
        <v/>
      </c>
      <c r="AC22">
        <f>HYPERLINK("https://klasma.github.io/Logging_1446/tillsyn/A 23973-2023 tillsynsbegäran.docx", "A 23973-2023")</f>
        <v/>
      </c>
      <c r="AD22">
        <f>HYPERLINK("https://klasma.github.io/Logging_1446/tillsynsmail/A 23973-2023 tillsynsbegäran mail.docx", "A 23973-2023")</f>
        <v/>
      </c>
      <c r="AE22">
        <f>HYPERLINK("https://klasma.github.io/Logging_1446/fåglar/A 23973-2023 prioriterade fågelarter.docx", "A 23973-2023")</f>
        <v/>
      </c>
    </row>
    <row r="23" ht="15" customHeight="1">
      <c r="A23" t="inlineStr">
        <is>
          <t>A 25327-2026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46248</v>
      </c>
      <c r="F23" t="inlineStr">
        <is>
          <t>VÄSTRA GÖTALANDS LÄN</t>
        </is>
      </c>
      <c r="G23" t="inlineStr">
        <is>
          <t>KARLSBORG</t>
        </is>
      </c>
      <c r="I23" t="n">
        <v>6.3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HYPERLINK("https://klasma.github.io/Logging_1446/artfynd/A 25327-2026 artfynd.xlsx", "A 25327-2026")</f>
        <v/>
      </c>
      <c r="X23">
        <f>HYPERLINK("https://klasma.github.io/Logging_1446/kartor/A 25327-2026 karta.png", "A 25327-2026")</f>
        <v/>
      </c>
      <c r="Y23">
        <f>HYPERLINK("https://klasma.github.io/Logging_1446/kartor_geotiff/A 25327-2026 georefererad karta.tif", "A 25327-2026")</f>
        <v/>
      </c>
      <c r="AA23">
        <f>HYPERLINK("https://klasma.github.io/Logging_1446/klagomål/A 25327-2026 FSC-klagomål.docx", "A 25327-2026")</f>
        <v/>
      </c>
      <c r="AB23">
        <f>HYPERLINK("https://klasma.github.io/Logging_1446/klagomålsmail/A 25327-2026 FSC-klagomål mail.docx", "A 25327-2026")</f>
        <v/>
      </c>
      <c r="AC23">
        <f>HYPERLINK("https://klasma.github.io/Logging_1446/tillsyn/A 25327-2026 tillsynsbegäran.docx", "A 25327-2026")</f>
        <v/>
      </c>
      <c r="AD23">
        <f>HYPERLINK("https://klasma.github.io/Logging_1446/tillsynsmail/A 25327-2026 tillsynsbegäran mail.docx", "A 25327-2026")</f>
        <v/>
      </c>
      <c r="AE23">
        <f>HYPERLINK("https://klasma.github.io/Logging_1446/fåglar/A 25327-2026 prioriterade fågelarter.docx", "A 25327-2026")</f>
        <v/>
      </c>
    </row>
    <row r="24" ht="15" customHeight="1">
      <c r="A24" t="inlineStr">
        <is>
          <t>A 31801-2026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46230</v>
      </c>
      <c r="E24" s="1" t="n">
        <v>46248</v>
      </c>
      <c r="F24" t="inlineStr">
        <is>
          <t>VÄSTRA GÖTALANDS LÄN</t>
        </is>
      </c>
      <c r="G24" t="inlineStr">
        <is>
          <t>KARLSBORG</t>
        </is>
      </c>
      <c r="I24" t="n">
        <v>1.3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0</v>
      </c>
      <c r="V24" s="2" t="inlineStr">
        <is>
          <t>Knärot</t>
        </is>
      </c>
      <c r="W24">
        <f>HYPERLINK("https://klasma.github.io/Logging_1446/artfynd/A 31801-2026 artfynd.xlsx", "A 31801-2026")</f>
        <v/>
      </c>
      <c r="X24">
        <f>HYPERLINK("https://klasma.github.io/Logging_1446/kartor/A 31801-2026 karta.png", "A 31801-2026")</f>
        <v/>
      </c>
      <c r="Y24">
        <f>HYPERLINK("https://klasma.github.io/Logging_1446/kartor_geotiff/A 31801-2026 georefererad karta.tif", "A 31801-2026")</f>
        <v/>
      </c>
      <c r="Z24">
        <f>HYPERLINK("https://klasma.github.io/Logging_1446/knärot/A 31801-2026 karta knärot.png", "A 31801-2026")</f>
        <v/>
      </c>
      <c r="AA24">
        <f>HYPERLINK("https://klasma.github.io/Logging_1446/klagomål/A 31801-2026 FSC-klagomål.docx", "A 31801-2026")</f>
        <v/>
      </c>
      <c r="AB24">
        <f>HYPERLINK("https://klasma.github.io/Logging_1446/klagomålsmail/A 31801-2026 FSC-klagomål mail.docx", "A 31801-2026")</f>
        <v/>
      </c>
      <c r="AC24">
        <f>HYPERLINK("https://klasma.github.io/Logging_1446/tillsyn/A 31801-2026 tillsynsbegäran.docx", "A 31801-2026")</f>
        <v/>
      </c>
      <c r="AD24">
        <f>HYPERLINK("https://klasma.github.io/Logging_1446/tillsynsmail/A 31801-2026 tillsynsbegäran mail.docx", "A 31801-2026")</f>
        <v/>
      </c>
    </row>
    <row r="25" ht="15" customHeight="1">
      <c r="A25" t="inlineStr">
        <is>
          <t>A 29156-2026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46248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1.2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29156-2026 artfynd.xlsx", "A 29156-2026")</f>
        <v/>
      </c>
      <c r="X25">
        <f>HYPERLINK("https://klasma.github.io/Logging_1446/kartor/A 29156-2026 karta.png", "A 29156-2026")</f>
        <v/>
      </c>
      <c r="Y25">
        <f>HYPERLINK("https://klasma.github.io/Logging_1446/kartor_geotiff/A 29156-2026 georefererad karta.tif", "A 29156-2026")</f>
        <v/>
      </c>
      <c r="AA25">
        <f>HYPERLINK("https://klasma.github.io/Logging_1446/klagomål/A 29156-2026 FSC-klagomål.docx", "A 29156-2026")</f>
        <v/>
      </c>
      <c r="AB25">
        <f>HYPERLINK("https://klasma.github.io/Logging_1446/klagomålsmail/A 29156-2026 FSC-klagomål mail.docx", "A 29156-2026")</f>
        <v/>
      </c>
      <c r="AC25">
        <f>HYPERLINK("https://klasma.github.io/Logging_1446/tillsyn/A 29156-2026 tillsynsbegäran.docx", "A 29156-2026")</f>
        <v/>
      </c>
      <c r="AD25">
        <f>HYPERLINK("https://klasma.github.io/Logging_1446/tillsynsmail/A 29156-2026 tillsynsbegäran mail.docx", "A 29156-2026")</f>
        <v/>
      </c>
    </row>
    <row r="26" ht="15" customHeight="1">
      <c r="A26" t="inlineStr">
        <is>
          <t>A 4448-2026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46045</v>
      </c>
      <c r="E26" s="1" t="n">
        <v>46248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trolldruva</t>
        </is>
      </c>
      <c r="W26">
        <f>HYPERLINK("https://klasma.github.io/Logging_1446/artfynd/A 4448-2026 artfynd.xlsx", "A 4448-2026")</f>
        <v/>
      </c>
      <c r="X26">
        <f>HYPERLINK("https://klasma.github.io/Logging_1446/kartor/A 4448-2026 karta.png", "A 4448-2026")</f>
        <v/>
      </c>
      <c r="Y26">
        <f>HYPERLINK("https://klasma.github.io/Logging_1446/kartor_geotiff/A 4448-2026 georefererad karta.tif", "A 4448-2026")</f>
        <v/>
      </c>
      <c r="AA26">
        <f>HYPERLINK("https://klasma.github.io/Logging_1446/klagomål/A 4448-2026 FSC-klagomål.docx", "A 4448-2026")</f>
        <v/>
      </c>
      <c r="AB26">
        <f>HYPERLINK("https://klasma.github.io/Logging_1446/klagomålsmail/A 4448-2026 FSC-klagomål mail.docx", "A 4448-2026")</f>
        <v/>
      </c>
      <c r="AC26">
        <f>HYPERLINK("https://klasma.github.io/Logging_1446/tillsyn/A 4448-2026 tillsynsbegäran.docx", "A 4448-2026")</f>
        <v/>
      </c>
      <c r="AD26">
        <f>HYPERLINK("https://klasma.github.io/Logging_1446/tillsynsmail/A 4448-2026 tillsynsbegäran mail.docx", "A 4448-2026")</f>
        <v/>
      </c>
    </row>
    <row r="27" ht="15" customHeight="1">
      <c r="A27" t="inlineStr">
        <is>
          <t>A 18567-2026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46127</v>
      </c>
      <c r="E27" s="1" t="n">
        <v>46248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2.6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Spindelblomster</t>
        </is>
      </c>
      <c r="W27">
        <f>HYPERLINK("https://klasma.github.io/Logging_1446/artfynd/A 18567-2026 artfynd.xlsx", "A 18567-2026")</f>
        <v/>
      </c>
      <c r="X27">
        <f>HYPERLINK("https://klasma.github.io/Logging_1446/kartor/A 18567-2026 karta.png", "A 18567-2026")</f>
        <v/>
      </c>
      <c r="Y27">
        <f>HYPERLINK("https://klasma.github.io/Logging_1446/kartor_geotiff/A 18567-2026 georefererad karta.tif", "A 18567-2026")</f>
        <v/>
      </c>
      <c r="AA27">
        <f>HYPERLINK("https://klasma.github.io/Logging_1446/klagomål/A 18567-2026 FSC-klagomål.docx", "A 18567-2026")</f>
        <v/>
      </c>
      <c r="AB27">
        <f>HYPERLINK("https://klasma.github.io/Logging_1446/klagomålsmail/A 18567-2026 FSC-klagomål mail.docx", "A 18567-2026")</f>
        <v/>
      </c>
      <c r="AC27">
        <f>HYPERLINK("https://klasma.github.io/Logging_1446/tillsyn/A 18567-2026 tillsynsbegäran.docx", "A 18567-2026")</f>
        <v/>
      </c>
      <c r="AD27">
        <f>HYPERLINK("https://klasma.github.io/Logging_1446/tillsynsmail/A 18567-2026 tillsynsbegäran mail.docx", "A 18567-2026")</f>
        <v/>
      </c>
    </row>
    <row r="28" ht="15" customHeight="1">
      <c r="A28" t="inlineStr">
        <is>
          <t>A 29484-2025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45824</v>
      </c>
      <c r="E28" s="1" t="n">
        <v>46248</v>
      </c>
      <c r="F28" t="inlineStr">
        <is>
          <t>VÄSTRA GÖTALANDS LÄN</t>
        </is>
      </c>
      <c r="G28" t="inlineStr">
        <is>
          <t>KARLSBORG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Blåsippa</t>
        </is>
      </c>
      <c r="W28">
        <f>HYPERLINK("https://klasma.github.io/Logging_1446/artfynd/A 29484-2025 artfynd.xlsx", "A 29484-2025")</f>
        <v/>
      </c>
      <c r="X28">
        <f>HYPERLINK("https://klasma.github.io/Logging_1446/kartor/A 29484-2025 karta.png", "A 29484-2025")</f>
        <v/>
      </c>
      <c r="Y28">
        <f>HYPERLINK("https://klasma.github.io/Logging_1446/kartor_geotiff/A 29484-2025 georefererad karta.tif", "A 29484-2025")</f>
        <v/>
      </c>
      <c r="AA28">
        <f>HYPERLINK("https://klasma.github.io/Logging_1446/klagomål/A 29484-2025 FSC-klagomål.docx", "A 29484-2025")</f>
        <v/>
      </c>
      <c r="AB28">
        <f>HYPERLINK("https://klasma.github.io/Logging_1446/klagomålsmail/A 29484-2025 FSC-klagomål mail.docx", "A 29484-2025")</f>
        <v/>
      </c>
      <c r="AC28">
        <f>HYPERLINK("https://klasma.github.io/Logging_1446/tillsyn/A 29484-2025 tillsynsbegäran.docx", "A 29484-2025")</f>
        <v/>
      </c>
      <c r="AD28">
        <f>HYPERLINK("https://klasma.github.io/Logging_1446/tillsynsmail/A 29484-2025 tillsynsbegäran mail.docx", "A 29484-2025")</f>
        <v/>
      </c>
    </row>
    <row r="29" ht="15" customHeight="1">
      <c r="A29" t="inlineStr">
        <is>
          <t>A 8984-2025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46248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Övriga Aktiebolag</t>
        </is>
      </c>
      <c r="I29" t="n">
        <v>9.5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HYPERLINK("https://klasma.github.io/Logging_1446/artfynd/A 8984-2025 artfynd.xlsx", "A 8984-2025")</f>
        <v/>
      </c>
      <c r="X29">
        <f>HYPERLINK("https://klasma.github.io/Logging_1446/kartor/A 8984-2025 karta.png", "A 8984-2025")</f>
        <v/>
      </c>
      <c r="Y29">
        <f>HYPERLINK("https://klasma.github.io/Logging_1446/kartor_geotiff/A 8984-2025 georefererad karta.tif", "A 8984-2025")</f>
        <v/>
      </c>
      <c r="AA29">
        <f>HYPERLINK("https://klasma.github.io/Logging_1446/klagomål/A 8984-2025 FSC-klagomål.docx", "A 8984-2025")</f>
        <v/>
      </c>
      <c r="AB29">
        <f>HYPERLINK("https://klasma.github.io/Logging_1446/klagomålsmail/A 8984-2025 FSC-klagomål mail.docx", "A 8984-2025")</f>
        <v/>
      </c>
      <c r="AC29">
        <f>HYPERLINK("https://klasma.github.io/Logging_1446/tillsyn/A 8984-2025 tillsynsbegäran.docx", "A 8984-2025")</f>
        <v/>
      </c>
      <c r="AD29">
        <f>HYPERLINK("https://klasma.github.io/Logging_1446/tillsynsmail/A 8984-2025 tillsynsbegäran mail.docx", "A 8984-2025")</f>
        <v/>
      </c>
      <c r="AE29">
        <f>HYPERLINK("https://klasma.github.io/Logging_1446/fåglar/A 8984-2025 prioriterade fågelarter.docx", "A 8984-2025")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46248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46248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46248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46248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46248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44448</v>
      </c>
      <c r="E35" s="1" t="n">
        <v>46248</v>
      </c>
      <c r="F35" t="inlineStr">
        <is>
          <t>VÄSTRA GÖTALANDS LÄN</t>
        </is>
      </c>
      <c r="G35" t="inlineStr">
        <is>
          <t>KARLSBORG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46248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46248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46248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46248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46248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46248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46248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46248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46248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46248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statliga verk och myndigheter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55831-2021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44476</v>
      </c>
      <c r="E46" s="1" t="n">
        <v>46248</v>
      </c>
      <c r="F46" t="inlineStr">
        <is>
          <t>VÄSTRA GÖTALANDS LÄN</t>
        </is>
      </c>
      <c r="G46" t="inlineStr">
        <is>
          <t>KARLSBORG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10007-2025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46248</v>
      </c>
      <c r="F47" t="inlineStr">
        <is>
          <t>VÄSTRA GÖTALANDS LÄN</t>
        </is>
      </c>
      <c r="G47" t="inlineStr">
        <is>
          <t>KARLSBORG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44944</v>
      </c>
      <c r="E48" s="1" t="n">
        <v>46248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45369</v>
      </c>
      <c r="E49" s="1" t="n">
        <v>46248</v>
      </c>
      <c r="F49" t="inlineStr">
        <is>
          <t>VÄSTRA GÖTALANDS LÄN</t>
        </is>
      </c>
      <c r="G49" t="inlineStr">
        <is>
          <t>KARLSBORG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38073-2023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45160</v>
      </c>
      <c r="E50" s="1" t="n">
        <v>46248</v>
      </c>
      <c r="F50" t="inlineStr">
        <is>
          <t>VÄSTRA GÖTALANDS LÄN</t>
        </is>
      </c>
      <c r="G50" t="inlineStr">
        <is>
          <t>KARLSBORG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46248</v>
      </c>
      <c r="F51" t="inlineStr">
        <is>
          <t>VÄSTRA GÖTALANDS LÄN</t>
        </is>
      </c>
      <c r="G51" t="inlineStr">
        <is>
          <t>KARLSBORG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44929</v>
      </c>
      <c r="E52" s="1" t="n">
        <v>46248</v>
      </c>
      <c r="F52" t="inlineStr">
        <is>
          <t>VÄSTRA GÖTALANDS LÄN</t>
        </is>
      </c>
      <c r="G52" t="inlineStr">
        <is>
          <t>KARLSBORG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  <c r="X52">
        <f>HYPERLINK("https://klasma.github.io/Logging_1446/kartor/A 412-2023 karta.png", "A 412-2023")</f>
        <v/>
      </c>
      <c r="Y52">
        <f>HYPERLINK("https://klasma.github.io/Logging_1446/kartor_geotiff/A 412-2023 georefererad karta.tif", "A 412-2023")</f>
        <v/>
      </c>
      <c r="AA52">
        <f>HYPERLINK("https://klasma.github.io/Logging_1446/klagomål/A 412-2023 FSC-klagomål.docx", "A 412-2023")</f>
        <v/>
      </c>
      <c r="AB52">
        <f>HYPERLINK("https://klasma.github.io/Logging_1446/klagomålsmail/A 412-2023 FSC-klagomål mail.docx", "A 412-2023")</f>
        <v/>
      </c>
      <c r="AC52">
        <f>HYPERLINK("https://klasma.github.io/Logging_1446/tillsyn/A 412-2023 tillsynsbegäran.docx", "A 412-2023")</f>
        <v/>
      </c>
      <c r="AD52">
        <f>HYPERLINK("https://klasma.github.io/Logging_1446/tillsynsmail/A 412-2023 tillsynsbegäran mail.docx", "A 412-2023")</f>
        <v/>
      </c>
    </row>
    <row r="53" ht="15" customHeight="1">
      <c r="A53" t="inlineStr">
        <is>
          <t>A 70945-2021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46248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26914-2024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45470</v>
      </c>
      <c r="E54" s="1" t="n">
        <v>46248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Aktiebolag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44795</v>
      </c>
      <c r="E55" s="1" t="n">
        <v>46248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29685-2022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44755</v>
      </c>
      <c r="E56" s="1" t="n">
        <v>46248</v>
      </c>
      <c r="F56" t="inlineStr">
        <is>
          <t>VÄSTRA GÖTALANDS LÄN</t>
        </is>
      </c>
      <c r="G56" t="inlineStr">
        <is>
          <t>KARLSBORG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45090</v>
      </c>
      <c r="E57" s="1" t="n">
        <v>46248</v>
      </c>
      <c r="F57" t="inlineStr">
        <is>
          <t>VÄSTRA GÖTALANDS LÄN</t>
        </is>
      </c>
      <c r="G57" t="inlineStr">
        <is>
          <t>KARLSBORG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45561</v>
      </c>
      <c r="E58" s="1" t="n">
        <v>46248</v>
      </c>
      <c r="F58" t="inlineStr">
        <is>
          <t>VÄSTRA GÖTALANDS LÄN</t>
        </is>
      </c>
      <c r="G58" t="inlineStr">
        <is>
          <t>KARLSBORG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42757-2024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45566</v>
      </c>
      <c r="E59" s="1" t="n">
        <v>46248</v>
      </c>
      <c r="F59" t="inlineStr">
        <is>
          <t>VÄSTRA GÖTALANDS LÄN</t>
        </is>
      </c>
      <c r="G59" t="inlineStr">
        <is>
          <t>KARLSBORG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57454-2024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45630</v>
      </c>
      <c r="E60" s="1" t="n">
        <v>46248</v>
      </c>
      <c r="F60" t="inlineStr">
        <is>
          <t>VÄSTRA GÖTALANDS LÄN</t>
        </is>
      </c>
      <c r="G60" t="inlineStr">
        <is>
          <t>KARLSBORG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56541-2023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45243</v>
      </c>
      <c r="E61" s="1" t="n">
        <v>46248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56545-2023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45243</v>
      </c>
      <c r="E62" s="1" t="n">
        <v>46248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Sveaskog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45166</v>
      </c>
      <c r="E63" s="1" t="n">
        <v>46248</v>
      </c>
      <c r="F63" t="inlineStr">
        <is>
          <t>VÄSTRA GÖTALANDS LÄN</t>
        </is>
      </c>
      <c r="G63" t="inlineStr">
        <is>
          <t>KARLSBORG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39287-2023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45166</v>
      </c>
      <c r="E64" s="1" t="n">
        <v>46248</v>
      </c>
      <c r="F64" t="inlineStr">
        <is>
          <t>VÄSTRA GÖTALANDS LÄN</t>
        </is>
      </c>
      <c r="G64" t="inlineStr">
        <is>
          <t>KARLSBORG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24594-2022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44727</v>
      </c>
      <c r="E65" s="1" t="n">
        <v>46248</v>
      </c>
      <c r="F65" t="inlineStr">
        <is>
          <t>VÄSTRA GÖTALANDS LÄN</t>
        </is>
      </c>
      <c r="G65" t="inlineStr">
        <is>
          <t>KARLSBORG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54444-2023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46248</v>
      </c>
      <c r="F66" t="inlineStr">
        <is>
          <t>VÄSTRA GÖTALANDS LÄN</t>
        </is>
      </c>
      <c r="G66" t="inlineStr">
        <is>
          <t>KARLSBORG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61211-2022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44908</v>
      </c>
      <c r="E67" s="1" t="n">
        <v>46248</v>
      </c>
      <c r="F67" t="inlineStr">
        <is>
          <t>VÄSTRA GÖTALANDS LÄN</t>
        </is>
      </c>
      <c r="G67" t="inlineStr">
        <is>
          <t>KARLSBORG</t>
        </is>
      </c>
      <c r="I67" t="n">
        <v>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42778-2024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45566</v>
      </c>
      <c r="E68" s="1" t="n">
        <v>46248</v>
      </c>
      <c r="F68" t="inlineStr">
        <is>
          <t>VÄSTRA GÖTALANDS LÄN</t>
        </is>
      </c>
      <c r="G68" t="inlineStr">
        <is>
          <t>KARLSBORG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44503</v>
      </c>
      <c r="E69" s="1" t="n">
        <v>46248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30136-2024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45489</v>
      </c>
      <c r="E70" s="1" t="n">
        <v>46248</v>
      </c>
      <c r="F70" t="inlineStr">
        <is>
          <t>VÄSTRA GÖTALANDS LÄN</t>
        </is>
      </c>
      <c r="G70" t="inlineStr">
        <is>
          <t>KARLSBORG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45742</v>
      </c>
      <c r="E71" s="1" t="n">
        <v>46248</v>
      </c>
      <c r="F71" t="inlineStr">
        <is>
          <t>VÄSTRA GÖTALANDS LÄN</t>
        </is>
      </c>
      <c r="G71" t="inlineStr">
        <is>
          <t>KARLSBORG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14514-2024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45394</v>
      </c>
      <c r="E72" s="1" t="n">
        <v>46248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46248</v>
      </c>
      <c r="F73" t="inlineStr">
        <is>
          <t>VÄSTRA GÖTALANDS LÄN</t>
        </is>
      </c>
      <c r="G73" t="inlineStr">
        <is>
          <t>KARLSBORG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57913-2024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45631</v>
      </c>
      <c r="E74" s="1" t="n">
        <v>46248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Sveaskog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46248</v>
      </c>
      <c r="F75" t="inlineStr">
        <is>
          <t>VÄSTRA GÖTALANDS LÄN</t>
        </is>
      </c>
      <c r="G75" t="inlineStr">
        <is>
          <t>KARLSBORG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46248</v>
      </c>
      <c r="F76" t="inlineStr">
        <is>
          <t>VÄSTRA GÖTALANDS LÄN</t>
        </is>
      </c>
      <c r="G76" t="inlineStr">
        <is>
          <t>KARLSBORG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45218</v>
      </c>
      <c r="E77" s="1" t="n">
        <v>46248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Sveaskog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46248</v>
      </c>
      <c r="F78" t="inlineStr">
        <is>
          <t>VÄSTRA GÖTALANDS LÄN</t>
        </is>
      </c>
      <c r="G78" t="inlineStr">
        <is>
          <t>KARLSBORG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45707</v>
      </c>
      <c r="E79" s="1" t="n">
        <v>46248</v>
      </c>
      <c r="F79" t="inlineStr">
        <is>
          <t>VÄSTRA GÖTALANDS LÄN</t>
        </is>
      </c>
      <c r="G79" t="inlineStr">
        <is>
          <t>KARLSBORG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45720</v>
      </c>
      <c r="E80" s="1" t="n">
        <v>46248</v>
      </c>
      <c r="F80" t="inlineStr">
        <is>
          <t>VÄSTRA GÖTALANDS LÄN</t>
        </is>
      </c>
      <c r="G80" t="inlineStr">
        <is>
          <t>KARLSBORG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28528-2024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45478</v>
      </c>
      <c r="E81" s="1" t="n">
        <v>46248</v>
      </c>
      <c r="F81" t="inlineStr">
        <is>
          <t>VÄSTRA GÖTALANDS LÄN</t>
        </is>
      </c>
      <c r="G81" t="inlineStr">
        <is>
          <t>KARLSBORG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44577-2023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46248</v>
      </c>
      <c r="F82" t="inlineStr">
        <is>
          <t>VÄSTRA GÖTALANDS LÄN</t>
        </is>
      </c>
      <c r="G82" t="inlineStr">
        <is>
          <t>KARLSBORG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59047-2023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45252</v>
      </c>
      <c r="E83" s="1" t="n">
        <v>46248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Aktiebolag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26016-2023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45090</v>
      </c>
      <c r="E84" s="1" t="n">
        <v>46248</v>
      </c>
      <c r="F84" t="inlineStr">
        <is>
          <t>VÄSTRA GÖTALANDS LÄN</t>
        </is>
      </c>
      <c r="G84" t="inlineStr">
        <is>
          <t>KARLSBORG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51111-2024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45603</v>
      </c>
      <c r="E85" s="1" t="n">
        <v>46248</v>
      </c>
      <c r="F85" t="inlineStr">
        <is>
          <t>VÄSTRA GÖTALANDS LÄN</t>
        </is>
      </c>
      <c r="G85" t="inlineStr">
        <is>
          <t>KARLSBORG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58129-2024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45632</v>
      </c>
      <c r="E86" s="1" t="n">
        <v>46248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57915-2024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45631</v>
      </c>
      <c r="E87" s="1" t="n">
        <v>46248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Sveaskog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46248</v>
      </c>
      <c r="F88" t="inlineStr">
        <is>
          <t>VÄSTRA GÖTALANDS LÄN</t>
        </is>
      </c>
      <c r="G88" t="inlineStr">
        <is>
          <t>KARLSBORG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58127-2024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45632</v>
      </c>
      <c r="E89" s="1" t="n">
        <v>46248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59887-2021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46248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Övriga statliga verk och myndigheter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45548</v>
      </c>
      <c r="E91" s="1" t="n">
        <v>46248</v>
      </c>
      <c r="F91" t="inlineStr">
        <is>
          <t>VÄSTRA GÖTALANDS LÄN</t>
        </is>
      </c>
      <c r="G91" t="inlineStr">
        <is>
          <t>KARLSBORG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46248</v>
      </c>
      <c r="F92" t="inlineStr">
        <is>
          <t>VÄSTRA GÖTALANDS LÄN</t>
        </is>
      </c>
      <c r="G92" t="inlineStr">
        <is>
          <t>KARLSBORG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45394</v>
      </c>
      <c r="E93" s="1" t="n">
        <v>46248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59045-2023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45252</v>
      </c>
      <c r="E94" s="1" t="n">
        <v>46248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Aktiebolag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46248</v>
      </c>
      <c r="F95" t="inlineStr">
        <is>
          <t>VÄSTRA GÖTALANDS LÄN</t>
        </is>
      </c>
      <c r="G95" t="inlineStr">
        <is>
          <t>KARLSBORG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59845-2023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45257</v>
      </c>
      <c r="E96" s="1" t="n">
        <v>46248</v>
      </c>
      <c r="F96" t="inlineStr">
        <is>
          <t>VÄSTRA GÖTALANDS LÄN</t>
        </is>
      </c>
      <c r="G96" t="inlineStr">
        <is>
          <t>KARLSBORG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14703-2025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45742</v>
      </c>
      <c r="E97" s="1" t="n">
        <v>46248</v>
      </c>
      <c r="F97" t="inlineStr">
        <is>
          <t>VÄSTRA GÖTALANDS LÄN</t>
        </is>
      </c>
      <c r="G97" t="inlineStr">
        <is>
          <t>KARLSBORG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59399-2022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44906</v>
      </c>
      <c r="E98" s="1" t="n">
        <v>46248</v>
      </c>
      <c r="F98" t="inlineStr">
        <is>
          <t>VÄSTRA GÖTALANDS LÄN</t>
        </is>
      </c>
      <c r="G98" t="inlineStr">
        <is>
          <t>KARLSBORG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70783-2021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44537</v>
      </c>
      <c r="E99" s="1" t="n">
        <v>46248</v>
      </c>
      <c r="F99" t="inlineStr">
        <is>
          <t>VÄSTRA GÖTALANDS LÄN</t>
        </is>
      </c>
      <c r="G99" t="inlineStr">
        <is>
          <t>KARLSBORG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45209</v>
      </c>
      <c r="E100" s="1" t="n">
        <v>46248</v>
      </c>
      <c r="F100" t="inlineStr">
        <is>
          <t>VÄSTRA GÖTALANDS LÄN</t>
        </is>
      </c>
      <c r="G100" t="inlineStr">
        <is>
          <t>KARLSBORG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44985-2024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45575</v>
      </c>
      <c r="E101" s="1" t="n">
        <v>46248</v>
      </c>
      <c r="F101" t="inlineStr">
        <is>
          <t>VÄSTRA GÖTALANDS LÄN</t>
        </is>
      </c>
      <c r="G101" t="inlineStr">
        <is>
          <t>KARLSBORG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23469-2024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46248</v>
      </c>
      <c r="F102" t="inlineStr">
        <is>
          <t>VÄSTRA GÖTALANDS LÄN</t>
        </is>
      </c>
      <c r="G102" t="inlineStr">
        <is>
          <t>KARLSBORG</t>
        </is>
      </c>
      <c r="I102" t="n">
        <v>8.300000000000001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48884-2023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45209</v>
      </c>
      <c r="E103" s="1" t="n">
        <v>46248</v>
      </c>
      <c r="F103" t="inlineStr">
        <is>
          <t>VÄSTRA GÖTALANDS LÄN</t>
        </is>
      </c>
      <c r="G103" t="inlineStr">
        <is>
          <t>KARLSBORG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57235-2022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44895</v>
      </c>
      <c r="E104" s="1" t="n">
        <v>46248</v>
      </c>
      <c r="F104" t="inlineStr">
        <is>
          <t>VÄSTRA GÖTALANDS LÄN</t>
        </is>
      </c>
      <c r="G104" t="inlineStr">
        <is>
          <t>KARLSBORG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8052-2023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44974</v>
      </c>
      <c r="E105" s="1" t="n">
        <v>46248</v>
      </c>
      <c r="F105" t="inlineStr">
        <is>
          <t>VÄSTRA GÖTALANDS LÄN</t>
        </is>
      </c>
      <c r="G105" t="inlineStr">
        <is>
          <t>KARLSBORG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8053-2023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46248</v>
      </c>
      <c r="F106" t="inlineStr">
        <is>
          <t>VÄSTRA GÖTALANDS LÄN</t>
        </is>
      </c>
      <c r="G106" t="inlineStr">
        <is>
          <t>KARLSBORG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44944</v>
      </c>
      <c r="E107" s="1" t="n">
        <v>46248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Övriga Aktiebolag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40129-2023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45169</v>
      </c>
      <c r="E108" s="1" t="n">
        <v>46248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Övriga Aktiebolag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59890-2021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46248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statliga verk och myndigheter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45589</v>
      </c>
      <c r="E110" s="1" t="n">
        <v>46248</v>
      </c>
      <c r="F110" t="inlineStr">
        <is>
          <t>VÄSTRA GÖTALANDS LÄN</t>
        </is>
      </c>
      <c r="G110" t="inlineStr">
        <is>
          <t>KARLSBORG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5439-2022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44595</v>
      </c>
      <c r="E111" s="1" t="n">
        <v>46248</v>
      </c>
      <c r="F111" t="inlineStr">
        <is>
          <t>VÄSTRA GÖTALANDS LÄN</t>
        </is>
      </c>
      <c r="G111" t="inlineStr">
        <is>
          <t>KARLSBORG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43021-2021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44431</v>
      </c>
      <c r="E112" s="1" t="n">
        <v>46248</v>
      </c>
      <c r="F112" t="inlineStr">
        <is>
          <t>VÄSTRA GÖTALANDS LÄN</t>
        </is>
      </c>
      <c r="G112" t="inlineStr">
        <is>
          <t>KARLSBORG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48175-2024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45589</v>
      </c>
      <c r="E113" s="1" t="n">
        <v>46248</v>
      </c>
      <c r="F113" t="inlineStr">
        <is>
          <t>VÄSTRA GÖTALANDS LÄN</t>
        </is>
      </c>
      <c r="G113" t="inlineStr">
        <is>
          <t>KARLSBORG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14525-2024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45394</v>
      </c>
      <c r="E114" s="1" t="n">
        <v>46248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44972</v>
      </c>
      <c r="E115" s="1" t="n">
        <v>46248</v>
      </c>
      <c r="F115" t="inlineStr">
        <is>
          <t>VÄSTRA GÖTALANDS LÄN</t>
        </is>
      </c>
      <c r="G115" t="inlineStr">
        <is>
          <t>KARLSBORG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44906</v>
      </c>
      <c r="E116" s="1" t="n">
        <v>46248</v>
      </c>
      <c r="F116" t="inlineStr">
        <is>
          <t>VÄSTRA GÖTALANDS LÄN</t>
        </is>
      </c>
      <c r="G116" t="inlineStr">
        <is>
          <t>KARLSBORG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23500-2023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45076</v>
      </c>
      <c r="E117" s="1" t="n">
        <v>46248</v>
      </c>
      <c r="F117" t="inlineStr">
        <is>
          <t>VÄSTRA GÖTALANDS LÄN</t>
        </is>
      </c>
      <c r="G117" t="inlineStr">
        <is>
          <t>KARLSBORG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59404-2022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44906</v>
      </c>
      <c r="E118" s="1" t="n">
        <v>46248</v>
      </c>
      <c r="F118" t="inlineStr">
        <is>
          <t>VÄSTRA GÖTALANDS LÄN</t>
        </is>
      </c>
      <c r="G118" t="inlineStr">
        <is>
          <t>KARLSBORG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46248</v>
      </c>
      <c r="F119" t="inlineStr">
        <is>
          <t>VÄSTRA GÖTALANDS LÄN</t>
        </is>
      </c>
      <c r="G119" t="inlineStr">
        <is>
          <t>KARLSBORG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18623-2022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44687</v>
      </c>
      <c r="E120" s="1" t="n">
        <v>46248</v>
      </c>
      <c r="F120" t="inlineStr">
        <is>
          <t>VÄSTRA GÖTALANDS LÄN</t>
        </is>
      </c>
      <c r="G120" t="inlineStr">
        <is>
          <t>KARLSBORG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42661-2021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44428</v>
      </c>
      <c r="E121" s="1" t="n">
        <v>46248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Kyrkan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69341-2021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46248</v>
      </c>
      <c r="F122" t="inlineStr">
        <is>
          <t>VÄSTRA GÖTALANDS LÄN</t>
        </is>
      </c>
      <c r="G122" t="inlineStr">
        <is>
          <t>KARLSBORG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44944</v>
      </c>
      <c r="E123" s="1" t="n">
        <v>46248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Övriga Aktiebolag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25697-2023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45089</v>
      </c>
      <c r="E124" s="1" t="n">
        <v>46248</v>
      </c>
      <c r="F124" t="inlineStr">
        <is>
          <t>VÄSTRA GÖTALANDS LÄN</t>
        </is>
      </c>
      <c r="G124" t="inlineStr">
        <is>
          <t>KARLSBORG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34125-2024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45524</v>
      </c>
      <c r="E125" s="1" t="n">
        <v>46248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Aktiebolag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44937</v>
      </c>
      <c r="E126" s="1" t="n">
        <v>46248</v>
      </c>
      <c r="F126" t="inlineStr">
        <is>
          <t>VÄSTRA GÖTALANDS LÄN</t>
        </is>
      </c>
      <c r="G126" t="inlineStr">
        <is>
          <t>KARLSBORG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45251</v>
      </c>
      <c r="E127" s="1" t="n">
        <v>46248</v>
      </c>
      <c r="F127" t="inlineStr">
        <is>
          <t>VÄSTRA GÖTALANDS LÄN</t>
        </is>
      </c>
      <c r="G127" t="inlineStr">
        <is>
          <t>KARLSBORG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42710-2024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45566</v>
      </c>
      <c r="E128" s="1" t="n">
        <v>46248</v>
      </c>
      <c r="F128" t="inlineStr">
        <is>
          <t>VÄSTRA GÖTALANDS LÄN</t>
        </is>
      </c>
      <c r="G128" t="inlineStr">
        <is>
          <t>KARLSBORG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15396-2024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45401</v>
      </c>
      <c r="E129" s="1" t="n">
        <v>46248</v>
      </c>
      <c r="F129" t="inlineStr">
        <is>
          <t>VÄSTRA GÖTALANDS LÄN</t>
        </is>
      </c>
      <c r="G129" t="inlineStr">
        <is>
          <t>KARLSBORG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45614</v>
      </c>
      <c r="E130" s="1" t="n">
        <v>46248</v>
      </c>
      <c r="F130" t="inlineStr">
        <is>
          <t>VÄSTRA GÖTALANDS LÄN</t>
        </is>
      </c>
      <c r="G130" t="inlineStr">
        <is>
          <t>KARLSBORG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34314-2024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45524</v>
      </c>
      <c r="E131" s="1" t="n">
        <v>46248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58152-2022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46248</v>
      </c>
      <c r="F132" t="inlineStr">
        <is>
          <t>VÄSTRA GÖTALANDS LÄN</t>
        </is>
      </c>
      <c r="G132" t="inlineStr">
        <is>
          <t>KARLSBORG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41684-2023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45176</v>
      </c>
      <c r="E133" s="1" t="n">
        <v>46248</v>
      </c>
      <c r="F133" t="inlineStr">
        <is>
          <t>VÄSTRA GÖTALANDS LÄN</t>
        </is>
      </c>
      <c r="G133" t="inlineStr">
        <is>
          <t>KARLSBORG</t>
        </is>
      </c>
      <c r="I133" t="n">
        <v>7.3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37363-2022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46248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29357-2024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45483</v>
      </c>
      <c r="E135" s="1" t="n">
        <v>46248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46248</v>
      </c>
      <c r="F136" t="inlineStr">
        <is>
          <t>VÄSTRA GÖTALANDS LÄN</t>
        </is>
      </c>
      <c r="G136" t="inlineStr">
        <is>
          <t>KARLSBORG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59877-2021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44494</v>
      </c>
      <c r="E137" s="1" t="n">
        <v>46248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Övriga statliga verk och myndigheter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25982-2025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45804</v>
      </c>
      <c r="E138" s="1" t="n">
        <v>46248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Aktiebolag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46248</v>
      </c>
      <c r="F139" t="inlineStr">
        <is>
          <t>VÄSTRA GÖTALANDS LÄN</t>
        </is>
      </c>
      <c r="G139" t="inlineStr">
        <is>
          <t>KARLSBORG</t>
        </is>
      </c>
      <c r="I139" t="n">
        <v>9.5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7978-2025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45707</v>
      </c>
      <c r="E140" s="1" t="n">
        <v>46248</v>
      </c>
      <c r="F140" t="inlineStr">
        <is>
          <t>VÄSTRA GÖTALANDS LÄN</t>
        </is>
      </c>
      <c r="G140" t="inlineStr">
        <is>
          <t>KARLSBORG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46248</v>
      </c>
      <c r="F141" t="inlineStr">
        <is>
          <t>VÄSTRA GÖTALANDS LÄN</t>
        </is>
      </c>
      <c r="G141" t="inlineStr">
        <is>
          <t>KARLSBORG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45002</v>
      </c>
      <c r="E142" s="1" t="n">
        <v>46248</v>
      </c>
      <c r="F142" t="inlineStr">
        <is>
          <t>VÄSTRA GÖTALANDS LÄN</t>
        </is>
      </c>
      <c r="G142" t="inlineStr">
        <is>
          <t>KARLSBORG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24008-2023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45078</v>
      </c>
      <c r="E143" s="1" t="n">
        <v>46248</v>
      </c>
      <c r="F143" t="inlineStr">
        <is>
          <t>VÄSTRA GÖTALANDS LÄN</t>
        </is>
      </c>
      <c r="G143" t="inlineStr">
        <is>
          <t>KARLSBORG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45524</v>
      </c>
      <c r="E144" s="1" t="n">
        <v>46248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45524</v>
      </c>
      <c r="E145" s="1" t="n">
        <v>46248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Aktiebolag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45566</v>
      </c>
      <c r="E146" s="1" t="n">
        <v>46248</v>
      </c>
      <c r="F146" t="inlineStr">
        <is>
          <t>VÄSTRA GÖTALANDS LÄN</t>
        </is>
      </c>
      <c r="G146" t="inlineStr">
        <is>
          <t>KARLSBORG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44785</v>
      </c>
      <c r="E147" s="1" t="n">
        <v>46248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35441-2024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45531</v>
      </c>
      <c r="E148" s="1" t="n">
        <v>46248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9.800000000000001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58573-2023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45251</v>
      </c>
      <c r="E149" s="1" t="n">
        <v>46248</v>
      </c>
      <c r="F149" t="inlineStr">
        <is>
          <t>VÄSTRA GÖTALANDS LÄN</t>
        </is>
      </c>
      <c r="G149" t="inlineStr">
        <is>
          <t>KARLSBORG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37383-2022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44809</v>
      </c>
      <c r="E150" s="1" t="n">
        <v>46248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56495-2023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46248</v>
      </c>
      <c r="F151" t="inlineStr">
        <is>
          <t>VÄSTRA GÖTALANDS LÄN</t>
        </is>
      </c>
      <c r="G151" t="inlineStr">
        <is>
          <t>KARLSBORG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53909-2023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46248</v>
      </c>
      <c r="F152" t="inlineStr">
        <is>
          <t>VÄSTRA GÖTALANDS LÄN</t>
        </is>
      </c>
      <c r="G152" t="inlineStr">
        <is>
          <t>KARLSBORG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46248</v>
      </c>
      <c r="F153" t="inlineStr">
        <is>
          <t>VÄSTRA GÖTALANDS LÄN</t>
        </is>
      </c>
      <c r="G153" t="inlineStr">
        <is>
          <t>KARLSBORG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32128-2025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45835</v>
      </c>
      <c r="E154" s="1" t="n">
        <v>46248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45103</v>
      </c>
      <c r="E155" s="1" t="n">
        <v>46248</v>
      </c>
      <c r="F155" t="inlineStr">
        <is>
          <t>VÄSTRA GÖTALANDS LÄN</t>
        </is>
      </c>
      <c r="G155" t="inlineStr">
        <is>
          <t>KARLSBORG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29490-2025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46248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Aktiebolag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31701-2025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45834</v>
      </c>
      <c r="E157" s="1" t="n">
        <v>46248</v>
      </c>
      <c r="F157" t="inlineStr">
        <is>
          <t>VÄSTRA GÖTALANDS LÄN</t>
        </is>
      </c>
      <c r="G157" t="inlineStr">
        <is>
          <t>KARLSBORG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41350-2025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45899</v>
      </c>
      <c r="E158" s="1" t="n">
        <v>46248</v>
      </c>
      <c r="F158" t="inlineStr">
        <is>
          <t>VÄSTRA GÖTALANDS LÄN</t>
        </is>
      </c>
      <c r="G158" t="inlineStr">
        <is>
          <t>KARLSBORG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44939</v>
      </c>
      <c r="E159" s="1" t="n">
        <v>46248</v>
      </c>
      <c r="F159" t="inlineStr">
        <is>
          <t>VÄSTRA GÖTALANDS LÄN</t>
        </is>
      </c>
      <c r="G159" t="inlineStr">
        <is>
          <t>KARLSBORG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45565</v>
      </c>
      <c r="E160" s="1" t="n">
        <v>46248</v>
      </c>
      <c r="F160" t="inlineStr">
        <is>
          <t>VÄSTRA GÖTALANDS LÄN</t>
        </is>
      </c>
      <c r="G160" t="inlineStr">
        <is>
          <t>KARLSBORG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45716</v>
      </c>
      <c r="E161" s="1" t="n">
        <v>46248</v>
      </c>
      <c r="F161" t="inlineStr">
        <is>
          <t>VÄSTRA GÖTALANDS LÄN</t>
        </is>
      </c>
      <c r="G161" t="inlineStr">
        <is>
          <t>KARLSBORG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61559-2023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45265</v>
      </c>
      <c r="E162" s="1" t="n">
        <v>46248</v>
      </c>
      <c r="F162" t="inlineStr">
        <is>
          <t>VÄSTRA GÖTALANDS LÄN</t>
        </is>
      </c>
      <c r="G162" t="inlineStr">
        <is>
          <t>KARLSBORG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40128-2023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45169</v>
      </c>
      <c r="E163" s="1" t="n">
        <v>46248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Aktiebolag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35930-2025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45862</v>
      </c>
      <c r="E164" s="1" t="n">
        <v>46248</v>
      </c>
      <c r="F164" t="inlineStr">
        <is>
          <t>VÄSTRA GÖTALANDS LÄN</t>
        </is>
      </c>
      <c r="G164" t="inlineStr">
        <is>
          <t>KARLSBORG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46143</v>
      </c>
      <c r="E165" s="1" t="n">
        <v>46248</v>
      </c>
      <c r="F165" t="inlineStr">
        <is>
          <t>VÄSTRA GÖTALANDS LÄN</t>
        </is>
      </c>
      <c r="G165" t="inlineStr">
        <is>
          <t>KARLSBORG</t>
        </is>
      </c>
      <c r="I165" t="n">
        <v>14.6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20940-2026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46142</v>
      </c>
      <c r="E166" s="1" t="n">
        <v>46248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42724-2024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45566</v>
      </c>
      <c r="E167" s="1" t="n">
        <v>46248</v>
      </c>
      <c r="F167" t="inlineStr">
        <is>
          <t>VÄSTRA GÖTALANDS LÄN</t>
        </is>
      </c>
      <c r="G167" t="inlineStr">
        <is>
          <t>KARLSBORG</t>
        </is>
      </c>
      <c r="I167" t="n">
        <v>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44664</v>
      </c>
      <c r="E168" s="1" t="n">
        <v>46248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Övriga Aktiebolag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20564-2024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45436</v>
      </c>
      <c r="E169" s="1" t="n">
        <v>46248</v>
      </c>
      <c r="F169" t="inlineStr">
        <is>
          <t>VÄSTRA GÖTALANDS LÄN</t>
        </is>
      </c>
      <c r="G169" t="inlineStr">
        <is>
          <t>KARLSBORG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45883</v>
      </c>
      <c r="E170" s="1" t="n">
        <v>46248</v>
      </c>
      <c r="F170" t="inlineStr">
        <is>
          <t>VÄSTRA GÖTALANDS LÄN</t>
        </is>
      </c>
      <c r="G170" t="inlineStr">
        <is>
          <t>KARLSBORG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21988-2026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46248</v>
      </c>
      <c r="F171" t="inlineStr">
        <is>
          <t>VÄSTRA GÖTALANDS LÄN</t>
        </is>
      </c>
      <c r="G171" t="inlineStr">
        <is>
          <t>KARLSBORG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53898-2021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44469</v>
      </c>
      <c r="E172" s="1" t="n">
        <v>46248</v>
      </c>
      <c r="F172" t="inlineStr">
        <is>
          <t>VÄSTRA GÖTALANDS LÄN</t>
        </is>
      </c>
      <c r="G172" t="inlineStr">
        <is>
          <t>KARLSBORG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45908</v>
      </c>
      <c r="E173" s="1" t="n">
        <v>46248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Kyrkan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45224-2021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46248</v>
      </c>
      <c r="F174" t="inlineStr">
        <is>
          <t>VÄSTRA GÖTALANDS LÄN</t>
        </is>
      </c>
      <c r="G174" t="inlineStr">
        <is>
          <t>KARLSBORG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45617</v>
      </c>
      <c r="E175" s="1" t="n">
        <v>46248</v>
      </c>
      <c r="F175" t="inlineStr">
        <is>
          <t>VÄSTRA GÖTALANDS LÄN</t>
        </is>
      </c>
      <c r="G175" t="inlineStr">
        <is>
          <t>KARLSBORG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22435-2025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46248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45789</v>
      </c>
      <c r="E177" s="1" t="n">
        <v>46248</v>
      </c>
      <c r="F177" t="inlineStr">
        <is>
          <t>VÄSTRA GÖTALANDS LÄN</t>
        </is>
      </c>
      <c r="G177" t="inlineStr">
        <is>
          <t>KARLSBORG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39699-2025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45890</v>
      </c>
      <c r="E178" s="1" t="n">
        <v>46248</v>
      </c>
      <c r="F178" t="inlineStr">
        <is>
          <t>VÄSTRA GÖTALANDS LÄN</t>
        </is>
      </c>
      <c r="G178" t="inlineStr">
        <is>
          <t>KARLSBORG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10667-2025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45721</v>
      </c>
      <c r="E179" s="1" t="n">
        <v>46248</v>
      </c>
      <c r="F179" t="inlineStr">
        <is>
          <t>VÄSTRA GÖTALANDS LÄN</t>
        </is>
      </c>
      <c r="G179" t="inlineStr">
        <is>
          <t>KARLSBORG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46160</v>
      </c>
      <c r="E180" s="1" t="n">
        <v>46248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22890-2026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46160</v>
      </c>
      <c r="E181" s="1" t="n">
        <v>46248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44366-2025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46248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Kyrkan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45247-2025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46248</v>
      </c>
      <c r="F183" t="inlineStr">
        <is>
          <t>VÄSTRA GÖTALANDS LÄN</t>
        </is>
      </c>
      <c r="G183" t="inlineStr">
        <is>
          <t>KARLSBORG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45919</v>
      </c>
      <c r="E184" s="1" t="n">
        <v>46248</v>
      </c>
      <c r="F184" t="inlineStr">
        <is>
          <t>VÄSTRA GÖTALANDS LÄN</t>
        </is>
      </c>
      <c r="G184" t="inlineStr">
        <is>
          <t>KARLSBORG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57727-2024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45630</v>
      </c>
      <c r="E185" s="1" t="n">
        <v>46248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Övriga Aktiebolag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45527</v>
      </c>
      <c r="E186" s="1" t="n">
        <v>46248</v>
      </c>
      <c r="F186" t="inlineStr">
        <is>
          <t>VÄSTRA GÖTALANDS LÄN</t>
        </is>
      </c>
      <c r="G186" t="inlineStr">
        <is>
          <t>KARLSBORG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46248</v>
      </c>
      <c r="F187" t="inlineStr">
        <is>
          <t>VÄSTRA GÖTALANDS LÄN</t>
        </is>
      </c>
      <c r="G187" t="inlineStr">
        <is>
          <t>KARLSBORG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47265-2025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46248</v>
      </c>
      <c r="F188" t="inlineStr">
        <is>
          <t>VÄSTRA GÖTALANDS LÄN</t>
        </is>
      </c>
      <c r="G188" t="inlineStr">
        <is>
          <t>KARLSBORG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47262-2025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46248</v>
      </c>
      <c r="F189" t="inlineStr">
        <is>
          <t>VÄSTRA GÖTALANDS LÄN</t>
        </is>
      </c>
      <c r="G189" t="inlineStr">
        <is>
          <t>KARLSBORG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46206</v>
      </c>
      <c r="E190" s="1" t="n">
        <v>46248</v>
      </c>
      <c r="F190" t="inlineStr">
        <is>
          <t>VÄSTRA GÖTALANDS LÄN</t>
        </is>
      </c>
      <c r="G190" t="inlineStr">
        <is>
          <t>KARLSBORG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45933</v>
      </c>
      <c r="E191" s="1" t="n">
        <v>46248</v>
      </c>
      <c r="F191" t="inlineStr">
        <is>
          <t>VÄSTRA GÖTALANDS LÄN</t>
        </is>
      </c>
      <c r="G191" t="inlineStr">
        <is>
          <t>KARLSBORG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30610-2026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46210</v>
      </c>
      <c r="E192" s="1" t="n">
        <v>46248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49985-2025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45942</v>
      </c>
      <c r="E193" s="1" t="n">
        <v>46248</v>
      </c>
      <c r="F193" t="inlineStr">
        <is>
          <t>VÄSTRA GÖTALANDS LÄN</t>
        </is>
      </c>
      <c r="G193" t="inlineStr">
        <is>
          <t>KARLSBORG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30609-2026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46210</v>
      </c>
      <c r="E194" s="1" t="n">
        <v>46248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45940</v>
      </c>
      <c r="E195" s="1" t="n">
        <v>46248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24541-2026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46170</v>
      </c>
      <c r="E196" s="1" t="n">
        <v>46248</v>
      </c>
      <c r="F196" t="inlineStr">
        <is>
          <t>VÄSTRA GÖTALANDS LÄN</t>
        </is>
      </c>
      <c r="G196" t="inlineStr">
        <is>
          <t>KARLSBORG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46248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46171</v>
      </c>
      <c r="E198" s="1" t="n">
        <v>46248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25977-2026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46181</v>
      </c>
      <c r="E199" s="1" t="n">
        <v>46248</v>
      </c>
      <c r="F199" t="inlineStr">
        <is>
          <t>VÄSTRA GÖTALANDS LÄN</t>
        </is>
      </c>
      <c r="G199" t="inlineStr">
        <is>
          <t>KARLSBORG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46248</v>
      </c>
      <c r="F200" t="inlineStr">
        <is>
          <t>VÄSTRA GÖTALANDS LÄN</t>
        </is>
      </c>
      <c r="G200" t="inlineStr">
        <is>
          <t>KARLSBORG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27332-2026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46188</v>
      </c>
      <c r="E201" s="1" t="n">
        <v>46248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12.6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27349-2026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46188</v>
      </c>
      <c r="E202" s="1" t="n">
        <v>46248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46230</v>
      </c>
      <c r="E203" s="1" t="n">
        <v>46248</v>
      </c>
      <c r="F203" t="inlineStr">
        <is>
          <t>VÄSTRA GÖTALANDS LÄN</t>
        </is>
      </c>
      <c r="G203" t="inlineStr">
        <is>
          <t>KARLSBORG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46248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46248</v>
      </c>
      <c r="F205" t="inlineStr">
        <is>
          <t>VÄSTRA GÖTALANDS LÄN</t>
        </is>
      </c>
      <c r="G205" t="inlineStr">
        <is>
          <t>KARLSBORG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46248</v>
      </c>
      <c r="F206" t="inlineStr">
        <is>
          <t>VÄSTRA GÖTALANDS LÄN</t>
        </is>
      </c>
      <c r="G206" t="inlineStr">
        <is>
          <t>KARLSBORG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46248</v>
      </c>
      <c r="F207" t="inlineStr">
        <is>
          <t>VÄSTRA GÖTALANDS LÄN</t>
        </is>
      </c>
      <c r="G207" t="inlineStr">
        <is>
          <t>KARLSBORG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59697-2025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45992</v>
      </c>
      <c r="E208" s="1" t="n">
        <v>46248</v>
      </c>
      <c r="F208" t="inlineStr">
        <is>
          <t>VÄSTRA GÖTALANDS LÄN</t>
        </is>
      </c>
      <c r="G208" t="inlineStr">
        <is>
          <t>KARLSBORG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62068-2025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46006</v>
      </c>
      <c r="E209" s="1" t="n">
        <v>46248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62072-2025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46006</v>
      </c>
      <c r="E210" s="1" t="n">
        <v>46248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64011-2025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46021</v>
      </c>
      <c r="E211" s="1" t="n">
        <v>46248</v>
      </c>
      <c r="F211" t="inlineStr">
        <is>
          <t>VÄSTRA GÖTALANDS LÄN</t>
        </is>
      </c>
      <c r="G211" t="inlineStr">
        <is>
          <t>KARLSBORG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64012-2025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46021</v>
      </c>
      <c r="E212" s="1" t="n">
        <v>46248</v>
      </c>
      <c r="F212" t="inlineStr">
        <is>
          <t>VÄSTRA GÖTALANDS LÄN</t>
        </is>
      </c>
      <c r="G212" t="inlineStr">
        <is>
          <t>KARLSBORG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64025-2025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46021</v>
      </c>
      <c r="E213" s="1" t="n">
        <v>46248</v>
      </c>
      <c r="F213" t="inlineStr">
        <is>
          <t>VÄSTRA GÖTALANDS LÄN</t>
        </is>
      </c>
      <c r="G213" t="inlineStr">
        <is>
          <t>KARLSBORG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46045</v>
      </c>
      <c r="E214" s="1" t="n">
        <v>46248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46045</v>
      </c>
      <c r="E215" s="1" t="n">
        <v>46248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Aktiebolag</t>
        </is>
      </c>
      <c r="I215" t="n">
        <v>14.3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46045</v>
      </c>
      <c r="E216" s="1" t="n">
        <v>46248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Övriga Aktiebolag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46052</v>
      </c>
      <c r="E217" s="1" t="n">
        <v>46248</v>
      </c>
      <c r="F217" t="inlineStr">
        <is>
          <t>VÄSTRA GÖTALANDS LÄN</t>
        </is>
      </c>
      <c r="G217" t="inlineStr">
        <is>
          <t>KARLSBORG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46055</v>
      </c>
      <c r="E218" s="1" t="n">
        <v>46248</v>
      </c>
      <c r="F218" t="inlineStr">
        <is>
          <t>VÄSTRA GÖTALANDS LÄN</t>
        </is>
      </c>
      <c r="G218" t="inlineStr">
        <is>
          <t>KARLSBORG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63732-2025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46248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Övriga statliga verk och myndigheter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63731-2025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46010</v>
      </c>
      <c r="E220" s="1" t="n">
        <v>46248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Övriga statliga verk och myndigheter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46010</v>
      </c>
      <c r="E221" s="1" t="n">
        <v>46248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statliga verk och myndigheter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46248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Övriga statliga verk och myndigheter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7644-2026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46248</v>
      </c>
      <c r="F223" t="inlineStr">
        <is>
          <t>VÄSTRA GÖTALANDS LÄN</t>
        </is>
      </c>
      <c r="G223" t="inlineStr">
        <is>
          <t>KARLSBORG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46069</v>
      </c>
      <c r="E224" s="1" t="n">
        <v>46248</v>
      </c>
      <c r="F224" t="inlineStr">
        <is>
          <t>VÄSTRA GÖTALANDS LÄN</t>
        </is>
      </c>
      <c r="G224" t="inlineStr">
        <is>
          <t>KARLSBORG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10907-2026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46079</v>
      </c>
      <c r="E225" s="1" t="n">
        <v>46248</v>
      </c>
      <c r="F225" t="inlineStr">
        <is>
          <t>VÄSTRA GÖTALANDS LÄN</t>
        </is>
      </c>
      <c r="G225" t="inlineStr">
        <is>
          <t>KARLSBORG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46248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Sveaskog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18518-2026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46127</v>
      </c>
      <c r="E227" s="1" t="n">
        <v>46248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46127</v>
      </c>
      <c r="E228" s="1" t="n">
        <v>46248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Sveaskog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46248</v>
      </c>
      <c r="F229" t="inlineStr">
        <is>
          <t>VÄSTRA GÖTALANDS LÄN</t>
        </is>
      </c>
      <c r="G229" t="inlineStr">
        <is>
          <t>KARLSBORG</t>
        </is>
      </c>
      <c r="H229" t="inlineStr">
        <is>
          <t>Övriga Aktiebolag</t>
        </is>
      </c>
      <c r="I229" t="n">
        <v>10.2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45755</v>
      </c>
      <c r="E230" s="1" t="n">
        <v>46248</v>
      </c>
      <c r="F230" t="inlineStr">
        <is>
          <t>VÄSTRA GÖTALANDS LÄN</t>
        </is>
      </c>
      <c r="G230" t="inlineStr">
        <is>
          <t>KARLSBORG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46248</v>
      </c>
      <c r="F231" t="inlineStr">
        <is>
          <t>VÄSTRA GÖTALANDS LÄN</t>
        </is>
      </c>
      <c r="G231" t="inlineStr">
        <is>
          <t>KARLSBORG</t>
        </is>
      </c>
      <c r="H231" t="inlineStr">
        <is>
          <t>Sveaskog</t>
        </is>
      </c>
      <c r="I231" t="n">
        <v>9.4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2395-2024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45468</v>
      </c>
      <c r="E232" s="1" t="n">
        <v>46248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Sveaskog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343-2026</t>
        </is>
      </c>
      <c r="B233" t="inlineStr">
        <is>
          <t>samrådsanmälan</t>
        </is>
      </c>
      <c r="C233" t="inlineStr">
        <is>
          <t>Skogsgödsling</t>
        </is>
      </c>
      <c r="D233" s="1" t="n">
        <v>46059</v>
      </c>
      <c r="E233" s="1" t="n">
        <v>46248</v>
      </c>
      <c r="F233" t="inlineStr">
        <is>
          <t>VÄSTRA GÖTALANDS LÄN</t>
        </is>
      </c>
      <c r="G233" t="inlineStr">
        <is>
          <t>KARLSBORG</t>
        </is>
      </c>
      <c r="I233" t="n">
        <v>25.7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2026-08-14T01:52:49Z</dcterms:created>
  <dcterms:modified xmlns:dcterms="http://purl.org/dc/terms/" xmlns:xsi="http://www.w3.org/2001/XMLSchema-instance" xsi:type="dcterms:W3CDTF">2026-08-14T01:52:49Z</dcterms:modified>
</cp:coreProperties>
</file>