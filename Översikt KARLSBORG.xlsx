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46231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46231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46231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Talltita
Älg
Mindre märgborre
Vågbandad barkbock
Tjäder</t>
        </is>
      </c>
      <c r="W6">
        <f>HYPERLINK("https://klasma.github.io/Logging_1446/artfynd/A 22877-2026 artfynd.xlsx", "A 22877-2026")</f>
        <v/>
      </c>
      <c r="X6">
        <f>HYPERLINK("https://klasma.github.io/Logging_1446/kartor/A 22877-2026 karta.png", "A 22877-2026")</f>
        <v/>
      </c>
      <c r="Y6">
        <f>HYPERLINK("https://klasma.github.io/Logging_1446/kartor_geotiff/A 22877-2026 georefererad karta.tif", "A 22877-2026")</f>
        <v/>
      </c>
      <c r="AA6">
        <f>HYPERLINK("https://klasma.github.io/Logging_1446/klagomål/A 22877-2026 FSC-klagomål.docx", "A 22877-2026")</f>
        <v/>
      </c>
      <c r="AB6">
        <f>HYPERLINK("https://klasma.github.io/Logging_1446/klagomålsmail/A 22877-2026 FSC-klagomål mail.docx", "A 22877-2026")</f>
        <v/>
      </c>
      <c r="AC6">
        <f>HYPERLINK("https://klasma.github.io/Logging_1446/tillsyn/A 22877-2026 tillsynsbegäran.docx", "A 22877-2026")</f>
        <v/>
      </c>
      <c r="AD6">
        <f>HYPERLINK("https://klasma.github.io/Logging_1446/tillsynsmail/A 22877-2026 tillsynsbegäran mail.docx", "A 22877-2026")</f>
        <v/>
      </c>
      <c r="AE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46231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46231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46231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46231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46231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46231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46231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46231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46231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46231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Dropptaggsvamp
Tallfingersvamp</t>
        </is>
      </c>
      <c r="W16">
        <f>HYPERLINK("https://klasma.github.io/Logging_1446/artfynd/A 43626-2023 artfynd.xlsx", "A 43626-2023")</f>
        <v/>
      </c>
      <c r="X16">
        <f>HYPERLINK("https://klasma.github.io/Logging_1446/kartor/A 43626-2023 karta.png", "A 43626-2023")</f>
        <v/>
      </c>
      <c r="Y16">
        <f>HYPERLINK("https://klasma.github.io/Logging_1446/kartor_geotiff/A 43626-2023 georefererad karta.tif", "A 43626-2023")</f>
        <v/>
      </c>
      <c r="AA16">
        <f>HYPERLINK("https://klasma.github.io/Logging_1446/klagomål/A 43626-2023 FSC-klagomål.docx", "A 43626-2023")</f>
        <v/>
      </c>
      <c r="AB16">
        <f>HYPERLINK("https://klasma.github.io/Logging_1446/klagomålsmail/A 43626-2023 FSC-klagomål mail.docx", "A 43626-2023")</f>
        <v/>
      </c>
      <c r="AC16">
        <f>HYPERLINK("https://klasma.github.io/Logging_1446/tillsyn/A 43626-2023 tillsynsbegäran.docx", "A 43626-2023")</f>
        <v/>
      </c>
      <c r="AD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4448-2026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46045</v>
      </c>
      <c r="E18" s="1" t="n">
        <v>46231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Övriga Aktiebolag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HYPERLINK("https://klasma.github.io/Logging_1446/artfynd/A 4448-2026 artfynd.xlsx", "A 4448-2026")</f>
        <v/>
      </c>
      <c r="X18">
        <f>HYPERLINK("https://klasma.github.io/Logging_1446/kartor/A 4448-2026 karta.png", "A 4448-2026")</f>
        <v/>
      </c>
      <c r="Y18">
        <f>HYPERLINK("https://klasma.github.io/Logging_1446/kartor_geotiff/A 4448-2026 georefererad karta.tif", "A 4448-2026")</f>
        <v/>
      </c>
      <c r="AA18">
        <f>HYPERLINK("https://klasma.github.io/Logging_1446/klagomål/A 4448-2026 FSC-klagomål.docx", "A 4448-2026")</f>
        <v/>
      </c>
      <c r="AB18">
        <f>HYPERLINK("https://klasma.github.io/Logging_1446/klagomålsmail/A 4448-2026 FSC-klagomål mail.docx", "A 4448-2026")</f>
        <v/>
      </c>
      <c r="AC18">
        <f>HYPERLINK("https://klasma.github.io/Logging_1446/tillsyn/A 4448-2026 tillsynsbegäran.docx", "A 4448-2026")</f>
        <v/>
      </c>
      <c r="AD18">
        <f>HYPERLINK("https://klasma.github.io/Logging_1446/tillsynsmail/A 4448-2026 tillsynsbegäran mail.docx", "A 4448-2026")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46231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46231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46231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46231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46231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8984-2025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46231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HYPERLINK("https://klasma.github.io/Logging_1446/artfynd/A 8984-2025 artfynd.xlsx", "A 8984-2025")</f>
        <v/>
      </c>
      <c r="X24">
        <f>HYPERLINK("https://klasma.github.io/Logging_1446/kartor/A 8984-2025 karta.png", "A 8984-2025")</f>
        <v/>
      </c>
      <c r="Y24">
        <f>HYPERLINK("https://klasma.github.io/Logging_1446/kartor_geotiff/A 8984-2025 georefererad karta.tif", "A 8984-2025")</f>
        <v/>
      </c>
      <c r="AA24">
        <f>HYPERLINK("https://klasma.github.io/Logging_1446/klagomål/A 8984-2025 FSC-klagomål.docx", "A 8984-2025")</f>
        <v/>
      </c>
      <c r="AB24">
        <f>HYPERLINK("https://klasma.github.io/Logging_1446/klagomålsmail/A 8984-2025 FSC-klagomål mail.docx", "A 8984-2025")</f>
        <v/>
      </c>
      <c r="AC24">
        <f>HYPERLINK("https://klasma.github.io/Logging_1446/tillsyn/A 8984-2025 tillsynsbegäran.docx", "A 8984-2025")</f>
        <v/>
      </c>
      <c r="AD24">
        <f>HYPERLINK("https://klasma.github.io/Logging_1446/tillsynsmail/A 8984-2025 tillsynsbegäran mail.docx", "A 8984-2025")</f>
        <v/>
      </c>
      <c r="AE24">
        <f>HYPERLINK("https://klasma.github.io/Logging_1446/fåglar/A 8984-2025 prioriterade fågelarter.docx", "A 8984-2025")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46231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46231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9337-2025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45714</v>
      </c>
      <c r="E27" s="1" t="n">
        <v>46231</v>
      </c>
      <c r="F27" t="inlineStr">
        <is>
          <t>VÄSTRA GÖTALANDS LÄN</t>
        </is>
      </c>
      <c r="G27" t="inlineStr">
        <is>
          <t>KARLSBORG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HYPERLINK("https://klasma.github.io/Logging_1446/artfynd/A 9337-2025 artfynd.xlsx", "A 9337-2025")</f>
        <v/>
      </c>
      <c r="X27">
        <f>HYPERLINK("https://klasma.github.io/Logging_1446/kartor/A 9337-2025 karta.png", "A 9337-2025")</f>
        <v/>
      </c>
      <c r="Y27">
        <f>HYPERLINK("https://klasma.github.io/Logging_1446/kartor_geotiff/A 9337-2025 georefererad karta.tif", "A 9337-2025")</f>
        <v/>
      </c>
      <c r="AA27">
        <f>HYPERLINK("https://klasma.github.io/Logging_1446/klagomål/A 9337-2025 FSC-klagomål.docx", "A 9337-2025")</f>
        <v/>
      </c>
      <c r="AB27">
        <f>HYPERLINK("https://klasma.github.io/Logging_1446/klagomålsmail/A 9337-2025 FSC-klagomål mail.docx", "A 9337-2025")</f>
        <v/>
      </c>
      <c r="AC27">
        <f>HYPERLINK("https://klasma.github.io/Logging_1446/tillsyn/A 9337-2025 tillsynsbegäran.docx", "A 9337-2025")</f>
        <v/>
      </c>
      <c r="AD27">
        <f>HYPERLINK("https://klasma.github.io/Logging_1446/tillsynsmail/A 9337-2025 tillsynsbegäran mail.docx", "A 9337-2025")</f>
        <v/>
      </c>
    </row>
    <row r="28" ht="15" customHeight="1">
      <c r="A28" t="inlineStr">
        <is>
          <t>A 51531-2023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46231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Kommuner</t>
        </is>
      </c>
      <c r="I28" t="n">
        <v>11.2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HYPERLINK("https://klasma.github.io/Logging_1446/artfynd/A 51531-2023 artfynd.xlsx", "A 51531-2023")</f>
        <v/>
      </c>
      <c r="X28">
        <f>HYPERLINK("https://klasma.github.io/Logging_1446/kartor/A 51531-2023 karta.png", "A 51531-2023")</f>
        <v/>
      </c>
      <c r="Y28">
        <f>HYPERLINK("https://klasma.github.io/Logging_1446/kartor_geotiff/A 51531-2023 georefererad karta.tif", "A 51531-2023")</f>
        <v/>
      </c>
      <c r="AA28">
        <f>HYPERLINK("https://klasma.github.io/Logging_1446/klagomål/A 51531-2023 FSC-klagomål.docx", "A 51531-2023")</f>
        <v/>
      </c>
      <c r="AB28">
        <f>HYPERLINK("https://klasma.github.io/Logging_1446/klagomålsmail/A 51531-2023 FSC-klagomål mail.docx", "A 51531-2023")</f>
        <v/>
      </c>
      <c r="AC28">
        <f>HYPERLINK("https://klasma.github.io/Logging_1446/tillsyn/A 51531-2023 tillsynsbegäran.docx", "A 51531-2023")</f>
        <v/>
      </c>
      <c r="AD28">
        <f>HYPERLINK("https://klasma.github.io/Logging_1446/tillsynsmail/A 51531-2023 tillsynsbegäran mail.docx", "A 51531-2023")</f>
        <v/>
      </c>
    </row>
    <row r="29" ht="15" customHeight="1">
      <c r="A29" t="inlineStr">
        <is>
          <t>A 38103-2023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46231</v>
      </c>
      <c r="F29" t="inlineStr">
        <is>
          <t>VÄSTRA GÖTALANDS LÄN</t>
        </is>
      </c>
      <c r="G29" t="inlineStr">
        <is>
          <t>KARLSBORG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HYPERLINK("https://klasma.github.io/Logging_1446/artfynd/A 38103-2023 artfynd.xlsx", "A 38103-2023")</f>
        <v/>
      </c>
      <c r="X29">
        <f>HYPERLINK("https://klasma.github.io/Logging_1446/kartor/A 38103-2023 karta.png", "A 38103-2023")</f>
        <v/>
      </c>
      <c r="Y29">
        <f>HYPERLINK("https://klasma.github.io/Logging_1446/kartor_geotiff/A 38103-2023 georefererad karta.tif", "A 38103-2023")</f>
        <v/>
      </c>
      <c r="AA29">
        <f>HYPERLINK("https://klasma.github.io/Logging_1446/klagomål/A 38103-2023 FSC-klagomål.docx", "A 38103-2023")</f>
        <v/>
      </c>
      <c r="AB29">
        <f>HYPERLINK("https://klasma.github.io/Logging_1446/klagomålsmail/A 38103-2023 FSC-klagomål mail.docx", "A 38103-2023")</f>
        <v/>
      </c>
      <c r="AC29">
        <f>HYPERLINK("https://klasma.github.io/Logging_1446/tillsyn/A 38103-2023 tillsynsbegäran.docx", "A 38103-2023")</f>
        <v/>
      </c>
      <c r="AD29">
        <f>HYPERLINK("https://klasma.github.io/Logging_1446/tillsynsmail/A 38103-2023 tillsynsbegäran mail.docx", "A 38103-2023")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46231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46231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46231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46231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46231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46231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46231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46231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46231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46231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46231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46231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46231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46231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46231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46231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46231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25999-2023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46231</v>
      </c>
      <c r="F48" t="inlineStr">
        <is>
          <t>VÄSTRA GÖTALANDS LÄN</t>
        </is>
      </c>
      <c r="G48" t="inlineStr">
        <is>
          <t>KARLSBORG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45090</v>
      </c>
      <c r="E49" s="1" t="n">
        <v>46231</v>
      </c>
      <c r="F49" t="inlineStr">
        <is>
          <t>VÄSTRA GÖTALANDS LÄN</t>
        </is>
      </c>
      <c r="G49" t="inlineStr">
        <is>
          <t>KARLSBORG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46231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46231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43021-2021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46231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45231</v>
      </c>
      <c r="E53" s="1" t="n">
        <v>46231</v>
      </c>
      <c r="F53" t="inlineStr">
        <is>
          <t>VÄSTRA GÖTALANDS LÄN</t>
        </is>
      </c>
      <c r="G53" t="inlineStr">
        <is>
          <t>KARLSBORG</t>
        </is>
      </c>
      <c r="I53" t="n">
        <v>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46231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45251</v>
      </c>
      <c r="E55" s="1" t="n">
        <v>46231</v>
      </c>
      <c r="F55" t="inlineStr">
        <is>
          <t>VÄSTRA GÖTALANDS LÄN</t>
        </is>
      </c>
      <c r="G55" t="inlineStr">
        <is>
          <t>KARLSBORG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8053-2023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46231</v>
      </c>
      <c r="F56" t="inlineStr">
        <is>
          <t>VÄSTRA GÖTALANDS LÄN</t>
        </is>
      </c>
      <c r="G56" t="inlineStr">
        <is>
          <t>KARLSBORG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46231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29357-2024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45483</v>
      </c>
      <c r="E58" s="1" t="n">
        <v>46231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46231</v>
      </c>
      <c r="F59" t="inlineStr">
        <is>
          <t>VÄSTRA GÖTALANDS LÄN</t>
        </is>
      </c>
      <c r="G59" t="inlineStr">
        <is>
          <t>KARLSBORG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46231</v>
      </c>
      <c r="F60" t="inlineStr">
        <is>
          <t>VÄSTRA GÖTALANDS LÄN</t>
        </is>
      </c>
      <c r="G60" t="inlineStr">
        <is>
          <t>KARLSBORG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46231</v>
      </c>
      <c r="F61" t="inlineStr">
        <is>
          <t>VÄSTRA GÖTALANDS LÄN</t>
        </is>
      </c>
      <c r="G61" t="inlineStr">
        <is>
          <t>KARLSBORG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46231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46231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46231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58129-2024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45632</v>
      </c>
      <c r="E65" s="1" t="n">
        <v>46231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46231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44908</v>
      </c>
      <c r="E67" s="1" t="n">
        <v>46231</v>
      </c>
      <c r="F67" t="inlineStr">
        <is>
          <t>VÄSTRA GÖTALANDS LÄN</t>
        </is>
      </c>
      <c r="G67" t="inlineStr">
        <is>
          <t>KARLSBORG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46231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46231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46231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46231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46231</v>
      </c>
      <c r="F72" t="inlineStr">
        <is>
          <t>VÄSTRA GÖTALANDS LÄN</t>
        </is>
      </c>
      <c r="G72" t="inlineStr">
        <is>
          <t>KARLSBORG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45742</v>
      </c>
      <c r="E73" s="1" t="n">
        <v>46231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46055</v>
      </c>
      <c r="E74" s="1" t="n">
        <v>46231</v>
      </c>
      <c r="F74" t="inlineStr">
        <is>
          <t>VÄSTRA GÖTALANDS LÄN</t>
        </is>
      </c>
      <c r="G74" t="inlineStr">
        <is>
          <t>KARLSBORG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44595</v>
      </c>
      <c r="E75" s="1" t="n">
        <v>46231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46010</v>
      </c>
      <c r="E76" s="1" t="n">
        <v>46231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statliga verk och myndigheter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46010</v>
      </c>
      <c r="E77" s="1" t="n">
        <v>46231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statliga verk och myndigheter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46062</v>
      </c>
      <c r="E78" s="1" t="n">
        <v>46231</v>
      </c>
      <c r="F78" t="inlineStr">
        <is>
          <t>VÄSTRA GÖTALANDS LÄN</t>
        </is>
      </c>
      <c r="G78" t="inlineStr">
        <is>
          <t>KARLSBORG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46231</v>
      </c>
      <c r="F79" t="inlineStr">
        <is>
          <t>VÄSTRA GÖTALANDS LÄN</t>
        </is>
      </c>
      <c r="G79" t="inlineStr">
        <is>
          <t>KARLSBORG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31701-2025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45834</v>
      </c>
      <c r="E80" s="1" t="n">
        <v>46231</v>
      </c>
      <c r="F80" t="inlineStr">
        <is>
          <t>VÄSTRA GÖTALANDS LÄN</t>
        </is>
      </c>
      <c r="G80" t="inlineStr">
        <is>
          <t>KARLSBORG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46231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statliga verk och myndigheter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46231</v>
      </c>
      <c r="F82" t="inlineStr">
        <is>
          <t>VÄSTRA GÖTALANDS LÄN</t>
        </is>
      </c>
      <c r="G82" t="inlineStr">
        <is>
          <t>KARLSBORG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46231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statliga verk och myndigheter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46231</v>
      </c>
      <c r="F84" t="inlineStr">
        <is>
          <t>VÄSTRA GÖTALANDS LÄN</t>
        </is>
      </c>
      <c r="G84" t="inlineStr">
        <is>
          <t>KARLSBORG</t>
        </is>
      </c>
      <c r="I84" t="n">
        <v>8.9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46231</v>
      </c>
      <c r="F85" t="inlineStr">
        <is>
          <t>VÄSTRA GÖTALANDS LÄN</t>
        </is>
      </c>
      <c r="G85" t="inlineStr">
        <is>
          <t>KARLSBORG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32128-2025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45835</v>
      </c>
      <c r="E86" s="1" t="n">
        <v>46231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44937</v>
      </c>
      <c r="E87" s="1" t="n">
        <v>46231</v>
      </c>
      <c r="F87" t="inlineStr">
        <is>
          <t>VÄSTRA GÖTALANDS LÄN</t>
        </is>
      </c>
      <c r="G87" t="inlineStr">
        <is>
          <t>KARLSBORG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46231</v>
      </c>
      <c r="F88" t="inlineStr">
        <is>
          <t>VÄSTRA GÖTALANDS LÄN</t>
        </is>
      </c>
      <c r="G88" t="inlineStr">
        <is>
          <t>KARLSBORG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46069</v>
      </c>
      <c r="E89" s="1" t="n">
        <v>46231</v>
      </c>
      <c r="F89" t="inlineStr">
        <is>
          <t>VÄSTRA GÖTALANDS LÄN</t>
        </is>
      </c>
      <c r="G89" t="inlineStr">
        <is>
          <t>KARLSBORG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46231</v>
      </c>
      <c r="F90" t="inlineStr">
        <is>
          <t>VÄSTRA GÖTALANDS LÄN</t>
        </is>
      </c>
      <c r="G90" t="inlineStr">
        <is>
          <t>KARLSBORG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46079</v>
      </c>
      <c r="E91" s="1" t="n">
        <v>46231</v>
      </c>
      <c r="F91" t="inlineStr">
        <is>
          <t>VÄSTRA GÖTALANDS LÄN</t>
        </is>
      </c>
      <c r="G91" t="inlineStr">
        <is>
          <t>KARLSBORG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46231</v>
      </c>
      <c r="F92" t="inlineStr">
        <is>
          <t>VÄSTRA GÖTALANDS LÄN</t>
        </is>
      </c>
      <c r="G92" t="inlineStr">
        <is>
          <t>KARLSBORG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44906</v>
      </c>
      <c r="E93" s="1" t="n">
        <v>46231</v>
      </c>
      <c r="F93" t="inlineStr">
        <is>
          <t>VÄSTRA GÖTALANDS LÄN</t>
        </is>
      </c>
      <c r="G93" t="inlineStr">
        <is>
          <t>KARLSBORG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46231</v>
      </c>
      <c r="F94" t="inlineStr">
        <is>
          <t>VÄSTRA GÖTALANDS LÄN</t>
        </is>
      </c>
      <c r="G94" t="inlineStr">
        <is>
          <t>KARLSBORG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46231</v>
      </c>
      <c r="F95" t="inlineStr">
        <is>
          <t>VÄSTRA GÖTALANDS LÄN</t>
        </is>
      </c>
      <c r="G95" t="inlineStr">
        <is>
          <t>KARLSBORG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45862</v>
      </c>
      <c r="E96" s="1" t="n">
        <v>46231</v>
      </c>
      <c r="F96" t="inlineStr">
        <is>
          <t>VÄSTRA GÖTALANDS LÄN</t>
        </is>
      </c>
      <c r="G96" t="inlineStr">
        <is>
          <t>KARLSBORG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46231</v>
      </c>
      <c r="F97" t="inlineStr">
        <is>
          <t>VÄSTRA GÖTALANDS LÄN</t>
        </is>
      </c>
      <c r="G97" t="inlineStr">
        <is>
          <t>KARLSBORG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46231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46231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28460-2023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46231</v>
      </c>
      <c r="F100" t="inlineStr">
        <is>
          <t>VÄSTRA GÖTALANDS LÄN</t>
        </is>
      </c>
      <c r="G100" t="inlineStr">
        <is>
          <t>KARLSBORG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44929</v>
      </c>
      <c r="E101" s="1" t="n">
        <v>46231</v>
      </c>
      <c r="F101" t="inlineStr">
        <is>
          <t>VÄSTRA GÖTALANDS LÄN</t>
        </is>
      </c>
      <c r="G101" t="inlineStr">
        <is>
          <t>KARLSBORG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X101">
        <f>HYPERLINK("https://klasma.github.io/Logging_1446/kartor/A 412-2023 karta.png", "A 412-2023")</f>
        <v/>
      </c>
      <c r="Y101">
        <f>HYPERLINK("https://klasma.github.io/Logging_1446/kartor_geotiff/A 412-2023 georefererad karta.tif", "A 412-2023")</f>
        <v/>
      </c>
      <c r="AA101">
        <f>HYPERLINK("https://klasma.github.io/Logging_1446/klagomål/A 412-2023 FSC-klagomål.docx", "A 412-2023")</f>
        <v/>
      </c>
      <c r="AB101">
        <f>HYPERLINK("https://klasma.github.io/Logging_1446/klagomålsmail/A 412-2023 FSC-klagomål mail.docx", "A 412-2023")</f>
        <v/>
      </c>
      <c r="AC101">
        <f>HYPERLINK("https://klasma.github.io/Logging_1446/tillsyn/A 412-2023 tillsynsbegäran.docx", "A 412-2023")</f>
        <v/>
      </c>
      <c r="AD101">
        <f>HYPERLINK("https://klasma.github.io/Logging_1446/tillsynsmail/A 412-2023 tillsynsbegäran mail.docx", "A 412-2023")</f>
        <v/>
      </c>
    </row>
    <row r="102" ht="15" customHeight="1">
      <c r="A102" t="inlineStr">
        <is>
          <t>A 10828-2024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46231</v>
      </c>
      <c r="F102" t="inlineStr">
        <is>
          <t>VÄSTRA GÖTALANDS LÄN</t>
        </is>
      </c>
      <c r="G102" t="inlineStr">
        <is>
          <t>KARLSBORG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45614</v>
      </c>
      <c r="E103" s="1" t="n">
        <v>46231</v>
      </c>
      <c r="F103" t="inlineStr">
        <is>
          <t>VÄSTRA GÖTALANDS LÄN</t>
        </is>
      </c>
      <c r="G103" t="inlineStr">
        <is>
          <t>KARLSBORG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45899</v>
      </c>
      <c r="E104" s="1" t="n">
        <v>46231</v>
      </c>
      <c r="F104" t="inlineStr">
        <is>
          <t>VÄSTRA GÖTALANDS LÄN</t>
        </is>
      </c>
      <c r="G104" t="inlineStr">
        <is>
          <t>KARLSBORG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46231</v>
      </c>
      <c r="F105" t="inlineStr">
        <is>
          <t>VÄSTRA GÖTALANDS LÄN</t>
        </is>
      </c>
      <c r="G105" t="inlineStr">
        <is>
          <t>KARLSBORG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46231</v>
      </c>
      <c r="F106" t="inlineStr">
        <is>
          <t>VÄSTRA GÖTALANDS LÄN</t>
        </is>
      </c>
      <c r="G106" t="inlineStr">
        <is>
          <t>KARLSBORG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46231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Kyrkan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46231</v>
      </c>
      <c r="F108" t="inlineStr">
        <is>
          <t>VÄSTRA GÖTALANDS LÄN</t>
        </is>
      </c>
      <c r="G108" t="inlineStr">
        <is>
          <t>KARLSBORG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44755</v>
      </c>
      <c r="E109" s="1" t="n">
        <v>46231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44727</v>
      </c>
      <c r="E110" s="1" t="n">
        <v>46231</v>
      </c>
      <c r="F110" t="inlineStr">
        <is>
          <t>VÄSTRA GÖTALANDS LÄN</t>
        </is>
      </c>
      <c r="G110" t="inlineStr">
        <is>
          <t>KARLSBORG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18519-2026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46231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18541-2026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46231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18544-2026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46231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46231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46231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46231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46231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46231</v>
      </c>
      <c r="F118" t="inlineStr">
        <is>
          <t>VÄSTRA GÖTALANDS LÄN</t>
        </is>
      </c>
      <c r="G118" t="inlineStr">
        <is>
          <t>KARLSBORG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46231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Kyrkan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46231</v>
      </c>
      <c r="F120" t="inlineStr">
        <is>
          <t>VÄSTRA GÖTALANDS LÄN</t>
        </is>
      </c>
      <c r="G120" t="inlineStr">
        <is>
          <t>KARLSBORG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45933</v>
      </c>
      <c r="E121" s="1" t="n">
        <v>46231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46231</v>
      </c>
      <c r="F122" t="inlineStr">
        <is>
          <t>VÄSTRA GÖTALANDS LÄN</t>
        </is>
      </c>
      <c r="G122" t="inlineStr">
        <is>
          <t>KARLSBORG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46231</v>
      </c>
      <c r="F123" t="inlineStr">
        <is>
          <t>VÄSTRA GÖTALANDS LÄN</t>
        </is>
      </c>
      <c r="G123" t="inlineStr">
        <is>
          <t>KARLSBORG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46231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44785</v>
      </c>
      <c r="E125" s="1" t="n">
        <v>46231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46231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70945-2021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46231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46231</v>
      </c>
      <c r="F128" t="inlineStr">
        <is>
          <t>VÄSTRA GÖTALANDS LÄN</t>
        </is>
      </c>
      <c r="G128" t="inlineStr">
        <is>
          <t>KARLSBORG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46231</v>
      </c>
      <c r="F129" t="inlineStr">
        <is>
          <t>VÄSTRA GÖTALANDS LÄN</t>
        </is>
      </c>
      <c r="G129" t="inlineStr">
        <is>
          <t>KARLSBORG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46231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10.2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46231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46231</v>
      </c>
      <c r="F132" t="inlineStr">
        <is>
          <t>VÄSTRA GÖTALANDS LÄN</t>
        </is>
      </c>
      <c r="G132" t="inlineStr">
        <is>
          <t>KARLSBORG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45531</v>
      </c>
      <c r="E133" s="1" t="n">
        <v>46231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9.800000000000001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45566</v>
      </c>
      <c r="E134" s="1" t="n">
        <v>46231</v>
      </c>
      <c r="F134" t="inlineStr">
        <is>
          <t>VÄSTRA GÖTALANDS LÄN</t>
        </is>
      </c>
      <c r="G134" t="inlineStr">
        <is>
          <t>KARLSBORG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46142</v>
      </c>
      <c r="E135" s="1" t="n">
        <v>46231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20940-2026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46142</v>
      </c>
      <c r="E136" s="1" t="n">
        <v>46231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46143</v>
      </c>
      <c r="E137" s="1" t="n">
        <v>46231</v>
      </c>
      <c r="F137" t="inlineStr">
        <is>
          <t>VÄSTRA GÖTALANDS LÄN</t>
        </is>
      </c>
      <c r="G137" t="inlineStr">
        <is>
          <t>KARLSBORG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46231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46231</v>
      </c>
      <c r="F139" t="inlineStr">
        <is>
          <t>VÄSTRA GÖTALANDS LÄN</t>
        </is>
      </c>
      <c r="G139" t="inlineStr">
        <is>
          <t>KARLSBORG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46231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45394</v>
      </c>
      <c r="E141" s="1" t="n">
        <v>46231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45078</v>
      </c>
      <c r="E142" s="1" t="n">
        <v>46231</v>
      </c>
      <c r="F142" t="inlineStr">
        <is>
          <t>VÄSTRA GÖTALANDS LÄN</t>
        </is>
      </c>
      <c r="G142" t="inlineStr">
        <is>
          <t>KARLSBORG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70783-2021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44537</v>
      </c>
      <c r="E143" s="1" t="n">
        <v>46231</v>
      </c>
      <c r="F143" t="inlineStr">
        <is>
          <t>VÄSTRA GÖTALANDS LÄN</t>
        </is>
      </c>
      <c r="G143" t="inlineStr">
        <is>
          <t>KARLSBORG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46231</v>
      </c>
      <c r="F144" t="inlineStr">
        <is>
          <t>VÄSTRA GÖTALANDS LÄN</t>
        </is>
      </c>
      <c r="G144" t="inlineStr">
        <is>
          <t>KARLSBORG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46231</v>
      </c>
      <c r="F145" t="inlineStr">
        <is>
          <t>VÄSTRA GÖTALANDS LÄN</t>
        </is>
      </c>
      <c r="G145" t="inlineStr">
        <is>
          <t>KARLSBORG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46231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46231</v>
      </c>
      <c r="F147" t="inlineStr">
        <is>
          <t>VÄSTRA GÖTALANDS LÄN</t>
        </is>
      </c>
      <c r="G147" t="inlineStr">
        <is>
          <t>KARLSBORG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46231</v>
      </c>
      <c r="F148" t="inlineStr">
        <is>
          <t>VÄSTRA GÖTALANDS LÄN</t>
        </is>
      </c>
      <c r="G148" t="inlineStr">
        <is>
          <t>KARLSBORG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45942</v>
      </c>
      <c r="E149" s="1" t="n">
        <v>46231</v>
      </c>
      <c r="F149" t="inlineStr">
        <is>
          <t>VÄSTRA GÖTALANDS LÄN</t>
        </is>
      </c>
      <c r="G149" t="inlineStr">
        <is>
          <t>KARLSBORG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46231</v>
      </c>
      <c r="F150" t="inlineStr">
        <is>
          <t>VÄSTRA GÖTALANDS LÄN</t>
        </is>
      </c>
      <c r="G150" t="inlineStr">
        <is>
          <t>KARLSBORG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46231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45524</v>
      </c>
      <c r="E152" s="1" t="n">
        <v>46231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45524</v>
      </c>
      <c r="E153" s="1" t="n">
        <v>46231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46231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46231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59887-2021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46231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statliga verk och myndigheter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46231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statliga verk och myndigheter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46231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46231</v>
      </c>
      <c r="F159" t="inlineStr">
        <is>
          <t>VÄSTRA GÖTALANDS LÄN</t>
        </is>
      </c>
      <c r="G159" t="inlineStr">
        <is>
          <t>KARLSBORG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46231</v>
      </c>
      <c r="F160" t="inlineStr">
        <is>
          <t>VÄSTRA GÖTALANDS LÄN</t>
        </is>
      </c>
      <c r="G160" t="inlineStr">
        <is>
          <t>KARLSBORG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46231</v>
      </c>
      <c r="F161" t="inlineStr">
        <is>
          <t>VÄSTRA GÖTALANDS LÄN</t>
        </is>
      </c>
      <c r="G161" t="inlineStr">
        <is>
          <t>KARLSBORG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46231</v>
      </c>
      <c r="F162" t="inlineStr">
        <is>
          <t>VÄSTRA GÖTALANDS LÄN</t>
        </is>
      </c>
      <c r="G162" t="inlineStr">
        <is>
          <t>KARLSBORG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46210</v>
      </c>
      <c r="E163" s="1" t="n">
        <v>46231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46231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57913-2024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45631</v>
      </c>
      <c r="E165" s="1" t="n">
        <v>46231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46231</v>
      </c>
      <c r="F166" t="inlineStr">
        <is>
          <t>VÄSTRA GÖTALANDS LÄN</t>
        </is>
      </c>
      <c r="G166" t="inlineStr">
        <is>
          <t>KARLSBORG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46231</v>
      </c>
      <c r="F167" t="inlineStr">
        <is>
          <t>VÄSTRA GÖTALANDS LÄN</t>
        </is>
      </c>
      <c r="G167" t="inlineStr">
        <is>
          <t>KARLSBORG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23500-2023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45076</v>
      </c>
      <c r="E168" s="1" t="n">
        <v>46231</v>
      </c>
      <c r="F168" t="inlineStr">
        <is>
          <t>VÄSTRA GÖTALANDS LÄN</t>
        </is>
      </c>
      <c r="G168" t="inlineStr">
        <is>
          <t>KARLSBORG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46231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46171</v>
      </c>
      <c r="E170" s="1" t="n">
        <v>46231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46231</v>
      </c>
      <c r="F171" t="inlineStr">
        <is>
          <t>VÄSTRA GÖTALANDS LÄN</t>
        </is>
      </c>
      <c r="G171" t="inlineStr">
        <is>
          <t>KARLSBORG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45233</v>
      </c>
      <c r="E172" s="1" t="n">
        <v>46231</v>
      </c>
      <c r="F172" t="inlineStr">
        <is>
          <t>VÄSTRA GÖTALANDS LÄN</t>
        </is>
      </c>
      <c r="G172" t="inlineStr">
        <is>
          <t>KARLSBORG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45218</v>
      </c>
      <c r="E173" s="1" t="n">
        <v>46231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46231</v>
      </c>
      <c r="F174" t="inlineStr">
        <is>
          <t>VÄSTRA GÖTALANDS LÄN</t>
        </is>
      </c>
      <c r="G174" t="inlineStr">
        <is>
          <t>KARLSBORG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46231</v>
      </c>
      <c r="F175" t="inlineStr">
        <is>
          <t>VÄSTRA GÖTALANDS LÄN</t>
        </is>
      </c>
      <c r="G175" t="inlineStr">
        <is>
          <t>KARLSBORG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46231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46231</v>
      </c>
      <c r="F177" t="inlineStr">
        <is>
          <t>VÄSTRA GÖTALANDS LÄN</t>
        </is>
      </c>
      <c r="G177" t="inlineStr">
        <is>
          <t>KARLSBORG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46231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46231</v>
      </c>
      <c r="F179" t="inlineStr">
        <is>
          <t>VÄSTRA GÖTALANDS LÄN</t>
        </is>
      </c>
      <c r="G179" t="inlineStr">
        <is>
          <t>KARLSBORG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46231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46188</v>
      </c>
      <c r="E181" s="1" t="n">
        <v>46231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46231</v>
      </c>
      <c r="F182" t="inlineStr">
        <is>
          <t>VÄSTRA GÖTALANDS LÄN</t>
        </is>
      </c>
      <c r="G182" t="inlineStr">
        <is>
          <t>KARLSBORG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46230</v>
      </c>
      <c r="E183" s="1" t="n">
        <v>46231</v>
      </c>
      <c r="F183" t="inlineStr">
        <is>
          <t>VÄSTRA GÖTALANDS LÄN</t>
        </is>
      </c>
      <c r="G183" t="inlineStr">
        <is>
          <t>KARLSBORG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46231</v>
      </c>
      <c r="F184" t="inlineStr">
        <is>
          <t>VÄSTRA GÖTALANDS LÄN</t>
        </is>
      </c>
      <c r="G184" t="inlineStr">
        <is>
          <t>KARLSBORG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46231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46231</v>
      </c>
      <c r="F186" t="inlineStr">
        <is>
          <t>VÄSTRA GÖTALANDS LÄN</t>
        </is>
      </c>
      <c r="G186" t="inlineStr">
        <is>
          <t>KARLSBORG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46231</v>
      </c>
      <c r="F187" t="inlineStr">
        <is>
          <t>VÄSTRA GÖTALANDS LÄN</t>
        </is>
      </c>
      <c r="G187" t="inlineStr">
        <is>
          <t>KARLSBORG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44809</v>
      </c>
      <c r="E188" s="1" t="n">
        <v>46231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46006</v>
      </c>
      <c r="E189" s="1" t="n">
        <v>46231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46006</v>
      </c>
      <c r="E190" s="1" t="n">
        <v>46231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46231</v>
      </c>
      <c r="F191" t="inlineStr">
        <is>
          <t>VÄSTRA GÖTALANDS LÄN</t>
        </is>
      </c>
      <c r="G191" t="inlineStr">
        <is>
          <t>KARLSBORG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46231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46231</v>
      </c>
      <c r="F193" t="inlineStr">
        <is>
          <t>VÄSTRA GÖTALANDS LÄN</t>
        </is>
      </c>
      <c r="G193" t="inlineStr">
        <is>
          <t>KARLSBORG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46231</v>
      </c>
      <c r="F194" t="inlineStr">
        <is>
          <t>VÄSTRA GÖTALANDS LÄN</t>
        </is>
      </c>
      <c r="G194" t="inlineStr">
        <is>
          <t>KARLSBORG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46021</v>
      </c>
      <c r="E195" s="1" t="n">
        <v>46231</v>
      </c>
      <c r="F195" t="inlineStr">
        <is>
          <t>VÄSTRA GÖTALANDS LÄN</t>
        </is>
      </c>
      <c r="G195" t="inlineStr">
        <is>
          <t>KARLSBORG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46231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46231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46231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44664</v>
      </c>
      <c r="E199" s="1" t="n">
        <v>46231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15396-2024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45401</v>
      </c>
      <c r="E200" s="1" t="n">
        <v>46231</v>
      </c>
      <c r="F200" t="inlineStr">
        <is>
          <t>VÄSTRA GÖTALANDS LÄN</t>
        </is>
      </c>
      <c r="G200" t="inlineStr">
        <is>
          <t>KARLSBORG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45489</v>
      </c>
      <c r="E201" s="1" t="n">
        <v>46231</v>
      </c>
      <c r="F201" t="inlineStr">
        <is>
          <t>VÄSTRA GÖTALANDS LÄN</t>
        </is>
      </c>
      <c r="G201" t="inlineStr">
        <is>
          <t>KARLSBORG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46231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statliga verk och myndigheter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45436</v>
      </c>
      <c r="E203" s="1" t="n">
        <v>46231</v>
      </c>
      <c r="F203" t="inlineStr">
        <is>
          <t>VÄSTRA GÖTALANDS LÄN</t>
        </is>
      </c>
      <c r="G203" t="inlineStr">
        <is>
          <t>KARLSBORG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46231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45089</v>
      </c>
      <c r="E205" s="1" t="n">
        <v>46231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46231</v>
      </c>
      <c r="F206" t="inlineStr">
        <is>
          <t>VÄSTRA GÖTALANDS LÄN</t>
        </is>
      </c>
      <c r="G206" t="inlineStr">
        <is>
          <t>KARLSBORG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44687</v>
      </c>
      <c r="E207" s="1" t="n">
        <v>46231</v>
      </c>
      <c r="F207" t="inlineStr">
        <is>
          <t>VÄSTRA GÖTALANDS LÄN</t>
        </is>
      </c>
      <c r="G207" t="inlineStr">
        <is>
          <t>KARLSBORG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59399-2022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44906</v>
      </c>
      <c r="E208" s="1" t="n">
        <v>46231</v>
      </c>
      <c r="F208" t="inlineStr">
        <is>
          <t>VÄSTRA GÖTALANDS LÄN</t>
        </is>
      </c>
      <c r="G208" t="inlineStr">
        <is>
          <t>KARLSBORG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46231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44972</v>
      </c>
      <c r="E210" s="1" t="n">
        <v>46231</v>
      </c>
      <c r="F210" t="inlineStr">
        <is>
          <t>VÄSTRA GÖTALANDS LÄN</t>
        </is>
      </c>
      <c r="G210" t="inlineStr">
        <is>
          <t>KARLSBORG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46231</v>
      </c>
      <c r="F211" t="inlineStr">
        <is>
          <t>VÄSTRA GÖTALANDS LÄN</t>
        </is>
      </c>
      <c r="G211" t="inlineStr">
        <is>
          <t>KARLSBORG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45166</v>
      </c>
      <c r="E212" s="1" t="n">
        <v>46231</v>
      </c>
      <c r="F212" t="inlineStr">
        <is>
          <t>VÄSTRA GÖTALANDS LÄN</t>
        </is>
      </c>
      <c r="G212" t="inlineStr">
        <is>
          <t>KARLSBORG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45394</v>
      </c>
      <c r="E213" s="1" t="n">
        <v>46231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44795</v>
      </c>
      <c r="E214" s="1" t="n">
        <v>46231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58127-2024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45632</v>
      </c>
      <c r="E215" s="1" t="n">
        <v>46231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46231</v>
      </c>
      <c r="F216" t="inlineStr">
        <is>
          <t>VÄSTRA GÖTALANDS LÄN</t>
        </is>
      </c>
      <c r="G216" t="inlineStr">
        <is>
          <t>KARLSBORG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44944</v>
      </c>
      <c r="E217" s="1" t="n">
        <v>46231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57454-2024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45630</v>
      </c>
      <c r="E218" s="1" t="n">
        <v>46231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45209</v>
      </c>
      <c r="E219" s="1" t="n">
        <v>46231</v>
      </c>
      <c r="F219" t="inlineStr">
        <is>
          <t>VÄSTRA GÖTALANDS LÄN</t>
        </is>
      </c>
      <c r="G219" t="inlineStr">
        <is>
          <t>KARLSBORG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46231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46231</v>
      </c>
      <c r="F221" t="inlineStr">
        <is>
          <t>VÄSTRA GÖTALANDS LÄN</t>
        </is>
      </c>
      <c r="G221" t="inlineStr">
        <is>
          <t>KARLSBORG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44428</v>
      </c>
      <c r="E222" s="1" t="n">
        <v>46231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Kyrkan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46231</v>
      </c>
      <c r="F223" t="inlineStr">
        <is>
          <t>VÄSTRA GÖTALANDS LÄN</t>
        </is>
      </c>
      <c r="G223" t="inlineStr">
        <is>
          <t>KARLSBORG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46231</v>
      </c>
      <c r="F224" t="inlineStr">
        <is>
          <t>VÄSTRA GÖTALANDS LÄN</t>
        </is>
      </c>
      <c r="G224" t="inlineStr">
        <is>
          <t>KARLSBORG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13252-2024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46231</v>
      </c>
      <c r="F225" t="inlineStr">
        <is>
          <t>VÄSTRA GÖTALANDS LÄN</t>
        </is>
      </c>
      <c r="G225" t="inlineStr">
        <is>
          <t>KARLSBORG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46231</v>
      </c>
      <c r="F226" t="inlineStr">
        <is>
          <t>VÄSTRA GÖTALANDS LÄN</t>
        </is>
      </c>
      <c r="G226" t="inlineStr">
        <is>
          <t>KARLSBORG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46231</v>
      </c>
      <c r="F227" t="inlineStr">
        <is>
          <t>VÄSTRA GÖTALANDS LÄN</t>
        </is>
      </c>
      <c r="G227" t="inlineStr">
        <is>
          <t>KARLSBORG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57915-2024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45631</v>
      </c>
      <c r="E228" s="1" t="n">
        <v>46231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46231</v>
      </c>
      <c r="F229" t="inlineStr">
        <is>
          <t>VÄSTRA GÖTALANDS LÄN</t>
        </is>
      </c>
      <c r="G229" t="inlineStr">
        <is>
          <t>KARLSBORG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45224-2021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46231</v>
      </c>
      <c r="F230" t="inlineStr">
        <is>
          <t>VÄSTRA GÖTALANDS LÄN</t>
        </is>
      </c>
      <c r="G230" t="inlineStr">
        <is>
          <t>KARLSBORG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46231</v>
      </c>
      <c r="F231" t="inlineStr">
        <is>
          <t>VÄSTRA GÖTALANDS LÄN</t>
        </is>
      </c>
      <c r="G231" t="inlineStr">
        <is>
          <t>KARLSBORG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46231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45789</v>
      </c>
      <c r="E233" s="1" t="n">
        <v>46231</v>
      </c>
      <c r="F233" t="inlineStr">
        <is>
          <t>VÄSTRA GÖTALANDS LÄN</t>
        </is>
      </c>
      <c r="G233" t="inlineStr">
        <is>
          <t>KARLSBORG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46231</v>
      </c>
      <c r="F234" t="inlineStr">
        <is>
          <t>VÄSTRA GÖTALANDS LÄN</t>
        </is>
      </c>
      <c r="G234" t="inlineStr">
        <is>
          <t>KARLSBORG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46231</v>
      </c>
      <c r="F235" t="inlineStr">
        <is>
          <t>VÄSTRA GÖTALANDS LÄN</t>
        </is>
      </c>
      <c r="G235" t="inlineStr">
        <is>
          <t>KARLSBORG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46231</v>
      </c>
      <c r="F236" t="inlineStr">
        <is>
          <t>VÄSTRA GÖTALANDS LÄN</t>
        </is>
      </c>
      <c r="G236" t="inlineStr">
        <is>
          <t>KARLSBORG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46231</v>
      </c>
      <c r="F237" t="inlineStr">
        <is>
          <t>VÄSTRA GÖTALANDS LÄN</t>
        </is>
      </c>
      <c r="G237" t="inlineStr">
        <is>
          <t>KARLSBORG</t>
        </is>
      </c>
      <c r="H237" t="inlineStr">
        <is>
          <t>Övriga Aktiebolag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46231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46231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2026-07-28T01:51:25Z</dcterms:created>
  <dcterms:modified xmlns:dcterms="http://purl.org/dc/terms/" xmlns:xsi="http://www.w3.org/2001/XMLSchema-instance" xsi:type="dcterms:W3CDTF">2026-07-28T01:51:25Z</dcterms:modified>
</cp:coreProperties>
</file>