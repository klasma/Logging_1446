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46297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46297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46297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46297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46297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46297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46297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46297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46297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46297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46297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4448-2026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46045</v>
      </c>
      <c r="E15" s="1" t="n">
        <v>46297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Övriga Aktiebolag</t>
        </is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HYPERLINK("https://klasma.github.io/Logging_1446/artfynd/A 4448-2026 artfynd.xlsx", "A 4448-2026")</f>
        <v/>
      </c>
      <c r="X15">
        <f>HYPERLINK("https://klasma.github.io/Logging_1446/kartor/A 4448-2026 karta.png", "A 4448-2026")</f>
        <v/>
      </c>
      <c r="Y15">
        <f>HYPERLINK("https://klasma.github.io/Logging_1446/kartor_geotiff/A 4448-2026 georefererad karta.tif", "A 4448-2026")</f>
        <v/>
      </c>
      <c r="AA15">
        <f>HYPERLINK("https://klasma.github.io/Logging_1446/klagomål/A 4448-2026 FSC-klagomål.docx", "A 4448-2026")</f>
        <v/>
      </c>
      <c r="AB15">
        <f>HYPERLINK("https://klasma.github.io/Logging_1446/klagomålsmail/A 4448-2026 FSC-klagomål mail.docx", "A 4448-2026")</f>
        <v/>
      </c>
      <c r="AC15">
        <f>HYPERLINK("https://klasma.github.io/Logging_1446/tillsyn/A 4448-2026 tillsynsbegäran.docx", "A 4448-2026")</f>
        <v/>
      </c>
      <c r="AD15">
        <f>HYPERLINK("https://klasma.github.io/Logging_1446/tillsynsmail/A 4448-2026 tillsynsbegäran mail.docx", "A 4448-2026")</f>
        <v/>
      </c>
    </row>
    <row r="16" ht="15" customHeight="1">
      <c r="A16" t="inlineStr">
        <is>
          <t>A 23268-2022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44720</v>
      </c>
      <c r="E16" s="1" t="n">
        <v>46297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snok</t>
        </is>
      </c>
      <c r="W16">
        <f>HYPERLINK("https://klasma.github.io/Logging_1446/artfynd/A 23268-2022 artfynd.xlsx", "A 23268-2022")</f>
        <v/>
      </c>
      <c r="X16">
        <f>HYPERLINK("https://klasma.github.io/Logging_1446/kartor/A 23268-2022 karta.png", "A 23268-2022")</f>
        <v/>
      </c>
      <c r="Y16">
        <f>HYPERLINK("https://klasma.github.io/Logging_1446/kartor_geotiff/A 23268-2022 georefererad karta.tif", "A 23268-2022")</f>
        <v/>
      </c>
      <c r="AA16">
        <f>HYPERLINK("https://klasma.github.io/Logging_1446/klagomål/A 23268-2022 FSC-klagomål.docx", "A 23268-2022")</f>
        <v/>
      </c>
      <c r="AB16">
        <f>HYPERLINK("https://klasma.github.io/Logging_1446/klagomålsmail/A 23268-2022 FSC-klagomål mail.docx", "A 23268-2022")</f>
        <v/>
      </c>
      <c r="AC16">
        <f>HYPERLINK("https://klasma.github.io/Logging_1446/tillsyn/A 23268-2022 tillsynsbegäran.docx", "A 23268-2022")</f>
        <v/>
      </c>
      <c r="AD16">
        <f>HYPERLINK("https://klasma.github.io/Logging_1446/tillsynsmail/A 23268-2022 tillsynsbegäran mail.docx", "A 23268-2022")</f>
        <v/>
      </c>
    </row>
    <row r="17" ht="15" customHeight="1">
      <c r="A17" t="inlineStr">
        <is>
          <t>A 18567-2026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46127</v>
      </c>
      <c r="E17" s="1" t="n">
        <v>46297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2.6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18567-2026 artfynd.xlsx", "A 18567-2026")</f>
        <v/>
      </c>
      <c r="X17">
        <f>HYPERLINK("https://klasma.github.io/Logging_1446/kartor/A 18567-2026 karta.png", "A 18567-2026")</f>
        <v/>
      </c>
      <c r="Y17">
        <f>HYPERLINK("https://klasma.github.io/Logging_1446/kartor_geotiff/A 18567-2026 georefererad karta.tif", "A 18567-2026")</f>
        <v/>
      </c>
      <c r="AA17">
        <f>HYPERLINK("https://klasma.github.io/Logging_1446/klagomål/A 18567-2026 FSC-klagomål.docx", "A 18567-2026")</f>
        <v/>
      </c>
      <c r="AB17">
        <f>HYPERLINK("https://klasma.github.io/Logging_1446/klagomålsmail/A 18567-2026 FSC-klagomål mail.docx", "A 18567-2026")</f>
        <v/>
      </c>
      <c r="AC17">
        <f>HYPERLINK("https://klasma.github.io/Logging_1446/tillsyn/A 18567-2026 tillsynsbegäran.docx", "A 18567-2026")</f>
        <v/>
      </c>
      <c r="AD17">
        <f>HYPERLINK("https://klasma.github.io/Logging_1446/tillsynsmail/A 18567-2026 tillsynsbegäran mail.docx", "A 18567-2026")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46297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46297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46297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46297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42778-2024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45566</v>
      </c>
      <c r="E22" s="1" t="n">
        <v>46297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HYPERLINK("https://klasma.github.io/Logging_1446/artfynd/A 42778-2024 artfynd.xlsx", "A 42778-2024")</f>
        <v/>
      </c>
      <c r="X22">
        <f>HYPERLINK("https://klasma.github.io/Logging_1446/kartor/A 42778-2024 karta.png", "A 42778-2024")</f>
        <v/>
      </c>
      <c r="Y22">
        <f>HYPERLINK("https://klasma.github.io/Logging_1446/kartor_geotiff/A 42778-2024 georefererad karta.tif", "A 42778-2024")</f>
        <v/>
      </c>
      <c r="AA22">
        <f>HYPERLINK("https://klasma.github.io/Logging_1446/klagomål/A 42778-2024 FSC-klagomål.docx", "A 42778-2024")</f>
        <v/>
      </c>
      <c r="AB22">
        <f>HYPERLINK("https://klasma.github.io/Logging_1446/klagomålsmail/A 42778-2024 FSC-klagomål mail.docx", "A 42778-2024")</f>
        <v/>
      </c>
      <c r="AC22">
        <f>HYPERLINK("https://klasma.github.io/Logging_1446/tillsyn/A 42778-2024 tillsynsbegäran.docx", "A 42778-2024")</f>
        <v/>
      </c>
      <c r="AD22">
        <f>HYPERLINK("https://klasma.github.io/Logging_1446/tillsynsmail/A 42778-2024 tillsynsbegäran mail.docx", "A 42778-2024")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46297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46297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46297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46297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46297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46297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46297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46297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46297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46297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46297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46297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46297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46297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46297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46297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46297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46297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55831-2021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46297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46297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46297</v>
      </c>
      <c r="F43" t="inlineStr">
        <is>
          <t>VÄSTRA GÖTALANDS LÄN</t>
        </is>
      </c>
      <c r="G43" t="inlineStr">
        <is>
          <t>KARLSBORG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46297</v>
      </c>
      <c r="F44" t="inlineStr">
        <is>
          <t>VÄSTRA GÖTALANDS LÄN</t>
        </is>
      </c>
      <c r="G44" t="inlineStr">
        <is>
          <t>KARLSBORG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14522-2024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45394</v>
      </c>
      <c r="E45" s="1" t="n">
        <v>46297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46297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53898-2023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46297</v>
      </c>
      <c r="F47" t="inlineStr">
        <is>
          <t>VÄSTRA GÖTALANDS LÄN</t>
        </is>
      </c>
      <c r="G47" t="inlineStr">
        <is>
          <t>KARLSBORG</t>
        </is>
      </c>
      <c r="I47" t="n">
        <v>9.5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46297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46297</v>
      </c>
      <c r="F49" t="inlineStr">
        <is>
          <t>VÄSTRA GÖTALANDS LÄN</t>
        </is>
      </c>
      <c r="G49" t="inlineStr">
        <is>
          <t>KARLSBORG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46297</v>
      </c>
      <c r="F50" t="inlineStr">
        <is>
          <t>VÄSTRA GÖTALANDS LÄN</t>
        </is>
      </c>
      <c r="G50" t="inlineStr">
        <is>
          <t>KARLSBORG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46297</v>
      </c>
      <c r="F51" t="inlineStr">
        <is>
          <t>VÄSTRA GÖTALANDS LÄN</t>
        </is>
      </c>
      <c r="G51" t="inlineStr">
        <is>
          <t>KARLSBORG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46297</v>
      </c>
      <c r="F52" t="inlineStr">
        <is>
          <t>VÄSTRA GÖTALANDS LÄN</t>
        </is>
      </c>
      <c r="G52" t="inlineStr">
        <is>
          <t>KARLSBORG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46297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46297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45721</v>
      </c>
      <c r="E55" s="1" t="n">
        <v>46297</v>
      </c>
      <c r="F55" t="inlineStr">
        <is>
          <t>VÄSTRA GÖTALANDS LÄN</t>
        </is>
      </c>
      <c r="G55" t="inlineStr">
        <is>
          <t>KARLSBORG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45680</v>
      </c>
      <c r="E56" s="1" t="n">
        <v>46297</v>
      </c>
      <c r="F56" t="inlineStr">
        <is>
          <t>VÄSTRA GÖTALANDS LÄN</t>
        </is>
      </c>
      <c r="G56" t="inlineStr">
        <is>
          <t>KARLSBORG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46297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45527</v>
      </c>
      <c r="E58" s="1" t="n">
        <v>46297</v>
      </c>
      <c r="F58" t="inlineStr">
        <is>
          <t>VÄSTRA GÖTALANDS LÄN</t>
        </is>
      </c>
      <c r="G58" t="inlineStr">
        <is>
          <t>KARLSBORG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57727-2024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45630</v>
      </c>
      <c r="E59" s="1" t="n">
        <v>46297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29357-2024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45483</v>
      </c>
      <c r="E60" s="1" t="n">
        <v>46297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46297</v>
      </c>
      <c r="F61" t="inlineStr">
        <is>
          <t>VÄSTRA GÖTALANDS LÄN</t>
        </is>
      </c>
      <c r="G61" t="inlineStr">
        <is>
          <t>KARLSBORG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46297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46297</v>
      </c>
      <c r="F63" t="inlineStr">
        <is>
          <t>VÄSTRA GÖTALANDS LÄN</t>
        </is>
      </c>
      <c r="G63" t="inlineStr">
        <is>
          <t>KARLSBORG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46297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46297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46297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14.3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65313-2021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46297</v>
      </c>
      <c r="F67" t="inlineStr">
        <is>
          <t>VÄSTRA GÖTALANDS LÄN</t>
        </is>
      </c>
      <c r="G67" t="inlineStr">
        <is>
          <t>KARLSBORG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46297</v>
      </c>
      <c r="F68" t="inlineStr">
        <is>
          <t>VÄSTRA GÖTALANDS LÄN</t>
        </is>
      </c>
      <c r="G68" t="inlineStr">
        <is>
          <t>KARLSBORG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45899</v>
      </c>
      <c r="E69" s="1" t="n">
        <v>46297</v>
      </c>
      <c r="F69" t="inlineStr">
        <is>
          <t>VÄSTRA GÖTALANDS LÄN</t>
        </is>
      </c>
      <c r="G69" t="inlineStr">
        <is>
          <t>KARLSBORG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46052</v>
      </c>
      <c r="E70" s="1" t="n">
        <v>46297</v>
      </c>
      <c r="F70" t="inlineStr">
        <is>
          <t>VÄSTRA GÖTALANDS LÄN</t>
        </is>
      </c>
      <c r="G70" t="inlineStr">
        <is>
          <t>KARLSBORG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46297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46055</v>
      </c>
      <c r="E72" s="1" t="n">
        <v>46297</v>
      </c>
      <c r="F72" t="inlineStr">
        <is>
          <t>VÄSTRA GÖTALANDS LÄN</t>
        </is>
      </c>
      <c r="G72" t="inlineStr">
        <is>
          <t>KARLSBORG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46297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Kyrkan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58129-2024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45632</v>
      </c>
      <c r="E74" s="1" t="n">
        <v>46297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46010</v>
      </c>
      <c r="E75" s="1" t="n">
        <v>46297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statliga verk och myndigheter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46010</v>
      </c>
      <c r="E76" s="1" t="n">
        <v>46297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statliga verk och myndigheter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46297</v>
      </c>
      <c r="F77" t="inlineStr">
        <is>
          <t>VÄSTRA GÖTALANDS LÄN</t>
        </is>
      </c>
      <c r="G77" t="inlineStr">
        <is>
          <t>KARLSBORG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46062</v>
      </c>
      <c r="E78" s="1" t="n">
        <v>46297</v>
      </c>
      <c r="F78" t="inlineStr">
        <is>
          <t>VÄSTRA GÖTALANDS LÄN</t>
        </is>
      </c>
      <c r="G78" t="inlineStr">
        <is>
          <t>KARLSBORG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46010</v>
      </c>
      <c r="E79" s="1" t="n">
        <v>46297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statliga verk och myndigheter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46010</v>
      </c>
      <c r="E80" s="1" t="n">
        <v>46297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statliga verk och myndigheter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46297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46297</v>
      </c>
      <c r="F82" t="inlineStr">
        <is>
          <t>VÄSTRA GÖTALANDS LÄN</t>
        </is>
      </c>
      <c r="G82" t="inlineStr">
        <is>
          <t>KARLSBORG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45247-2025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46297</v>
      </c>
      <c r="F83" t="inlineStr">
        <is>
          <t>VÄSTRA GÖTALANDS LÄN</t>
        </is>
      </c>
      <c r="G83" t="inlineStr">
        <is>
          <t>KARLSBORG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45256-2025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45919</v>
      </c>
      <c r="E84" s="1" t="n">
        <v>46297</v>
      </c>
      <c r="F84" t="inlineStr">
        <is>
          <t>VÄSTRA GÖTALANDS LÄN</t>
        </is>
      </c>
      <c r="G84" t="inlineStr">
        <is>
          <t>KARLSBORG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46069</v>
      </c>
      <c r="E85" s="1" t="n">
        <v>46297</v>
      </c>
      <c r="F85" t="inlineStr">
        <is>
          <t>VÄSTRA GÖTALANDS LÄN</t>
        </is>
      </c>
      <c r="G85" t="inlineStr">
        <is>
          <t>KARLSBORG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46297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46297</v>
      </c>
      <c r="F87" t="inlineStr">
        <is>
          <t>VÄSTRA GÖTALANDS LÄN</t>
        </is>
      </c>
      <c r="G87" t="inlineStr">
        <is>
          <t>KARLSBORG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46297</v>
      </c>
      <c r="F88" t="inlineStr">
        <is>
          <t>VÄSTRA GÖTALANDS LÄN</t>
        </is>
      </c>
      <c r="G88" t="inlineStr">
        <is>
          <t>KARLSBORG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46297</v>
      </c>
      <c r="F89" t="inlineStr">
        <is>
          <t>VÄSTRA GÖTALANDS LÄN</t>
        </is>
      </c>
      <c r="G89" t="inlineStr">
        <is>
          <t>KARLSBORG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46079</v>
      </c>
      <c r="E90" s="1" t="n">
        <v>46297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44595</v>
      </c>
      <c r="E91" s="1" t="n">
        <v>46297</v>
      </c>
      <c r="F91" t="inlineStr">
        <is>
          <t>VÄSTRA GÖTALANDS LÄN</t>
        </is>
      </c>
      <c r="G91" t="inlineStr">
        <is>
          <t>KARLSBORG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46297</v>
      </c>
      <c r="F92" t="inlineStr">
        <is>
          <t>VÄSTRA GÖTALANDS LÄN</t>
        </is>
      </c>
      <c r="G92" t="inlineStr">
        <is>
          <t>KARLSBORG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45566</v>
      </c>
      <c r="E93" s="1" t="n">
        <v>46297</v>
      </c>
      <c r="F93" t="inlineStr">
        <is>
          <t>VÄSTRA GÖTALANDS LÄN</t>
        </is>
      </c>
      <c r="G93" t="inlineStr">
        <is>
          <t>KARLSBORG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45565</v>
      </c>
      <c r="E94" s="1" t="n">
        <v>46297</v>
      </c>
      <c r="F94" t="inlineStr">
        <is>
          <t>VÄSTRA GÖTALANDS LÄN</t>
        </is>
      </c>
      <c r="G94" t="inlineStr">
        <is>
          <t>KARLSBORG</t>
        </is>
      </c>
      <c r="I94" t="n">
        <v>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46297</v>
      </c>
      <c r="F95" t="inlineStr">
        <is>
          <t>VÄSTRA GÖTALANDS LÄN</t>
        </is>
      </c>
      <c r="G95" t="inlineStr">
        <is>
          <t>KARLSBORG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46297</v>
      </c>
      <c r="F96" t="inlineStr">
        <is>
          <t>VÄSTRA GÖTALANDS LÄN</t>
        </is>
      </c>
      <c r="G96" t="inlineStr">
        <is>
          <t>KARLSBORG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44937</v>
      </c>
      <c r="E97" s="1" t="n">
        <v>46297</v>
      </c>
      <c r="F97" t="inlineStr">
        <is>
          <t>VÄSTRA GÖTALANDS LÄN</t>
        </is>
      </c>
      <c r="G97" t="inlineStr">
        <is>
          <t>KARLSBORG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45942</v>
      </c>
      <c r="E98" s="1" t="n">
        <v>46297</v>
      </c>
      <c r="F98" t="inlineStr">
        <is>
          <t>VÄSTRA GÖTALANDS LÄN</t>
        </is>
      </c>
      <c r="G98" t="inlineStr">
        <is>
          <t>KARLSBORG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45566</v>
      </c>
      <c r="E99" s="1" t="n">
        <v>46297</v>
      </c>
      <c r="F99" t="inlineStr">
        <is>
          <t>VÄSTRA GÖTALANDS LÄN</t>
        </is>
      </c>
      <c r="G99" t="inlineStr">
        <is>
          <t>KARLSBORG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46297</v>
      </c>
      <c r="F100" t="inlineStr">
        <is>
          <t>VÄSTRA GÖTALANDS LÄN</t>
        </is>
      </c>
      <c r="G100" t="inlineStr">
        <is>
          <t>KARLSBORG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46297</v>
      </c>
      <c r="F101" t="inlineStr">
        <is>
          <t>VÄSTRA GÖTALANDS LÄN</t>
        </is>
      </c>
      <c r="G101" t="inlineStr">
        <is>
          <t>KARLSBORG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44906</v>
      </c>
      <c r="E102" s="1" t="n">
        <v>46297</v>
      </c>
      <c r="F102" t="inlineStr">
        <is>
          <t>VÄSTRA GÖTALANDS LÄN</t>
        </is>
      </c>
      <c r="G102" t="inlineStr">
        <is>
          <t>KARLSBORG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46297</v>
      </c>
      <c r="F103" t="inlineStr">
        <is>
          <t>VÄSTRA GÖTALANDS LÄN</t>
        </is>
      </c>
      <c r="G103" t="inlineStr">
        <is>
          <t>KARLSBORG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46297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46297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44929</v>
      </c>
      <c r="E106" s="1" t="n">
        <v>46297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X106">
        <f>HYPERLINK("https://klasma.github.io/Logging_1446/kartor/A 412-2023 karta.png", "A 412-2023")</f>
        <v/>
      </c>
      <c r="Y106">
        <f>HYPERLINK("https://klasma.github.io/Logging_1446/kartor_geotiff/A 412-2023 georefererad karta.tif", "A 412-2023")</f>
        <v/>
      </c>
      <c r="AA106">
        <f>HYPERLINK("https://klasma.github.io/Logging_1446/klagomål/A 412-2023 FSC-klagomål.docx", "A 412-2023")</f>
        <v/>
      </c>
      <c r="AB106">
        <f>HYPERLINK("https://klasma.github.io/Logging_1446/klagomålsmail/A 412-2023 FSC-klagomål mail.docx", "A 412-2023")</f>
        <v/>
      </c>
      <c r="AC106">
        <f>HYPERLINK("https://klasma.github.io/Logging_1446/tillsyn/A 412-2023 tillsynsbegäran.docx", "A 412-2023")</f>
        <v/>
      </c>
      <c r="AD106">
        <f>HYPERLINK("https://klasma.github.io/Logging_1446/tillsynsmail/A 412-2023 tillsynsbegäran mail.docx", "A 412-2023")</f>
        <v/>
      </c>
    </row>
    <row r="107" ht="15" customHeight="1">
      <c r="A107" t="inlineStr">
        <is>
          <t>A 56110-2025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46297</v>
      </c>
      <c r="F107" t="inlineStr">
        <is>
          <t>VÄSTRA GÖTALANDS LÄN</t>
        </is>
      </c>
      <c r="G107" t="inlineStr">
        <is>
          <t>KARLSBORG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10828-2024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45369</v>
      </c>
      <c r="E108" s="1" t="n">
        <v>46297</v>
      </c>
      <c r="F108" t="inlineStr">
        <is>
          <t>VÄSTRA GÖTALANDS LÄN</t>
        </is>
      </c>
      <c r="G108" t="inlineStr">
        <is>
          <t>KARLSBORG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18564-2026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46127</v>
      </c>
      <c r="E109" s="1" t="n">
        <v>46297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46297</v>
      </c>
      <c r="F110" t="inlineStr">
        <is>
          <t>VÄSTRA GÖTALANDS LÄN</t>
        </is>
      </c>
      <c r="G110" t="inlineStr">
        <is>
          <t>KARLSBORG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45614</v>
      </c>
      <c r="E111" s="1" t="n">
        <v>46297</v>
      </c>
      <c r="F111" t="inlineStr">
        <is>
          <t>VÄSTRA GÖTALANDS LÄN</t>
        </is>
      </c>
      <c r="G111" t="inlineStr">
        <is>
          <t>KARLSBORG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46297</v>
      </c>
      <c r="F112" t="inlineStr">
        <is>
          <t>VÄSTRA GÖTALANDS LÄN</t>
        </is>
      </c>
      <c r="G112" t="inlineStr">
        <is>
          <t>KARLSBORG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46297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46297</v>
      </c>
      <c r="F114" t="inlineStr">
        <is>
          <t>VÄSTRA GÖTALANDS LÄN</t>
        </is>
      </c>
      <c r="G114" t="inlineStr">
        <is>
          <t>KARLSBORG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46297</v>
      </c>
      <c r="F115" t="inlineStr">
        <is>
          <t>VÄSTRA GÖTALANDS LÄN</t>
        </is>
      </c>
      <c r="G115" t="inlineStr">
        <is>
          <t>KARLSBORG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46297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46297</v>
      </c>
      <c r="F117" t="inlineStr">
        <is>
          <t>VÄSTRA GÖTALANDS LÄN</t>
        </is>
      </c>
      <c r="G117" t="inlineStr">
        <is>
          <t>KARLSBORG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46297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46297</v>
      </c>
      <c r="F119" t="inlineStr">
        <is>
          <t>VÄSTRA GÖTALANDS LÄN</t>
        </is>
      </c>
      <c r="G119" t="inlineStr">
        <is>
          <t>KARLSBORG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46297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46297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45453</v>
      </c>
      <c r="E122" s="1" t="n">
        <v>46297</v>
      </c>
      <c r="F122" t="inlineStr">
        <is>
          <t>VÄSTRA GÖTALANDS LÄN</t>
        </is>
      </c>
      <c r="G122" t="inlineStr">
        <is>
          <t>KARLSBORG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46297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46297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33122-2022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44785</v>
      </c>
      <c r="E125" s="1" t="n">
        <v>46297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45834</v>
      </c>
      <c r="E126" s="1" t="n">
        <v>46297</v>
      </c>
      <c r="F126" t="inlineStr">
        <is>
          <t>VÄSTRA GÖTALANDS LÄN</t>
        </is>
      </c>
      <c r="G126" t="inlineStr">
        <is>
          <t>KARLSBORG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31701-2025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45834</v>
      </c>
      <c r="E127" s="1" t="n">
        <v>46297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32128-2025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45835</v>
      </c>
      <c r="E128" s="1" t="n">
        <v>46297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45229</v>
      </c>
      <c r="E129" s="1" t="n">
        <v>46297</v>
      </c>
      <c r="F129" t="inlineStr">
        <is>
          <t>VÄSTRA GÖTALANDS LÄN</t>
        </is>
      </c>
      <c r="G129" t="inlineStr">
        <is>
          <t>KARLSBORG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46297</v>
      </c>
      <c r="F130" t="inlineStr">
        <is>
          <t>VÄSTRA GÖTALANDS LÄN</t>
        </is>
      </c>
      <c r="G130" t="inlineStr">
        <is>
          <t>KARLSBORG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46297</v>
      </c>
      <c r="F131" t="inlineStr">
        <is>
          <t>VÄSTRA GÖTALANDS LÄN</t>
        </is>
      </c>
      <c r="G131" t="inlineStr">
        <is>
          <t>KARLSBORG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35930-2025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45862</v>
      </c>
      <c r="E132" s="1" t="n">
        <v>46297</v>
      </c>
      <c r="F132" t="inlineStr">
        <is>
          <t>VÄSTRA GÖTALANDS LÄN</t>
        </is>
      </c>
      <c r="G132" t="inlineStr">
        <is>
          <t>KARLSBORG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45531</v>
      </c>
      <c r="E133" s="1" t="n">
        <v>46297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9.800000000000001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46297</v>
      </c>
      <c r="F134" t="inlineStr">
        <is>
          <t>VÄSTRA GÖTALANDS LÄN</t>
        </is>
      </c>
      <c r="G134" t="inlineStr">
        <is>
          <t>KARLSBORG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46142</v>
      </c>
      <c r="E135" s="1" t="n">
        <v>46297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70945-2021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46297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46297</v>
      </c>
      <c r="F137" t="inlineStr">
        <is>
          <t>VÄSTRA GÖTALANDS LÄN</t>
        </is>
      </c>
      <c r="G137" t="inlineStr">
        <is>
          <t>KARLSBORG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46143</v>
      </c>
      <c r="E138" s="1" t="n">
        <v>46297</v>
      </c>
      <c r="F138" t="inlineStr">
        <is>
          <t>VÄSTRA GÖTALANDS LÄN</t>
        </is>
      </c>
      <c r="G138" t="inlineStr">
        <is>
          <t>KARLSBORG</t>
        </is>
      </c>
      <c r="I138" t="n">
        <v>14.6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46297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46297</v>
      </c>
      <c r="F140" t="inlineStr">
        <is>
          <t>VÄSTRA GÖTALANDS LÄN</t>
        </is>
      </c>
      <c r="G140" t="inlineStr">
        <is>
          <t>KARLSBORG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46297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46297</v>
      </c>
      <c r="F142" t="inlineStr">
        <is>
          <t>VÄSTRA GÖTALANDS LÄN</t>
        </is>
      </c>
      <c r="G142" t="inlineStr">
        <is>
          <t>KARLSBORG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46297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45394</v>
      </c>
      <c r="E144" s="1" t="n">
        <v>46297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46297</v>
      </c>
      <c r="F145" t="inlineStr">
        <is>
          <t>VÄSTRA GÖTALANDS LÄN</t>
        </is>
      </c>
      <c r="G145" t="inlineStr">
        <is>
          <t>KARLSBORG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70783-2021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44537</v>
      </c>
      <c r="E146" s="1" t="n">
        <v>46297</v>
      </c>
      <c r="F146" t="inlineStr">
        <is>
          <t>VÄSTRA GÖTALANDS LÄN</t>
        </is>
      </c>
      <c r="G146" t="inlineStr">
        <is>
          <t>KARLSBORG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46297</v>
      </c>
      <c r="F147" t="inlineStr">
        <is>
          <t>VÄSTRA GÖTALANDS LÄN</t>
        </is>
      </c>
      <c r="G147" t="inlineStr">
        <is>
          <t>KARLSBORG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46297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46297</v>
      </c>
      <c r="F149" t="inlineStr">
        <is>
          <t>VÄSTRA GÖTALANDS LÄN</t>
        </is>
      </c>
      <c r="G149" t="inlineStr">
        <is>
          <t>KARLSBORG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46297</v>
      </c>
      <c r="F150" t="inlineStr">
        <is>
          <t>VÄSTRA GÖTALANDS LÄN</t>
        </is>
      </c>
      <c r="G150" t="inlineStr">
        <is>
          <t>KARLSBORG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46297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46297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45524</v>
      </c>
      <c r="E153" s="1" t="n">
        <v>46297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59887-2021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46297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59890-2021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46297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46297</v>
      </c>
      <c r="F156" t="inlineStr">
        <is>
          <t>VÄSTRA GÖTALANDS LÄN</t>
        </is>
      </c>
      <c r="G156" t="inlineStr">
        <is>
          <t>KARLSBORG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69341-2021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44531</v>
      </c>
      <c r="E157" s="1" t="n">
        <v>46297</v>
      </c>
      <c r="F157" t="inlineStr">
        <is>
          <t>VÄSTRA GÖTALANDS LÄN</t>
        </is>
      </c>
      <c r="G157" t="inlineStr">
        <is>
          <t>KARLSBORG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46297</v>
      </c>
      <c r="F158" t="inlineStr">
        <is>
          <t>VÄSTRA GÖTALANDS LÄN</t>
        </is>
      </c>
      <c r="G158" t="inlineStr">
        <is>
          <t>KARLSBORG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57913-2024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45631</v>
      </c>
      <c r="E159" s="1" t="n">
        <v>46297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46297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23500-2023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45076</v>
      </c>
      <c r="E161" s="1" t="n">
        <v>46297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46297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45561</v>
      </c>
      <c r="E163" s="1" t="n">
        <v>46297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46297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46297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46297</v>
      </c>
      <c r="F166" t="inlineStr">
        <is>
          <t>VÄSTRA GÖTALANDS LÄN</t>
        </is>
      </c>
      <c r="G166" t="inlineStr">
        <is>
          <t>KARLSBORG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46297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46297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46297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46297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46297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46297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46297</v>
      </c>
      <c r="F173" t="inlineStr">
        <is>
          <t>VÄSTRA GÖTALANDS LÄN</t>
        </is>
      </c>
      <c r="G173" t="inlineStr">
        <is>
          <t>KARLSBORG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46297</v>
      </c>
      <c r="F174" t="inlineStr">
        <is>
          <t>VÄSTRA GÖTALANDS LÄN</t>
        </is>
      </c>
      <c r="G174" t="inlineStr">
        <is>
          <t>KARLSBORG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46297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46297</v>
      </c>
      <c r="F176" t="inlineStr">
        <is>
          <t>VÄSTRA GÖTALANDS LÄN</t>
        </is>
      </c>
      <c r="G176" t="inlineStr">
        <is>
          <t>KARLSBORG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44809</v>
      </c>
      <c r="E177" s="1" t="n">
        <v>46297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46297</v>
      </c>
      <c r="F178" t="inlineStr">
        <is>
          <t>VÄSTRA GÖTALANDS LÄN</t>
        </is>
      </c>
      <c r="G178" t="inlineStr">
        <is>
          <t>KARLSBORG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46297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Aktiebolag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46297</v>
      </c>
      <c r="F180" t="inlineStr">
        <is>
          <t>VÄSTRA GÖTALANDS LÄN</t>
        </is>
      </c>
      <c r="G180" t="inlineStr">
        <is>
          <t>KARLSBORG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46230</v>
      </c>
      <c r="E181" s="1" t="n">
        <v>46297</v>
      </c>
      <c r="F181" t="inlineStr">
        <is>
          <t>VÄSTRA GÖTALANDS LÄN</t>
        </is>
      </c>
      <c r="G181" t="inlineStr">
        <is>
          <t>KARLSBORG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44906</v>
      </c>
      <c r="E182" s="1" t="n">
        <v>46297</v>
      </c>
      <c r="F182" t="inlineStr">
        <is>
          <t>VÄSTRA GÖTALANDS LÄN</t>
        </is>
      </c>
      <c r="G182" t="inlineStr">
        <is>
          <t>KARLSBORG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62304-2021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44503</v>
      </c>
      <c r="E183" s="1" t="n">
        <v>46297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44664</v>
      </c>
      <c r="E184" s="1" t="n">
        <v>46297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15396-2024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45401</v>
      </c>
      <c r="E185" s="1" t="n">
        <v>46297</v>
      </c>
      <c r="F185" t="inlineStr">
        <is>
          <t>VÄSTRA GÖTALANDS LÄN</t>
        </is>
      </c>
      <c r="G185" t="inlineStr">
        <is>
          <t>KARLSBORG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45489</v>
      </c>
      <c r="E186" s="1" t="n">
        <v>46297</v>
      </c>
      <c r="F186" t="inlineStr">
        <is>
          <t>VÄSTRA GÖTALANDS LÄN</t>
        </is>
      </c>
      <c r="G186" t="inlineStr">
        <is>
          <t>KARLSBORG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46297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45436</v>
      </c>
      <c r="E188" s="1" t="n">
        <v>46297</v>
      </c>
      <c r="F188" t="inlineStr">
        <is>
          <t>VÄSTRA GÖTALANDS LÄN</t>
        </is>
      </c>
      <c r="G188" t="inlineStr">
        <is>
          <t>KARLSBORG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46276</v>
      </c>
      <c r="E189" s="1" t="n">
        <v>46297</v>
      </c>
      <c r="F189" t="inlineStr">
        <is>
          <t>VÄSTRA GÖTALANDS LÄN</t>
        </is>
      </c>
      <c r="G189" t="inlineStr">
        <is>
          <t>KARLSBORG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46297</v>
      </c>
      <c r="F190" t="inlineStr">
        <is>
          <t>VÄSTRA GÖTALANDS LÄN</t>
        </is>
      </c>
      <c r="G190" t="inlineStr">
        <is>
          <t>KARLSBORG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45089</v>
      </c>
      <c r="E191" s="1" t="n">
        <v>46297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26017-2023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46297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44687</v>
      </c>
      <c r="E193" s="1" t="n">
        <v>46297</v>
      </c>
      <c r="F193" t="inlineStr">
        <is>
          <t>VÄSTRA GÖTALANDS LÄN</t>
        </is>
      </c>
      <c r="G193" t="inlineStr">
        <is>
          <t>KARLSBORG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44906</v>
      </c>
      <c r="E194" s="1" t="n">
        <v>46297</v>
      </c>
      <c r="F194" t="inlineStr">
        <is>
          <t>VÄSTRA GÖTALANDS LÄN</t>
        </is>
      </c>
      <c r="G194" t="inlineStr">
        <is>
          <t>KARLSBORG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46297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46297</v>
      </c>
      <c r="F196" t="inlineStr">
        <is>
          <t>VÄSTRA GÖTALANDS LÄN</t>
        </is>
      </c>
      <c r="G196" t="inlineStr">
        <is>
          <t>KARLSBORG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46288</v>
      </c>
      <c r="E197" s="1" t="n">
        <v>46297</v>
      </c>
      <c r="F197" t="inlineStr">
        <is>
          <t>VÄSTRA GÖTALANDS LÄN</t>
        </is>
      </c>
      <c r="G197" t="inlineStr">
        <is>
          <t>KARLSBORG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46297</v>
      </c>
      <c r="F198" t="inlineStr">
        <is>
          <t>VÄSTRA GÖTALANDS LÄN</t>
        </is>
      </c>
      <c r="G198" t="inlineStr">
        <is>
          <t>KARLSBORG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46297</v>
      </c>
      <c r="F199" t="inlineStr">
        <is>
          <t>VÄSTRA GÖTALANDS LÄN</t>
        </is>
      </c>
      <c r="G199" t="inlineStr">
        <is>
          <t>KARLSBORG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46297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45394</v>
      </c>
      <c r="E201" s="1" t="n">
        <v>46297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34670-2022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44795</v>
      </c>
      <c r="E202" s="1" t="n">
        <v>46297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58127-2024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45632</v>
      </c>
      <c r="E203" s="1" t="n">
        <v>46297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45019</v>
      </c>
      <c r="E204" s="1" t="n">
        <v>46297</v>
      </c>
      <c r="F204" t="inlineStr">
        <is>
          <t>VÄSTRA GÖTALANDS LÄN</t>
        </is>
      </c>
      <c r="G204" t="inlineStr">
        <is>
          <t>KARLSBORG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44944</v>
      </c>
      <c r="E205" s="1" t="n">
        <v>46297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Övriga Aktiebolag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57454-2024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45630</v>
      </c>
      <c r="E206" s="1" t="n">
        <v>46297</v>
      </c>
      <c r="F206" t="inlineStr">
        <is>
          <t>VÄSTRA GÖTALANDS LÄN</t>
        </is>
      </c>
      <c r="G206" t="inlineStr">
        <is>
          <t>KARLSBORG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46297</v>
      </c>
      <c r="F207" t="inlineStr">
        <is>
          <t>VÄSTRA GÖTALANDS LÄN</t>
        </is>
      </c>
      <c r="G207" t="inlineStr">
        <is>
          <t>KARLSBORG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46297</v>
      </c>
      <c r="F208" t="inlineStr">
        <is>
          <t>VÄSTRA GÖTALANDS LÄN</t>
        </is>
      </c>
      <c r="G208" t="inlineStr">
        <is>
          <t>KARLSBORG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46297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46297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46297</v>
      </c>
      <c r="F211" t="inlineStr">
        <is>
          <t>VÄSTRA GÖTALANDS LÄN</t>
        </is>
      </c>
      <c r="G211" t="inlineStr">
        <is>
          <t>KARLSBORG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46297</v>
      </c>
      <c r="F212" t="inlineStr">
        <is>
          <t>VÄSTRA GÖTALANDS LÄN</t>
        </is>
      </c>
      <c r="G212" t="inlineStr">
        <is>
          <t>KARLSBORG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46297</v>
      </c>
      <c r="F213" t="inlineStr">
        <is>
          <t>VÄSTRA GÖTALANDS LÄN</t>
        </is>
      </c>
      <c r="G213" t="inlineStr">
        <is>
          <t>KARLSBORG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46297</v>
      </c>
      <c r="F214" t="inlineStr">
        <is>
          <t>VÄSTRA GÖTALANDS LÄN</t>
        </is>
      </c>
      <c r="G214" t="inlineStr">
        <is>
          <t>KARLSBORG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46297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57915-2024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45631</v>
      </c>
      <c r="E216" s="1" t="n">
        <v>46297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46297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46297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46297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2395-2024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45468</v>
      </c>
      <c r="E220" s="1" t="n">
        <v>46297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343-2026</t>
        </is>
      </c>
      <c r="B221" t="inlineStr">
        <is>
          <t>samrådsanmälan</t>
        </is>
      </c>
      <c r="C221" t="inlineStr">
        <is>
          <t>Skogsgödsling</t>
        </is>
      </c>
      <c r="D221" s="1" t="n">
        <v>46059</v>
      </c>
      <c r="E221" s="1" t="n">
        <v>46297</v>
      </c>
      <c r="F221" t="inlineStr">
        <is>
          <t>VÄSTRA GÖTALANDS LÄN</t>
        </is>
      </c>
      <c r="G221" t="inlineStr">
        <is>
          <t>KARLSBORG</t>
        </is>
      </c>
      <c r="I221" t="n">
        <v>25.7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2026-10-02T02:06:05Z</dcterms:created>
  <dcterms:modified xmlns:dcterms="http://purl.org/dc/terms/" xmlns:xsi="http://www.w3.org/2001/XMLSchema-instance" xsi:type="dcterms:W3CDTF">2026-10-02T02:06:05Z</dcterms:modified>
</cp:coreProperties>
</file>