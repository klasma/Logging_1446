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46268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46268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46268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46268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46268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46268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46268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46268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46268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46268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46268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46268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46268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Dropptaggsvamp
Tallfingersvamp</t>
        </is>
      </c>
      <c r="W14">
        <f>HYPERLINK("https://klasma.github.io/Logging_1446/artfynd/A 43626-2023 artfynd.xlsx", "A 43626-2023")</f>
        <v/>
      </c>
      <c r="X14">
        <f>HYPERLINK("https://klasma.github.io/Logging_1446/kartor/A 43626-2023 karta.png", "A 43626-2023")</f>
        <v/>
      </c>
      <c r="Y14">
        <f>HYPERLINK("https://klasma.github.io/Logging_1446/kartor_geotiff/A 43626-2023 georefererad karta.tif", "A 43626-2023")</f>
        <v/>
      </c>
      <c r="AA14">
        <f>HYPERLINK("https://klasma.github.io/Logging_1446/klagomål/A 43626-2023 FSC-klagomål.docx", "A 43626-2023")</f>
        <v/>
      </c>
      <c r="AB14">
        <f>HYPERLINK("https://klasma.github.io/Logging_1446/klagomålsmail/A 43626-2023 FSC-klagomål mail.docx", "A 43626-2023")</f>
        <v/>
      </c>
      <c r="AC14">
        <f>HYPERLINK("https://klasma.github.io/Logging_1446/tillsyn/A 43626-2023 tillsynsbegäran.docx", "A 43626-2023")</f>
        <v/>
      </c>
      <c r="AD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46268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46268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46268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46268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46268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46268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18567-2026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46268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2.6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18567-2026 artfynd.xlsx", "A 18567-2026")</f>
        <v/>
      </c>
      <c r="X21">
        <f>HYPERLINK("https://klasma.github.io/Logging_1446/kartor/A 18567-2026 karta.png", "A 18567-2026")</f>
        <v/>
      </c>
      <c r="Y21">
        <f>HYPERLINK("https://klasma.github.io/Logging_1446/kartor_geotiff/A 18567-2026 georefererad karta.tif", "A 18567-2026")</f>
        <v/>
      </c>
      <c r="AA21">
        <f>HYPERLINK("https://klasma.github.io/Logging_1446/klagomål/A 18567-2026 FSC-klagomål.docx", "A 18567-2026")</f>
        <v/>
      </c>
      <c r="AB21">
        <f>HYPERLINK("https://klasma.github.io/Logging_1446/klagomålsmail/A 18567-2026 FSC-klagomål mail.docx", "A 18567-2026")</f>
        <v/>
      </c>
      <c r="AC21">
        <f>HYPERLINK("https://klasma.github.io/Logging_1446/tillsyn/A 18567-2026 tillsynsbegäran.docx", "A 18567-2026")</f>
        <v/>
      </c>
      <c r="AD21">
        <f>HYPERLINK("https://klasma.github.io/Logging_1446/tillsynsmail/A 18567-2026 tillsynsbegäran mail.docx", "A 18567-2026")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46268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29484-2025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46268</v>
      </c>
      <c r="F23" t="inlineStr">
        <is>
          <t>VÄSTRA GÖTALANDS LÄN</t>
        </is>
      </c>
      <c r="G23" t="inlineStr">
        <is>
          <t>KARLSBORG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Blåsippa</t>
        </is>
      </c>
      <c r="W23">
        <f>HYPERLINK("https://klasma.github.io/Logging_1446/artfynd/A 29484-2025 artfynd.xlsx", "A 29484-2025")</f>
        <v/>
      </c>
      <c r="X23">
        <f>HYPERLINK("https://klasma.github.io/Logging_1446/kartor/A 29484-2025 karta.png", "A 29484-2025")</f>
        <v/>
      </c>
      <c r="Y23">
        <f>HYPERLINK("https://klasma.github.io/Logging_1446/kartor_geotiff/A 29484-2025 georefererad karta.tif", "A 29484-2025")</f>
        <v/>
      </c>
      <c r="AA23">
        <f>HYPERLINK("https://klasma.github.io/Logging_1446/klagomål/A 29484-2025 FSC-klagomål.docx", "A 29484-2025")</f>
        <v/>
      </c>
      <c r="AB23">
        <f>HYPERLINK("https://klasma.github.io/Logging_1446/klagomålsmail/A 29484-2025 FSC-klagomål mail.docx", "A 29484-2025")</f>
        <v/>
      </c>
      <c r="AC23">
        <f>HYPERLINK("https://klasma.github.io/Logging_1446/tillsyn/A 29484-2025 tillsynsbegäran.docx", "A 29484-2025")</f>
        <v/>
      </c>
      <c r="AD23">
        <f>HYPERLINK("https://klasma.github.io/Logging_1446/tillsynsmail/A 29484-2025 tillsynsbegäran mail.docx", "A 29484-2025")</f>
        <v/>
      </c>
    </row>
    <row r="24" ht="15" customHeight="1">
      <c r="A24" t="inlineStr">
        <is>
          <t>A 8984-2025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46268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HYPERLINK("https://klasma.github.io/Logging_1446/artfynd/A 8984-2025 artfynd.xlsx", "A 8984-2025")</f>
        <v/>
      </c>
      <c r="X24">
        <f>HYPERLINK("https://klasma.github.io/Logging_1446/kartor/A 8984-2025 karta.png", "A 8984-2025")</f>
        <v/>
      </c>
      <c r="Y24">
        <f>HYPERLINK("https://klasma.github.io/Logging_1446/kartor_geotiff/A 8984-2025 georefererad karta.tif", "A 8984-2025")</f>
        <v/>
      </c>
      <c r="AA24">
        <f>HYPERLINK("https://klasma.github.io/Logging_1446/klagomål/A 8984-2025 FSC-klagomål.docx", "A 8984-2025")</f>
        <v/>
      </c>
      <c r="AB24">
        <f>HYPERLINK("https://klasma.github.io/Logging_1446/klagomålsmail/A 8984-2025 FSC-klagomål mail.docx", "A 8984-2025")</f>
        <v/>
      </c>
      <c r="AC24">
        <f>HYPERLINK("https://klasma.github.io/Logging_1446/tillsyn/A 8984-2025 tillsynsbegäran.docx", "A 8984-2025")</f>
        <v/>
      </c>
      <c r="AD24">
        <f>HYPERLINK("https://klasma.github.io/Logging_1446/tillsynsmail/A 8984-2025 tillsynsbegäran mail.docx", "A 8984-2025")</f>
        <v/>
      </c>
      <c r="AE24">
        <f>HYPERLINK("https://klasma.github.io/Logging_1446/fåglar/A 8984-2025 prioriterade fågelarter.docx", "A 8984-2025")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46268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46268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46268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46268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46268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HYPERLINK("https://klasma.github.io/Logging_1446/artfynd/A 29156-2026 artfynd.xlsx", "A 29156-2026")</f>
        <v/>
      </c>
      <c r="X29">
        <f>HYPERLINK("https://klasma.github.io/Logging_1446/kartor/A 29156-2026 karta.png", "A 29156-2026")</f>
        <v/>
      </c>
      <c r="Y29">
        <f>HYPERLINK("https://klasma.github.io/Logging_1446/kartor_geotiff/A 29156-2026 georefererad karta.tif", "A 29156-2026")</f>
        <v/>
      </c>
      <c r="AA29">
        <f>HYPERLINK("https://klasma.github.io/Logging_1446/klagomål/A 29156-2026 FSC-klagomål.docx", "A 29156-2026")</f>
        <v/>
      </c>
      <c r="AB29">
        <f>HYPERLINK("https://klasma.github.io/Logging_1446/klagomålsmail/A 29156-2026 FSC-klagomål mail.docx", "A 29156-2026")</f>
        <v/>
      </c>
      <c r="AC29">
        <f>HYPERLINK("https://klasma.github.io/Logging_1446/tillsyn/A 29156-2026 tillsynsbegäran.docx", "A 29156-2026")</f>
        <v/>
      </c>
      <c r="AD29">
        <f>HYPERLINK("https://klasma.github.io/Logging_1446/tillsynsmail/A 29156-2026 tillsynsbegäran mail.docx", "A 29156-2026")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46268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46268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46268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46268</v>
      </c>
      <c r="F33" t="inlineStr">
        <is>
          <t>VÄSTRA GÖTALANDS LÄN</t>
        </is>
      </c>
      <c r="G33" t="inlineStr">
        <is>
          <t>KARLSBORG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46268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46268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46268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46268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46268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46268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46268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46268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46268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46268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46268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46268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46268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46268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46268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46268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46268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46268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46268</v>
      </c>
      <c r="F52" t="inlineStr">
        <is>
          <t>VÄSTRA GÖTALANDS LÄN</t>
        </is>
      </c>
      <c r="G52" t="inlineStr">
        <is>
          <t>KARLSBORG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46268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57454-2024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45630</v>
      </c>
      <c r="E54" s="1" t="n">
        <v>46268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46268</v>
      </c>
      <c r="F55" t="inlineStr">
        <is>
          <t>VÄSTRA GÖTALANDS LÄN</t>
        </is>
      </c>
      <c r="G55" t="inlineStr">
        <is>
          <t>KARLSBORG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46268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46268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46268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46268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46268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46268</v>
      </c>
      <c r="F61" t="inlineStr">
        <is>
          <t>VÄSTRA GÖTALANDS LÄN</t>
        </is>
      </c>
      <c r="G61" t="inlineStr">
        <is>
          <t>KARLSBORG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46268</v>
      </c>
      <c r="F62" t="inlineStr">
        <is>
          <t>VÄSTRA GÖTALANDS LÄN</t>
        </is>
      </c>
      <c r="G62" t="inlineStr">
        <is>
          <t>KARLSBORG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46268</v>
      </c>
      <c r="F63" t="inlineStr">
        <is>
          <t>VÄSTRA GÖTALANDS LÄN</t>
        </is>
      </c>
      <c r="G63" t="inlineStr">
        <is>
          <t>KARLSBORG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45183</v>
      </c>
      <c r="E64" s="1" t="n">
        <v>46268</v>
      </c>
      <c r="F64" t="inlineStr">
        <is>
          <t>VÄSTRA GÖTALANDS LÄN</t>
        </is>
      </c>
      <c r="G64" t="inlineStr">
        <is>
          <t>KARLSBORG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26016-2023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45090</v>
      </c>
      <c r="E65" s="1" t="n">
        <v>46268</v>
      </c>
      <c r="F65" t="inlineStr">
        <is>
          <t>VÄSTRA GÖTALANDS LÄN</t>
        </is>
      </c>
      <c r="G65" t="inlineStr">
        <is>
          <t>KARLSBORG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45804</v>
      </c>
      <c r="E66" s="1" t="n">
        <v>46268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46268</v>
      </c>
      <c r="F67" t="inlineStr">
        <is>
          <t>VÄSTRA GÖTALANDS LÄN</t>
        </is>
      </c>
      <c r="G67" t="inlineStr">
        <is>
          <t>KARLSBORG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46268</v>
      </c>
      <c r="F68" t="inlineStr">
        <is>
          <t>VÄSTRA GÖTALANDS LÄN</t>
        </is>
      </c>
      <c r="G68" t="inlineStr">
        <is>
          <t>KARLSBORG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58127-2024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45632</v>
      </c>
      <c r="E69" s="1" t="n">
        <v>46268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46268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statliga verk och myndigheter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46268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13077-2023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46268</v>
      </c>
      <c r="F72" t="inlineStr">
        <is>
          <t>VÄSTRA GÖTALANDS LÄN</t>
        </is>
      </c>
      <c r="G72" t="inlineStr">
        <is>
          <t>KARLSBORG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46268</v>
      </c>
      <c r="F73" t="inlineStr">
        <is>
          <t>VÄSTRA GÖTALANDS LÄN</t>
        </is>
      </c>
      <c r="G73" t="inlineStr">
        <is>
          <t>KARLSBORG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29490-2025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46268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46268</v>
      </c>
      <c r="F75" t="inlineStr">
        <is>
          <t>VÄSTRA GÖTALANDS LÄN</t>
        </is>
      </c>
      <c r="G75" t="inlineStr">
        <is>
          <t>KARLSBORG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46268</v>
      </c>
      <c r="F76" t="inlineStr">
        <is>
          <t>VÄSTRA GÖTALANDS LÄN</t>
        </is>
      </c>
      <c r="G76" t="inlineStr">
        <is>
          <t>KARLSBORG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70783-2021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44537</v>
      </c>
      <c r="E77" s="1" t="n">
        <v>46268</v>
      </c>
      <c r="F77" t="inlineStr">
        <is>
          <t>VÄSTRA GÖTALANDS LÄN</t>
        </is>
      </c>
      <c r="G77" t="inlineStr">
        <is>
          <t>KARLSBORG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45899</v>
      </c>
      <c r="E78" s="1" t="n">
        <v>46268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45575</v>
      </c>
      <c r="E79" s="1" t="n">
        <v>46268</v>
      </c>
      <c r="F79" t="inlineStr">
        <is>
          <t>VÄSTRA GÖTALANDS LÄN</t>
        </is>
      </c>
      <c r="G79" t="inlineStr">
        <is>
          <t>KARLSBORG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46268</v>
      </c>
      <c r="F80" t="inlineStr">
        <is>
          <t>VÄSTRA GÖTALANDS LÄN</t>
        </is>
      </c>
      <c r="G80" t="inlineStr">
        <is>
          <t>KARLSBORG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46268</v>
      </c>
      <c r="F81" t="inlineStr">
        <is>
          <t>VÄSTRA GÖTALANDS LÄN</t>
        </is>
      </c>
      <c r="G81" t="inlineStr">
        <is>
          <t>KARLSBORG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32128-2025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45835</v>
      </c>
      <c r="E82" s="1" t="n">
        <v>46268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31701-2025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45834</v>
      </c>
      <c r="E83" s="1" t="n">
        <v>46268</v>
      </c>
      <c r="F83" t="inlineStr">
        <is>
          <t>VÄSTRA GÖTALANDS LÄN</t>
        </is>
      </c>
      <c r="G83" t="inlineStr">
        <is>
          <t>KARLSBORG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46268</v>
      </c>
      <c r="F84" t="inlineStr">
        <is>
          <t>VÄSTRA GÖTALANDS LÄN</t>
        </is>
      </c>
      <c r="G84" t="inlineStr">
        <is>
          <t>KARLSBORG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46268</v>
      </c>
      <c r="F85" t="inlineStr">
        <is>
          <t>VÄSTRA GÖTALANDS LÄN</t>
        </is>
      </c>
      <c r="G85" t="inlineStr">
        <is>
          <t>KARLSBORG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44944</v>
      </c>
      <c r="E86" s="1" t="n">
        <v>46268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Aktiebolag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46268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Kyrkan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46268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Aktiebolag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46268</v>
      </c>
      <c r="F89" t="inlineStr">
        <is>
          <t>VÄSTRA GÖTALANDS LÄN</t>
        </is>
      </c>
      <c r="G89" t="inlineStr">
        <is>
          <t>KARLSBORG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45394</v>
      </c>
      <c r="E90" s="1" t="n">
        <v>46268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59401-2022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44906</v>
      </c>
      <c r="E91" s="1" t="n">
        <v>46268</v>
      </c>
      <c r="F91" t="inlineStr">
        <is>
          <t>VÄSTRA GÖTALANDS LÄN</t>
        </is>
      </c>
      <c r="G91" t="inlineStr">
        <is>
          <t>KARLSBORG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46268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9788-2025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46268</v>
      </c>
      <c r="F93" t="inlineStr">
        <is>
          <t>VÄSTRA GÖTALANDS LÄN</t>
        </is>
      </c>
      <c r="G93" t="inlineStr">
        <is>
          <t>KARLSBORG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46268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46268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44687</v>
      </c>
      <c r="E96" s="1" t="n">
        <v>46268</v>
      </c>
      <c r="F96" t="inlineStr">
        <is>
          <t>VÄSTRA GÖTALANDS LÄN</t>
        </is>
      </c>
      <c r="G96" t="inlineStr">
        <is>
          <t>KARLSBORG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46268</v>
      </c>
      <c r="F97" t="inlineStr">
        <is>
          <t>VÄSTRA GÖTALANDS LÄN</t>
        </is>
      </c>
      <c r="G97" t="inlineStr">
        <is>
          <t>KARLSBORG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35930-2025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45862</v>
      </c>
      <c r="E98" s="1" t="n">
        <v>46268</v>
      </c>
      <c r="F98" t="inlineStr">
        <is>
          <t>VÄSTRA GÖTALANDS LÄN</t>
        </is>
      </c>
      <c r="G98" t="inlineStr">
        <is>
          <t>KARLSBORG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46045</v>
      </c>
      <c r="E99" s="1" t="n">
        <v>46268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46268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Övriga Aktiebolag</t>
        </is>
      </c>
      <c r="I100" t="n">
        <v>14.3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46268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Aktiebolag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46268</v>
      </c>
      <c r="F102" t="inlineStr">
        <is>
          <t>VÄSTRA GÖTALANDS LÄN</t>
        </is>
      </c>
      <c r="G102" t="inlineStr">
        <is>
          <t>KARLSBORG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46268</v>
      </c>
      <c r="F103" t="inlineStr">
        <is>
          <t>VÄSTRA GÖTALANDS LÄN</t>
        </is>
      </c>
      <c r="G103" t="inlineStr">
        <is>
          <t>KARLSBORG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44944</v>
      </c>
      <c r="E104" s="1" t="n">
        <v>46268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Övriga Aktiebolag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45933</v>
      </c>
      <c r="E105" s="1" t="n">
        <v>46268</v>
      </c>
      <c r="F105" t="inlineStr">
        <is>
          <t>VÄSTRA GÖTALANDS LÄN</t>
        </is>
      </c>
      <c r="G105" t="inlineStr">
        <is>
          <t>KARLSBORG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46268</v>
      </c>
      <c r="F106" t="inlineStr">
        <is>
          <t>VÄSTRA GÖTALANDS LÄN</t>
        </is>
      </c>
      <c r="G106" t="inlineStr">
        <is>
          <t>KARLSBORG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46268</v>
      </c>
      <c r="F107" t="inlineStr">
        <is>
          <t>VÄSTRA GÖTALANDS LÄN</t>
        </is>
      </c>
      <c r="G107" t="inlineStr">
        <is>
          <t>KARLSBORG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45614</v>
      </c>
      <c r="E108" s="1" t="n">
        <v>46268</v>
      </c>
      <c r="F108" t="inlineStr">
        <is>
          <t>VÄSTRA GÖTALANDS LÄN</t>
        </is>
      </c>
      <c r="G108" t="inlineStr">
        <is>
          <t>KARLSBORG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34314-2024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45524</v>
      </c>
      <c r="E109" s="1" t="n">
        <v>46268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45942</v>
      </c>
      <c r="E110" s="1" t="n">
        <v>46268</v>
      </c>
      <c r="F110" t="inlineStr">
        <is>
          <t>VÄSTRA GÖTALANDS LÄN</t>
        </is>
      </c>
      <c r="G110" t="inlineStr">
        <is>
          <t>KARLSBORG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45883</v>
      </c>
      <c r="E111" s="1" t="n">
        <v>46268</v>
      </c>
      <c r="F111" t="inlineStr">
        <is>
          <t>VÄSTRA GÖTALANDS LÄN</t>
        </is>
      </c>
      <c r="G111" t="inlineStr">
        <is>
          <t>KARLSBORG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46268</v>
      </c>
      <c r="F112" t="inlineStr">
        <is>
          <t>VÄSTRA GÖTALANDS LÄN</t>
        </is>
      </c>
      <c r="G112" t="inlineStr">
        <is>
          <t>KARLSBORG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46268</v>
      </c>
      <c r="F113" t="inlineStr">
        <is>
          <t>VÄSTRA GÖTALANDS LÄN</t>
        </is>
      </c>
      <c r="G113" t="inlineStr">
        <is>
          <t>KARLSBORG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46052</v>
      </c>
      <c r="E114" s="1" t="n">
        <v>46268</v>
      </c>
      <c r="F114" t="inlineStr">
        <is>
          <t>VÄSTRA GÖTALANDS LÄN</t>
        </is>
      </c>
      <c r="G114" t="inlineStr">
        <is>
          <t>KARLSBORG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6408-2026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46268</v>
      </c>
      <c r="F115" t="inlineStr">
        <is>
          <t>VÄSTRA GÖTALANDS LÄN</t>
        </is>
      </c>
      <c r="G115" t="inlineStr">
        <is>
          <t>KARLSBORG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46268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45369</v>
      </c>
      <c r="E117" s="1" t="n">
        <v>46268</v>
      </c>
      <c r="F117" t="inlineStr">
        <is>
          <t>VÄSTRA GÖTALANDS LÄN</t>
        </is>
      </c>
      <c r="G117" t="inlineStr">
        <is>
          <t>KARLSBORG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46268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statliga verk och myndigheter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46010</v>
      </c>
      <c r="E119" s="1" t="n">
        <v>46268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Övriga statliga verk och myndigheter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46268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statliga verk och myndigheter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45470</v>
      </c>
      <c r="E121" s="1" t="n">
        <v>46268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46268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statliga verk och myndigheter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46062</v>
      </c>
      <c r="E123" s="1" t="n">
        <v>46268</v>
      </c>
      <c r="F123" t="inlineStr">
        <is>
          <t>VÄSTRA GÖTALANDS LÄN</t>
        </is>
      </c>
      <c r="G123" t="inlineStr">
        <is>
          <t>KARLSBORG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46069</v>
      </c>
      <c r="E124" s="1" t="n">
        <v>46268</v>
      </c>
      <c r="F124" t="inlineStr">
        <is>
          <t>VÄSTRA GÖTALANDS LÄN</t>
        </is>
      </c>
      <c r="G124" t="inlineStr">
        <is>
          <t>KARLSBORG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46268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45090</v>
      </c>
      <c r="E126" s="1" t="n">
        <v>46268</v>
      </c>
      <c r="F126" t="inlineStr">
        <is>
          <t>VÄSTRA GÖTALANDS LÄN</t>
        </is>
      </c>
      <c r="G126" t="inlineStr">
        <is>
          <t>KARLSBORG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46268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46268</v>
      </c>
      <c r="F128" t="inlineStr">
        <is>
          <t>VÄSTRA GÖTALANDS LÄN</t>
        </is>
      </c>
      <c r="G128" t="inlineStr">
        <is>
          <t>KARLSBORG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57581-2025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46268</v>
      </c>
      <c r="F129" t="inlineStr">
        <is>
          <t>VÄSTRA GÖTALANDS LÄN</t>
        </is>
      </c>
      <c r="G129" t="inlineStr">
        <is>
          <t>KARLSBORG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10907-2026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46079</v>
      </c>
      <c r="E130" s="1" t="n">
        <v>46268</v>
      </c>
      <c r="F130" t="inlineStr">
        <is>
          <t>VÄSTRA GÖTALANDS LÄN</t>
        </is>
      </c>
      <c r="G130" t="inlineStr">
        <is>
          <t>KARLSBORG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44727</v>
      </c>
      <c r="E131" s="1" t="n">
        <v>46268</v>
      </c>
      <c r="F131" t="inlineStr">
        <is>
          <t>VÄSTRA GÖTALANDS LÄN</t>
        </is>
      </c>
      <c r="G131" t="inlineStr">
        <is>
          <t>KARLSBORG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45233</v>
      </c>
      <c r="E132" s="1" t="n">
        <v>46268</v>
      </c>
      <c r="F132" t="inlineStr">
        <is>
          <t>VÄSTRA GÖTALANDS LÄN</t>
        </is>
      </c>
      <c r="G132" t="inlineStr">
        <is>
          <t>KARLSBORG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46268</v>
      </c>
      <c r="F133" t="inlineStr">
        <is>
          <t>VÄSTRA GÖTALANDS LÄN</t>
        </is>
      </c>
      <c r="G133" t="inlineStr">
        <is>
          <t>KARLSBORG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46268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45489</v>
      </c>
      <c r="E135" s="1" t="n">
        <v>46268</v>
      </c>
      <c r="F135" t="inlineStr">
        <is>
          <t>VÄSTRA GÖTALANDS LÄN</t>
        </is>
      </c>
      <c r="G135" t="inlineStr">
        <is>
          <t>KARLSBORG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45742</v>
      </c>
      <c r="E136" s="1" t="n">
        <v>46268</v>
      </c>
      <c r="F136" t="inlineStr">
        <is>
          <t>VÄSTRA GÖTALANDS LÄN</t>
        </is>
      </c>
      <c r="G136" t="inlineStr">
        <is>
          <t>KARLSBORG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65313-2021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46268</v>
      </c>
      <c r="F137" t="inlineStr">
        <is>
          <t>VÄSTRA GÖTALANDS LÄN</t>
        </is>
      </c>
      <c r="G137" t="inlineStr">
        <is>
          <t>KARLSBORG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45090</v>
      </c>
      <c r="E138" s="1" t="n">
        <v>46268</v>
      </c>
      <c r="F138" t="inlineStr">
        <is>
          <t>VÄSTRA GÖTALANDS LÄN</t>
        </is>
      </c>
      <c r="G138" t="inlineStr">
        <is>
          <t>KARLSBORG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45218</v>
      </c>
      <c r="E139" s="1" t="n">
        <v>46268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46268</v>
      </c>
      <c r="F140" t="inlineStr">
        <is>
          <t>VÄSTRA GÖTALANDS LÄN</t>
        </is>
      </c>
      <c r="G140" t="inlineStr">
        <is>
          <t>KARLSBORG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46268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46268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46268</v>
      </c>
      <c r="F143" t="inlineStr">
        <is>
          <t>VÄSTRA GÖTALANDS LÄN</t>
        </is>
      </c>
      <c r="G143" t="inlineStr">
        <is>
          <t>KARLSBORG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46268</v>
      </c>
      <c r="F144" t="inlineStr">
        <is>
          <t>VÄSTRA GÖTALANDS LÄN</t>
        </is>
      </c>
      <c r="G144" t="inlineStr">
        <is>
          <t>KARLSBORG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46268</v>
      </c>
      <c r="F145" t="inlineStr">
        <is>
          <t>VÄSTRA GÖTALANDS LÄN</t>
        </is>
      </c>
      <c r="G145" t="inlineStr">
        <is>
          <t>KARLSBORG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57915-2024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45631</v>
      </c>
      <c r="E146" s="1" t="n">
        <v>46268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46268</v>
      </c>
      <c r="F147" t="inlineStr">
        <is>
          <t>VÄSTRA GÖTALANDS LÄN</t>
        </is>
      </c>
      <c r="G147" t="inlineStr">
        <is>
          <t>KARLSBORG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46268</v>
      </c>
      <c r="F148" t="inlineStr">
        <is>
          <t>VÄSTRA GÖTALANDS LÄN</t>
        </is>
      </c>
      <c r="G148" t="inlineStr">
        <is>
          <t>KARLSBORG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46268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44906</v>
      </c>
      <c r="E150" s="1" t="n">
        <v>46268</v>
      </c>
      <c r="F150" t="inlineStr">
        <is>
          <t>VÄSTRA GÖTALANDS LÄN</t>
        </is>
      </c>
      <c r="G150" t="inlineStr">
        <is>
          <t>KARLSBORG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46268</v>
      </c>
      <c r="F151" t="inlineStr">
        <is>
          <t>VÄSTRA GÖTALANDS LÄN</t>
        </is>
      </c>
      <c r="G151" t="inlineStr">
        <is>
          <t>KARLSBORG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18564-2026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46268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46268</v>
      </c>
      <c r="F153" t="inlineStr">
        <is>
          <t>VÄSTRA GÖTALANDS LÄN</t>
        </is>
      </c>
      <c r="G153" t="inlineStr">
        <is>
          <t>KARLSBORG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44972</v>
      </c>
      <c r="E154" s="1" t="n">
        <v>46268</v>
      </c>
      <c r="F154" t="inlineStr">
        <is>
          <t>VÄSTRA GÖTALANDS LÄN</t>
        </is>
      </c>
      <c r="G154" t="inlineStr">
        <is>
          <t>KARLSBORG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23500-2023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45076</v>
      </c>
      <c r="E155" s="1" t="n">
        <v>46268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46268</v>
      </c>
      <c r="F156" t="inlineStr">
        <is>
          <t>VÄSTRA GÖTALANDS LÄN</t>
        </is>
      </c>
      <c r="G156" t="inlineStr">
        <is>
          <t>KARLSBORG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46268</v>
      </c>
      <c r="F157" t="inlineStr">
        <is>
          <t>VÄSTRA GÖTALANDS LÄN</t>
        </is>
      </c>
      <c r="G157" t="inlineStr">
        <is>
          <t>KARLSBORG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46268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33122-2022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44785</v>
      </c>
      <c r="E159" s="1" t="n">
        <v>46268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35441-2024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45531</v>
      </c>
      <c r="E160" s="1" t="n">
        <v>46268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46268</v>
      </c>
      <c r="F161" t="inlineStr">
        <is>
          <t>VÄSTRA GÖTALANDS LÄN</t>
        </is>
      </c>
      <c r="G161" t="inlineStr">
        <is>
          <t>KARLSBORG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46268</v>
      </c>
      <c r="F162" t="inlineStr">
        <is>
          <t>VÄSTRA GÖTALANDS LÄN</t>
        </is>
      </c>
      <c r="G162" t="inlineStr">
        <is>
          <t>KARLSBORG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44809</v>
      </c>
      <c r="E163" s="1" t="n">
        <v>46268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29357-2024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45483</v>
      </c>
      <c r="E164" s="1" t="n">
        <v>46268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46268</v>
      </c>
      <c r="F165" t="inlineStr">
        <is>
          <t>VÄSTRA GÖTALANDS LÄN</t>
        </is>
      </c>
      <c r="G165" t="inlineStr">
        <is>
          <t>KARLSBORG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46143</v>
      </c>
      <c r="E166" s="1" t="n">
        <v>46268</v>
      </c>
      <c r="F166" t="inlineStr">
        <is>
          <t>VÄSTRA GÖTALANDS LÄN</t>
        </is>
      </c>
      <c r="G166" t="inlineStr">
        <is>
          <t>KARLSBORG</t>
        </is>
      </c>
      <c r="I166" t="n">
        <v>14.6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20940-2026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46142</v>
      </c>
      <c r="E167" s="1" t="n">
        <v>46268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46268</v>
      </c>
      <c r="F168" t="inlineStr">
        <is>
          <t>VÄSTRA GÖTALANDS LÄN</t>
        </is>
      </c>
      <c r="G168" t="inlineStr">
        <is>
          <t>KARLSBORG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44929</v>
      </c>
      <c r="E169" s="1" t="n">
        <v>46268</v>
      </c>
      <c r="F169" t="inlineStr">
        <is>
          <t>VÄSTRA GÖTALANDS LÄN</t>
        </is>
      </c>
      <c r="G169" t="inlineStr">
        <is>
          <t>KARLSBORG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  <c r="X169">
        <f>HYPERLINK("https://klasma.github.io/Logging_1446/kartor/A 412-2023 karta.png", "A 412-2023")</f>
        <v/>
      </c>
      <c r="Y169">
        <f>HYPERLINK("https://klasma.github.io/Logging_1446/kartor_geotiff/A 412-2023 georefererad karta.tif", "A 412-2023")</f>
        <v/>
      </c>
      <c r="AA169">
        <f>HYPERLINK("https://klasma.github.io/Logging_1446/klagomål/A 412-2023 FSC-klagomål.docx", "A 412-2023")</f>
        <v/>
      </c>
      <c r="AB169">
        <f>HYPERLINK("https://klasma.github.io/Logging_1446/klagomålsmail/A 412-2023 FSC-klagomål mail.docx", "A 412-2023")</f>
        <v/>
      </c>
      <c r="AC169">
        <f>HYPERLINK("https://klasma.github.io/Logging_1446/tillsyn/A 412-2023 tillsynsbegäran.docx", "A 412-2023")</f>
        <v/>
      </c>
      <c r="AD169">
        <f>HYPERLINK("https://klasma.github.io/Logging_1446/tillsynsmail/A 412-2023 tillsynsbegäran mail.docx", "A 412-2023")</f>
        <v/>
      </c>
    </row>
    <row r="170" ht="15" customHeight="1">
      <c r="A170" t="inlineStr">
        <is>
          <t>A 29685-2022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44755</v>
      </c>
      <c r="E170" s="1" t="n">
        <v>46268</v>
      </c>
      <c r="F170" t="inlineStr">
        <is>
          <t>VÄSTRA GÖTALANDS LÄN</t>
        </is>
      </c>
      <c r="G170" t="inlineStr">
        <is>
          <t>KARLSBORG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46268</v>
      </c>
      <c r="F171" t="inlineStr">
        <is>
          <t>VÄSTRA GÖTALANDS LÄN</t>
        </is>
      </c>
      <c r="G171" t="inlineStr">
        <is>
          <t>KARLSBORG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45890</v>
      </c>
      <c r="E172" s="1" t="n">
        <v>46268</v>
      </c>
      <c r="F172" t="inlineStr">
        <is>
          <t>VÄSTRA GÖTALANDS LÄN</t>
        </is>
      </c>
      <c r="G172" t="inlineStr">
        <is>
          <t>KARLSBORG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46268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61211-2022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44908</v>
      </c>
      <c r="E174" s="1" t="n">
        <v>46268</v>
      </c>
      <c r="F174" t="inlineStr">
        <is>
          <t>VÄSTRA GÖTALANDS LÄN</t>
        </is>
      </c>
      <c r="G174" t="inlineStr">
        <is>
          <t>KARLSBORG</t>
        </is>
      </c>
      <c r="I174" t="n">
        <v>8.1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57913-2024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45631</v>
      </c>
      <c r="E175" s="1" t="n">
        <v>46268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46268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46268</v>
      </c>
      <c r="F177" t="inlineStr">
        <is>
          <t>VÄSTRA GÖTALANDS LÄN</t>
        </is>
      </c>
      <c r="G177" t="inlineStr">
        <is>
          <t>KARLSBORG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46268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46171</v>
      </c>
      <c r="E179" s="1" t="n">
        <v>46268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46268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58129-2024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45632</v>
      </c>
      <c r="E181" s="1" t="n">
        <v>46268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46268</v>
      </c>
      <c r="F182" t="inlineStr">
        <is>
          <t>VÄSTRA GÖTALANDS LÄN</t>
        </is>
      </c>
      <c r="G182" t="inlineStr">
        <is>
          <t>KARLSBORG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45394</v>
      </c>
      <c r="E183" s="1" t="n">
        <v>46268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46268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46268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46230</v>
      </c>
      <c r="E186" s="1" t="n">
        <v>46268</v>
      </c>
      <c r="F186" t="inlineStr">
        <is>
          <t>VÄSTRA GÖTALANDS LÄN</t>
        </is>
      </c>
      <c r="G186" t="inlineStr">
        <is>
          <t>KARLSBORG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46188</v>
      </c>
      <c r="E187" s="1" t="n">
        <v>46268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45209</v>
      </c>
      <c r="E188" s="1" t="n">
        <v>46268</v>
      </c>
      <c r="F188" t="inlineStr">
        <is>
          <t>VÄSTRA GÖTALANDS LÄN</t>
        </is>
      </c>
      <c r="G188" t="inlineStr">
        <is>
          <t>KARLSBORG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59890-2021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46268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44906</v>
      </c>
      <c r="E190" s="1" t="n">
        <v>46268</v>
      </c>
      <c r="F190" t="inlineStr">
        <is>
          <t>VÄSTRA GÖTALANDS LÄN</t>
        </is>
      </c>
      <c r="G190" t="inlineStr">
        <is>
          <t>KARLSBORG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69341-2021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44531</v>
      </c>
      <c r="E191" s="1" t="n">
        <v>46268</v>
      </c>
      <c r="F191" t="inlineStr">
        <is>
          <t>VÄSTRA GÖTALANDS LÄN</t>
        </is>
      </c>
      <c r="G191" t="inlineStr">
        <is>
          <t>KARLSBORG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46268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46268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15396-2024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45401</v>
      </c>
      <c r="E194" s="1" t="n">
        <v>46268</v>
      </c>
      <c r="F194" t="inlineStr">
        <is>
          <t>VÄSTRA GÖTALANDS LÄN</t>
        </is>
      </c>
      <c r="G194" t="inlineStr">
        <is>
          <t>KARLSBORG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46268</v>
      </c>
      <c r="F195" t="inlineStr">
        <is>
          <t>VÄSTRA GÖTALANDS LÄN</t>
        </is>
      </c>
      <c r="G195" t="inlineStr">
        <is>
          <t>KARLSBORG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59877-2021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46268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46160</v>
      </c>
      <c r="E197" s="1" t="n">
        <v>46268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46268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46210</v>
      </c>
      <c r="E199" s="1" t="n">
        <v>46268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46268</v>
      </c>
      <c r="F200" t="inlineStr">
        <is>
          <t>VÄSTRA GÖTALANDS LÄN</t>
        </is>
      </c>
      <c r="G200" t="inlineStr">
        <is>
          <t>KARLSBORG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46268</v>
      </c>
      <c r="F201" t="inlineStr">
        <is>
          <t>VÄSTRA GÖTALANDS LÄN</t>
        </is>
      </c>
      <c r="G201" t="inlineStr">
        <is>
          <t>KARLSBORG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46268</v>
      </c>
      <c r="F202" t="inlineStr">
        <is>
          <t>VÄSTRA GÖTALANDS LÄN</t>
        </is>
      </c>
      <c r="G202" t="inlineStr">
        <is>
          <t>KARLSBORG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45078</v>
      </c>
      <c r="E203" s="1" t="n">
        <v>46268</v>
      </c>
      <c r="F203" t="inlineStr">
        <is>
          <t>VÄSTRA GÖTALANDS LÄN</t>
        </is>
      </c>
      <c r="G203" t="inlineStr">
        <is>
          <t>KARLSBORG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45566</v>
      </c>
      <c r="E204" s="1" t="n">
        <v>46268</v>
      </c>
      <c r="F204" t="inlineStr">
        <is>
          <t>VÄSTRA GÖTALANDS LÄN</t>
        </is>
      </c>
      <c r="G204" t="inlineStr">
        <is>
          <t>KARLSBORG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46260</v>
      </c>
      <c r="E205" s="1" t="n">
        <v>46268</v>
      </c>
      <c r="F205" t="inlineStr">
        <is>
          <t>VÄSTRA GÖTALANDS LÄN</t>
        </is>
      </c>
      <c r="G205" t="inlineStr">
        <is>
          <t>KARLSBORG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46268</v>
      </c>
      <c r="F206" t="inlineStr">
        <is>
          <t>VÄSTRA GÖTALANDS LÄN</t>
        </is>
      </c>
      <c r="G206" t="inlineStr">
        <is>
          <t>KARLSBORG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46268</v>
      </c>
      <c r="F207" t="inlineStr">
        <is>
          <t>VÄSTRA GÖTALANDS LÄN</t>
        </is>
      </c>
      <c r="G207" t="inlineStr">
        <is>
          <t>KARLSBORG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46268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46268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44939</v>
      </c>
      <c r="E210" s="1" t="n">
        <v>46268</v>
      </c>
      <c r="F210" t="inlineStr">
        <is>
          <t>VÄSTRA GÖTALANDS LÄN</t>
        </is>
      </c>
      <c r="G210" t="inlineStr">
        <is>
          <t>KARLSBORG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45565</v>
      </c>
      <c r="E211" s="1" t="n">
        <v>46268</v>
      </c>
      <c r="F211" t="inlineStr">
        <is>
          <t>VÄSTRA GÖTALANDS LÄN</t>
        </is>
      </c>
      <c r="G211" t="inlineStr">
        <is>
          <t>KARLSBORG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40128-2023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45169</v>
      </c>
      <c r="E212" s="1" t="n">
        <v>46268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Övriga Aktiebolag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46268</v>
      </c>
      <c r="F213" t="inlineStr">
        <is>
          <t>VÄSTRA GÖTALANDS LÄN</t>
        </is>
      </c>
      <c r="G213" t="inlineStr">
        <is>
          <t>KARLSBORG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46268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46268</v>
      </c>
      <c r="F215" t="inlineStr">
        <is>
          <t>VÄSTRA GÖTALANDS LÄN</t>
        </is>
      </c>
      <c r="G215" t="inlineStr">
        <is>
          <t>KARLSBORG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53898-2021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46268</v>
      </c>
      <c r="F216" t="inlineStr">
        <is>
          <t>VÄSTRA GÖTALANDS LÄN</t>
        </is>
      </c>
      <c r="G216" t="inlineStr">
        <is>
          <t>KARLSBORG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46268</v>
      </c>
      <c r="F217" t="inlineStr">
        <is>
          <t>VÄSTRA GÖTALANDS LÄN</t>
        </is>
      </c>
      <c r="G217" t="inlineStr">
        <is>
          <t>KARLSBORG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46268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46268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46268</v>
      </c>
      <c r="F220" t="inlineStr">
        <is>
          <t>VÄSTRA GÖTALANDS LÄN</t>
        </is>
      </c>
      <c r="G220" t="inlineStr">
        <is>
          <t>KARLSBORG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46268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46268</v>
      </c>
      <c r="F222" t="inlineStr">
        <is>
          <t>VÄSTRA GÖTALANDS LÄN</t>
        </is>
      </c>
      <c r="G222" t="inlineStr">
        <is>
          <t>KARLSBORG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46268</v>
      </c>
      <c r="F223" t="inlineStr">
        <is>
          <t>VÄSTRA GÖTALANDS LÄN</t>
        </is>
      </c>
      <c r="G223" t="inlineStr">
        <is>
          <t>KARLSBORG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46268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46268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2026-09-03T02:09:41Z</dcterms:created>
  <dcterms:modified xmlns:dcterms="http://purl.org/dc/terms/" xmlns:xsi="http://www.w3.org/2001/XMLSchema-instance" xsi:type="dcterms:W3CDTF">2026-09-03T02:09:41Z</dcterms:modified>
</cp:coreProperties>
</file>