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46224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46224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46224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Talltita
Älg
Mindre märgborre
Vågbandad barkbock
Tjäder</t>
        </is>
      </c>
      <c r="W6">
        <f>HYPERLINK("https://klasma.github.io/Logging_1446/artfynd/A 22877-2026 artfynd.xlsx", "A 22877-2026")</f>
        <v/>
      </c>
      <c r="X6">
        <f>HYPERLINK("https://klasma.github.io/Logging_1446/kartor/A 22877-2026 karta.png", "A 22877-2026")</f>
        <v/>
      </c>
      <c r="Y6">
        <f>HYPERLINK("https://klasma.github.io/Logging_1446/kartor_geotiff/A 22877-2026 georefererad karta.tif", "A 22877-2026")</f>
        <v/>
      </c>
      <c r="AA6">
        <f>HYPERLINK("https://klasma.github.io/Logging_1446/klagomål/A 22877-2026 FSC-klagomål.docx", "A 22877-2026")</f>
        <v/>
      </c>
      <c r="AB6">
        <f>HYPERLINK("https://klasma.github.io/Logging_1446/klagomålsmail/A 22877-2026 FSC-klagomål mail.docx", "A 22877-2026")</f>
        <v/>
      </c>
      <c r="AC6">
        <f>HYPERLINK("https://klasma.github.io/Logging_1446/tillsyn/A 22877-2026 tillsynsbegäran.docx", "A 22877-2026")</f>
        <v/>
      </c>
      <c r="AD6">
        <f>HYPERLINK("https://klasma.github.io/Logging_1446/tillsynsmail/A 22877-2026 tillsynsbegäran mail.docx", "A 22877-2026")</f>
        <v/>
      </c>
      <c r="AE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46224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46224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46224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46224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46224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46224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46224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46224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46224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46224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46224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46224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46224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46224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46224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Revlummer</t>
        </is>
      </c>
      <c r="W21">
        <f>HYPERLINK("https://klasma.github.io/Logging_1446/artfynd/A 51531-2023 artfynd.xlsx", "A 51531-2023")</f>
        <v/>
      </c>
      <c r="X21">
        <f>HYPERLINK("https://klasma.github.io/Logging_1446/kartor/A 51531-2023 karta.png", "A 51531-2023")</f>
        <v/>
      </c>
      <c r="Y21">
        <f>HYPERLINK("https://klasma.github.io/Logging_1446/kartor_geotiff/A 51531-2023 georefererad karta.tif", "A 51531-2023")</f>
        <v/>
      </c>
      <c r="AA21">
        <f>HYPERLINK("https://klasma.github.io/Logging_1446/klagomål/A 51531-2023 FSC-klagomål.docx", "A 51531-2023")</f>
        <v/>
      </c>
      <c r="AB21">
        <f>HYPERLINK("https://klasma.github.io/Logging_1446/klagomålsmail/A 51531-2023 FSC-klagomål mail.docx", "A 51531-2023")</f>
        <v/>
      </c>
      <c r="AC21">
        <f>HYPERLINK("https://klasma.github.io/Logging_1446/tillsyn/A 51531-2023 tillsynsbegäran.docx", "A 51531-2023")</f>
        <v/>
      </c>
      <c r="AD21">
        <f>HYPERLINK("https://klasma.github.io/Logging_1446/tillsynsmail/A 51531-2023 tillsynsbegäran mail.docx", "A 51531-2023")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46224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46224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46224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Blåsippa</t>
        </is>
      </c>
      <c r="W24">
        <f>HYPERLINK("https://klasma.github.io/Logging_1446/artfynd/A 29484-2025 artfynd.xlsx", "A 29484-2025")</f>
        <v/>
      </c>
      <c r="X24">
        <f>HYPERLINK("https://klasma.github.io/Logging_1446/kartor/A 29484-2025 karta.png", "A 29484-2025")</f>
        <v/>
      </c>
      <c r="Y24">
        <f>HYPERLINK("https://klasma.github.io/Logging_1446/kartor_geotiff/A 29484-2025 georefererad karta.tif", "A 29484-2025")</f>
        <v/>
      </c>
      <c r="AA24">
        <f>HYPERLINK("https://klasma.github.io/Logging_1446/klagomål/A 29484-2025 FSC-klagomål.docx", "A 29484-2025")</f>
        <v/>
      </c>
      <c r="AB24">
        <f>HYPERLINK("https://klasma.github.io/Logging_1446/klagomålsmail/A 29484-2025 FSC-klagomål mail.docx", "A 29484-2025")</f>
        <v/>
      </c>
      <c r="AC24">
        <f>HYPERLINK("https://klasma.github.io/Logging_1446/tillsyn/A 29484-2025 tillsynsbegäran.docx", "A 29484-2025")</f>
        <v/>
      </c>
      <c r="AD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46224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46224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46224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46224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46224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46224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46224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46224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46224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46224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46224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46224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46224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46224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46224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46224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46224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46224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46224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46224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46224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46224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46224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46224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46224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46224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46224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46224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46224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46224</v>
      </c>
      <c r="F54" t="inlineStr">
        <is>
          <t>VÄSTRA GÖTALANDS LÄN</t>
        </is>
      </c>
      <c r="G54" t="inlineStr">
        <is>
          <t>KARLSBORG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57454-2024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45630</v>
      </c>
      <c r="E55" s="1" t="n">
        <v>46224</v>
      </c>
      <c r="F55" t="inlineStr">
        <is>
          <t>VÄSTRA GÖTALANDS LÄN</t>
        </is>
      </c>
      <c r="G55" t="inlineStr">
        <is>
          <t>KARLSBORG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45721</v>
      </c>
      <c r="E56" s="1" t="n">
        <v>46224</v>
      </c>
      <c r="F56" t="inlineStr">
        <is>
          <t>VÄSTRA GÖTALANDS LÄN</t>
        </is>
      </c>
      <c r="G56" t="inlineStr">
        <is>
          <t>KARLSBORG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45243</v>
      </c>
      <c r="E57" s="1" t="n">
        <v>46224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46006</v>
      </c>
      <c r="E58" s="1" t="n">
        <v>46224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62072-2025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46006</v>
      </c>
      <c r="E59" s="1" t="n">
        <v>46224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46224</v>
      </c>
      <c r="F60" t="inlineStr">
        <is>
          <t>VÄSTRA GÖTALANDS LÄN</t>
        </is>
      </c>
      <c r="G60" t="inlineStr">
        <is>
          <t>KARLSBORG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46224</v>
      </c>
      <c r="F61" t="inlineStr">
        <is>
          <t>VÄSTRA GÖTALANDS LÄN</t>
        </is>
      </c>
      <c r="G61" t="inlineStr">
        <is>
          <t>KARLSBORG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45630</v>
      </c>
      <c r="E62" s="1" t="n">
        <v>46224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35040-2024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45527</v>
      </c>
      <c r="E63" s="1" t="n">
        <v>46224</v>
      </c>
      <c r="F63" t="inlineStr">
        <is>
          <t>VÄSTRA GÖTALANDS LÄN</t>
        </is>
      </c>
      <c r="G63" t="inlineStr">
        <is>
          <t>KARLSBORG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45680</v>
      </c>
      <c r="E64" s="1" t="n">
        <v>46224</v>
      </c>
      <c r="F64" t="inlineStr">
        <is>
          <t>VÄSTRA GÖTALANDS LÄN</t>
        </is>
      </c>
      <c r="G64" t="inlineStr">
        <is>
          <t>KARLSBORG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46224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45103</v>
      </c>
      <c r="E66" s="1" t="n">
        <v>46224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46224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46224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46224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45899</v>
      </c>
      <c r="E70" s="1" t="n">
        <v>46224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15220-2023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46224</v>
      </c>
      <c r="F71" t="inlineStr">
        <is>
          <t>VÄSTRA GÖTALANDS LÄN</t>
        </is>
      </c>
      <c r="G71" t="inlineStr">
        <is>
          <t>KARLSBORG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46224</v>
      </c>
      <c r="F72" t="inlineStr">
        <is>
          <t>VÄSTRA GÖTALANDS LÄN</t>
        </is>
      </c>
      <c r="G72" t="inlineStr">
        <is>
          <t>KARLSBORG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46224</v>
      </c>
      <c r="F73" t="inlineStr">
        <is>
          <t>VÄSTRA GÖTALANDS LÄN</t>
        </is>
      </c>
      <c r="G73" t="inlineStr">
        <is>
          <t>KARLSBORG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45478</v>
      </c>
      <c r="E74" s="1" t="n">
        <v>46224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46224</v>
      </c>
      <c r="F75" t="inlineStr">
        <is>
          <t>VÄSTRA GÖTALANDS LÄN</t>
        </is>
      </c>
      <c r="G75" t="inlineStr">
        <is>
          <t>KARLSBORG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46224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Kyrkan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46224</v>
      </c>
      <c r="F77" t="inlineStr">
        <is>
          <t>VÄSTRA GÖTALANDS LÄN</t>
        </is>
      </c>
      <c r="G77" t="inlineStr">
        <is>
          <t>KARLSBORG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46224</v>
      </c>
      <c r="F78" t="inlineStr">
        <is>
          <t>VÄSTRA GÖTALANDS LÄN</t>
        </is>
      </c>
      <c r="G78" t="inlineStr">
        <is>
          <t>KARLSBORG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46224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45247-2025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46224</v>
      </c>
      <c r="F80" t="inlineStr">
        <is>
          <t>VÄSTRA GÖTALANDS LÄN</t>
        </is>
      </c>
      <c r="G80" t="inlineStr">
        <is>
          <t>KARLSBORG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45256-2025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46224</v>
      </c>
      <c r="F81" t="inlineStr">
        <is>
          <t>VÄSTRA GÖTALANDS LÄN</t>
        </is>
      </c>
      <c r="G81" t="inlineStr">
        <is>
          <t>KARLSBORG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58127-2024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45632</v>
      </c>
      <c r="E82" s="1" t="n">
        <v>46224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44494</v>
      </c>
      <c r="E83" s="1" t="n">
        <v>46224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statliga verk och myndigheter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46224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46021</v>
      </c>
      <c r="E85" s="1" t="n">
        <v>46224</v>
      </c>
      <c r="F85" t="inlineStr">
        <is>
          <t>VÄSTRA GÖTALANDS LÄN</t>
        </is>
      </c>
      <c r="G85" t="inlineStr">
        <is>
          <t>KARLSBORG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45002</v>
      </c>
      <c r="E86" s="1" t="n">
        <v>46224</v>
      </c>
      <c r="F86" t="inlineStr">
        <is>
          <t>VÄSTRA GÖTALANDS LÄN</t>
        </is>
      </c>
      <c r="G86" t="inlineStr">
        <is>
          <t>KARLSBORG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64012-2025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46021</v>
      </c>
      <c r="E87" s="1" t="n">
        <v>46224</v>
      </c>
      <c r="F87" t="inlineStr">
        <is>
          <t>VÄSTRA GÖTALANDS LÄN</t>
        </is>
      </c>
      <c r="G87" t="inlineStr">
        <is>
          <t>KARLSBORG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46224</v>
      </c>
      <c r="F88" t="inlineStr">
        <is>
          <t>VÄSTRA GÖTALANDS LÄN</t>
        </is>
      </c>
      <c r="G88" t="inlineStr">
        <is>
          <t>KARLSBORG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45257</v>
      </c>
      <c r="E89" s="1" t="n">
        <v>46224</v>
      </c>
      <c r="F89" t="inlineStr">
        <is>
          <t>VÄSTRA GÖTALANDS LÄN</t>
        </is>
      </c>
      <c r="G89" t="inlineStr">
        <is>
          <t>KARLSBORG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46224</v>
      </c>
      <c r="F90" t="inlineStr">
        <is>
          <t>VÄSTRA GÖTALANDS LÄN</t>
        </is>
      </c>
      <c r="G90" t="inlineStr">
        <is>
          <t>KARLSBORG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64025-2025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46021</v>
      </c>
      <c r="E91" s="1" t="n">
        <v>46224</v>
      </c>
      <c r="F91" t="inlineStr">
        <is>
          <t>VÄSTRA GÖTALANDS LÄN</t>
        </is>
      </c>
      <c r="G91" t="inlineStr">
        <is>
          <t>KARLSBORG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46224</v>
      </c>
      <c r="F92" t="inlineStr">
        <is>
          <t>VÄSTRA GÖTALANDS LÄN</t>
        </is>
      </c>
      <c r="G92" t="inlineStr">
        <is>
          <t>KARLSBORG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70783-2021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46224</v>
      </c>
      <c r="F93" t="inlineStr">
        <is>
          <t>VÄSTRA GÖTALANDS LÄN</t>
        </is>
      </c>
      <c r="G93" t="inlineStr">
        <is>
          <t>KARLSBORG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46224</v>
      </c>
      <c r="F94" t="inlineStr">
        <is>
          <t>VÄSTRA GÖTALANDS LÄN</t>
        </is>
      </c>
      <c r="G94" t="inlineStr">
        <is>
          <t>KARLSBORG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45834</v>
      </c>
      <c r="E95" s="1" t="n">
        <v>46224</v>
      </c>
      <c r="F95" t="inlineStr">
        <is>
          <t>VÄSTRA GÖTALANDS LÄN</t>
        </is>
      </c>
      <c r="G95" t="inlineStr">
        <is>
          <t>KARLSBORG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32128-2025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45835</v>
      </c>
      <c r="E96" s="1" t="n">
        <v>46224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31701-2025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45834</v>
      </c>
      <c r="E97" s="1" t="n">
        <v>46224</v>
      </c>
      <c r="F97" t="inlineStr">
        <is>
          <t>VÄSTRA GÖTALANDS LÄN</t>
        </is>
      </c>
      <c r="G97" t="inlineStr">
        <is>
          <t>KARLSBORG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44985-2024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45575</v>
      </c>
      <c r="E98" s="1" t="n">
        <v>46224</v>
      </c>
      <c r="F98" t="inlineStr">
        <is>
          <t>VÄSTRA GÖTALANDS LÄN</t>
        </is>
      </c>
      <c r="G98" t="inlineStr">
        <is>
          <t>KARLSBORG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57235-2022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44895</v>
      </c>
      <c r="E99" s="1" t="n">
        <v>46224</v>
      </c>
      <c r="F99" t="inlineStr">
        <is>
          <t>VÄSTRA GÖTALANDS LÄN</t>
        </is>
      </c>
      <c r="G99" t="inlineStr">
        <is>
          <t>KARLSBORG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46224</v>
      </c>
      <c r="F100" t="inlineStr">
        <is>
          <t>VÄSTRA GÖTALANDS LÄN</t>
        </is>
      </c>
      <c r="G100" t="inlineStr">
        <is>
          <t>KARLSBORG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46224</v>
      </c>
      <c r="F101" t="inlineStr">
        <is>
          <t>VÄSTRA GÖTALANDS LÄN</t>
        </is>
      </c>
      <c r="G101" t="inlineStr">
        <is>
          <t>KARLSBORG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45942</v>
      </c>
      <c r="E102" s="1" t="n">
        <v>46224</v>
      </c>
      <c r="F102" t="inlineStr">
        <is>
          <t>VÄSTRA GÖTALANDS LÄN</t>
        </is>
      </c>
      <c r="G102" t="inlineStr">
        <is>
          <t>KARLSBORG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44944</v>
      </c>
      <c r="E103" s="1" t="n">
        <v>46224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Övriga Aktiebolag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49866-2025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45940</v>
      </c>
      <c r="E104" s="1" t="n">
        <v>46224</v>
      </c>
      <c r="F104" t="inlineStr">
        <is>
          <t>VÄSTRA GÖTALANDS LÄN</t>
        </is>
      </c>
      <c r="G104" t="inlineStr">
        <is>
          <t>KARLSBORG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46224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43021-2021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44431</v>
      </c>
      <c r="E106" s="1" t="n">
        <v>46224</v>
      </c>
      <c r="F106" t="inlineStr">
        <is>
          <t>VÄSTRA GÖTALANDS LÄN</t>
        </is>
      </c>
      <c r="G106" t="inlineStr">
        <is>
          <t>KARLSBORG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46224</v>
      </c>
      <c r="F107" t="inlineStr">
        <is>
          <t>VÄSTRA GÖTALANDS LÄN</t>
        </is>
      </c>
      <c r="G107" t="inlineStr">
        <is>
          <t>KARLSBORG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45394</v>
      </c>
      <c r="E108" s="1" t="n">
        <v>46224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46224</v>
      </c>
      <c r="F109" t="inlineStr">
        <is>
          <t>VÄSTRA GÖTALANDS LÄN</t>
        </is>
      </c>
      <c r="G109" t="inlineStr">
        <is>
          <t>KARLSBORG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44906</v>
      </c>
      <c r="E110" s="1" t="n">
        <v>46224</v>
      </c>
      <c r="F110" t="inlineStr">
        <is>
          <t>VÄSTRA GÖTALANDS LÄN</t>
        </is>
      </c>
      <c r="G110" t="inlineStr">
        <is>
          <t>KARLSBORG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46224</v>
      </c>
      <c r="F111" t="inlineStr">
        <is>
          <t>VÄSTRA GÖTALANDS LÄN</t>
        </is>
      </c>
      <c r="G111" t="inlineStr">
        <is>
          <t>KARLSBORG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46224</v>
      </c>
      <c r="F112" t="inlineStr">
        <is>
          <t>VÄSTRA GÖTALANDS LÄN</t>
        </is>
      </c>
      <c r="G112" t="inlineStr">
        <is>
          <t>KARLSBORG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35930-2025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45862</v>
      </c>
      <c r="E113" s="1" t="n">
        <v>46224</v>
      </c>
      <c r="F113" t="inlineStr">
        <is>
          <t>VÄSTRA GÖTALANDS LÄN</t>
        </is>
      </c>
      <c r="G113" t="inlineStr">
        <is>
          <t>KARLSBORG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46224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45883</v>
      </c>
      <c r="E115" s="1" t="n">
        <v>46224</v>
      </c>
      <c r="F115" t="inlineStr">
        <is>
          <t>VÄSTRA GÖTALANDS LÄN</t>
        </is>
      </c>
      <c r="G115" t="inlineStr">
        <is>
          <t>KARLSBORG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46224</v>
      </c>
      <c r="F116" t="inlineStr">
        <is>
          <t>VÄSTRA GÖTALANDS LÄN</t>
        </is>
      </c>
      <c r="G116" t="inlineStr">
        <is>
          <t>KARLSBORG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56110-2025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46224</v>
      </c>
      <c r="F117" t="inlineStr">
        <is>
          <t>VÄSTRA GÖTALANDS LÄN</t>
        </is>
      </c>
      <c r="G117" t="inlineStr">
        <is>
          <t>KARLSBORG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45566</v>
      </c>
      <c r="E118" s="1" t="n">
        <v>46224</v>
      </c>
      <c r="F118" t="inlineStr">
        <is>
          <t>VÄSTRA GÖTALANDS LÄN</t>
        </is>
      </c>
      <c r="G118" t="inlineStr">
        <is>
          <t>KARLSBORG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45614</v>
      </c>
      <c r="E119" s="1" t="n">
        <v>46224</v>
      </c>
      <c r="F119" t="inlineStr">
        <is>
          <t>VÄSTRA GÖTALANDS LÄN</t>
        </is>
      </c>
      <c r="G119" t="inlineStr">
        <is>
          <t>KARLSBORG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46224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Aktiebolag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41684-2023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45176</v>
      </c>
      <c r="E121" s="1" t="n">
        <v>46224</v>
      </c>
      <c r="F121" t="inlineStr">
        <is>
          <t>VÄSTRA GÖTALANDS LÄN</t>
        </is>
      </c>
      <c r="G121" t="inlineStr">
        <is>
          <t>KARLSBORG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46224</v>
      </c>
      <c r="F122" t="inlineStr">
        <is>
          <t>VÄSTRA GÖTALANDS LÄN</t>
        </is>
      </c>
      <c r="G122" t="inlineStr">
        <is>
          <t>KARLSBORG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46224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46224</v>
      </c>
      <c r="F124" t="inlineStr">
        <is>
          <t>VÄSTRA GÖTALANDS LÄN</t>
        </is>
      </c>
      <c r="G124" t="inlineStr">
        <is>
          <t>KARLSBORG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45988</v>
      </c>
      <c r="E125" s="1" t="n">
        <v>46224</v>
      </c>
      <c r="F125" t="inlineStr">
        <is>
          <t>VÄSTRA GÖTALANDS LÄN</t>
        </is>
      </c>
      <c r="G125" t="inlineStr">
        <is>
          <t>KARLSBORG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46224</v>
      </c>
      <c r="F126" t="inlineStr">
        <is>
          <t>VÄSTRA GÖTALANDS LÄN</t>
        </is>
      </c>
      <c r="G126" t="inlineStr">
        <is>
          <t>KARLSBORG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45470</v>
      </c>
      <c r="E127" s="1" t="n">
        <v>46224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44795</v>
      </c>
      <c r="E128" s="1" t="n">
        <v>46224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45090</v>
      </c>
      <c r="E129" s="1" t="n">
        <v>46224</v>
      </c>
      <c r="F129" t="inlineStr">
        <is>
          <t>VÄSTRA GÖTALANDS LÄN</t>
        </is>
      </c>
      <c r="G129" t="inlineStr">
        <is>
          <t>KARLSBORG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46224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46224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14.3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46224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46224</v>
      </c>
      <c r="F133" t="inlineStr">
        <is>
          <t>VÄSTRA GÖTALANDS LÄN</t>
        </is>
      </c>
      <c r="G133" t="inlineStr">
        <is>
          <t>KARLSBORG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46052</v>
      </c>
      <c r="E134" s="1" t="n">
        <v>46224</v>
      </c>
      <c r="F134" t="inlineStr">
        <is>
          <t>VÄSTRA GÖTALANDS LÄN</t>
        </is>
      </c>
      <c r="G134" t="inlineStr">
        <is>
          <t>KARLSBORG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46055</v>
      </c>
      <c r="E135" s="1" t="n">
        <v>46224</v>
      </c>
      <c r="F135" t="inlineStr">
        <is>
          <t>VÄSTRA GÖTALANDS LÄN</t>
        </is>
      </c>
      <c r="G135" t="inlineStr">
        <is>
          <t>KARLSBORG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24594-2022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44727</v>
      </c>
      <c r="E136" s="1" t="n">
        <v>46224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45233</v>
      </c>
      <c r="E137" s="1" t="n">
        <v>46224</v>
      </c>
      <c r="F137" t="inlineStr">
        <is>
          <t>VÄSTRA GÖTALANDS LÄN</t>
        </is>
      </c>
      <c r="G137" t="inlineStr">
        <is>
          <t>KARLSBORG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46224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46224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statliga verk och myndigheter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46224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statliga verk och myndigheter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46224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46224</v>
      </c>
      <c r="F142" t="inlineStr">
        <is>
          <t>VÄSTRA GÖTALANDS LÄN</t>
        </is>
      </c>
      <c r="G142" t="inlineStr">
        <is>
          <t>KARLSBORG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45566</v>
      </c>
      <c r="E143" s="1" t="n">
        <v>46224</v>
      </c>
      <c r="F143" t="inlineStr">
        <is>
          <t>VÄSTRA GÖTALANDS LÄN</t>
        </is>
      </c>
      <c r="G143" t="inlineStr">
        <is>
          <t>KARLSBORG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46224</v>
      </c>
      <c r="F144" t="inlineStr">
        <is>
          <t>VÄSTRA GÖTALANDS LÄN</t>
        </is>
      </c>
      <c r="G144" t="inlineStr">
        <is>
          <t>KARLSBORG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46224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46069</v>
      </c>
      <c r="E146" s="1" t="n">
        <v>46224</v>
      </c>
      <c r="F146" t="inlineStr">
        <is>
          <t>VÄSTRA GÖTALANDS LÄN</t>
        </is>
      </c>
      <c r="G146" t="inlineStr">
        <is>
          <t>KARLSBORG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65313-2021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44515</v>
      </c>
      <c r="E147" s="1" t="n">
        <v>46224</v>
      </c>
      <c r="F147" t="inlineStr">
        <is>
          <t>VÄSTRA GÖTALANDS LÄN</t>
        </is>
      </c>
      <c r="G147" t="inlineStr">
        <is>
          <t>KARLSBORG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46224</v>
      </c>
      <c r="F148" t="inlineStr">
        <is>
          <t>VÄSTRA GÖTALANDS LÄN</t>
        </is>
      </c>
      <c r="G148" t="inlineStr">
        <is>
          <t>KARLSBORG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46224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46224</v>
      </c>
      <c r="F150" t="inlineStr">
        <is>
          <t>VÄSTRA GÖTALANDS LÄN</t>
        </is>
      </c>
      <c r="G150" t="inlineStr">
        <is>
          <t>KARLSBORG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10907-2026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46079</v>
      </c>
      <c r="E151" s="1" t="n">
        <v>46224</v>
      </c>
      <c r="F151" t="inlineStr">
        <is>
          <t>VÄSTRA GÖTALANDS LÄN</t>
        </is>
      </c>
      <c r="G151" t="inlineStr">
        <is>
          <t>KARLSBORG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57915-2024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45631</v>
      </c>
      <c r="E152" s="1" t="n">
        <v>46224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45561</v>
      </c>
      <c r="E153" s="1" t="n">
        <v>46224</v>
      </c>
      <c r="F153" t="inlineStr">
        <is>
          <t>VÄSTRA GÖTALANDS LÄN</t>
        </is>
      </c>
      <c r="G153" t="inlineStr">
        <is>
          <t>KARLSBORG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46224</v>
      </c>
      <c r="F154" t="inlineStr">
        <is>
          <t>VÄSTRA GÖTALANDS LÄN</t>
        </is>
      </c>
      <c r="G154" t="inlineStr">
        <is>
          <t>KARLSBORG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46224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44906</v>
      </c>
      <c r="E156" s="1" t="n">
        <v>46224</v>
      </c>
      <c r="F156" t="inlineStr">
        <is>
          <t>VÄSTRA GÖTALANDS LÄN</t>
        </is>
      </c>
      <c r="G156" t="inlineStr">
        <is>
          <t>KARLSBORG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46224</v>
      </c>
      <c r="F157" t="inlineStr">
        <is>
          <t>VÄSTRA GÖTALANDS LÄN</t>
        </is>
      </c>
      <c r="G157" t="inlineStr">
        <is>
          <t>KARLSBORG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46224</v>
      </c>
      <c r="F158" t="inlineStr">
        <is>
          <t>VÄSTRA GÖTALANDS LÄN</t>
        </is>
      </c>
      <c r="G158" t="inlineStr">
        <is>
          <t>KARLSBORG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44972</v>
      </c>
      <c r="E159" s="1" t="n">
        <v>46224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23500-2023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45076</v>
      </c>
      <c r="E160" s="1" t="n">
        <v>46224</v>
      </c>
      <c r="F160" t="inlineStr">
        <is>
          <t>VÄSTRA GÖTALANDS LÄN</t>
        </is>
      </c>
      <c r="G160" t="inlineStr">
        <is>
          <t>KARLSBORG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46224</v>
      </c>
      <c r="F161" t="inlineStr">
        <is>
          <t>VÄSTRA GÖTALANDS LÄN</t>
        </is>
      </c>
      <c r="G161" t="inlineStr">
        <is>
          <t>KARLSBORG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46224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18544-2026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46224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46127</v>
      </c>
      <c r="E164" s="1" t="n">
        <v>46224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18519-2026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46127</v>
      </c>
      <c r="E165" s="1" t="n">
        <v>46224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42661-2021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44428</v>
      </c>
      <c r="E166" s="1" t="n">
        <v>46224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46224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18564-2026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46127</v>
      </c>
      <c r="E168" s="1" t="n">
        <v>46224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45251</v>
      </c>
      <c r="E169" s="1" t="n">
        <v>46224</v>
      </c>
      <c r="F169" t="inlineStr">
        <is>
          <t>VÄSTRA GÖTALANDS LÄN</t>
        </is>
      </c>
      <c r="G169" t="inlineStr">
        <is>
          <t>KARLSBORG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58152-2022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46224</v>
      </c>
      <c r="F170" t="inlineStr">
        <is>
          <t>VÄSTRA GÖTALANDS LÄN</t>
        </is>
      </c>
      <c r="G170" t="inlineStr">
        <is>
          <t>KARLSBORG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46045</v>
      </c>
      <c r="E171" s="1" t="n">
        <v>46224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37363-2022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46224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29357-2024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45483</v>
      </c>
      <c r="E173" s="1" t="n">
        <v>46224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46224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45229</v>
      </c>
      <c r="E175" s="1" t="n">
        <v>46224</v>
      </c>
      <c r="F175" t="inlineStr">
        <is>
          <t>VÄSTRA GÖTALANDS LÄN</t>
        </is>
      </c>
      <c r="G175" t="inlineStr">
        <is>
          <t>KARLSBORG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44929</v>
      </c>
      <c r="E176" s="1" t="n">
        <v>46224</v>
      </c>
      <c r="F176" t="inlineStr">
        <is>
          <t>VÄSTRA GÖTALANDS LÄN</t>
        </is>
      </c>
      <c r="G176" t="inlineStr">
        <is>
          <t>KARLSBORG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  <c r="X176">
        <f>HYPERLINK("https://klasma.github.io/Logging_1446/kartor/A 412-2023 karta.png", "A 412-2023")</f>
        <v/>
      </c>
      <c r="Y176">
        <f>HYPERLINK("https://klasma.github.io/Logging_1446/kartor_geotiff/A 412-2023 georefererad karta.tif", "A 412-2023")</f>
        <v/>
      </c>
      <c r="AA176">
        <f>HYPERLINK("https://klasma.github.io/Logging_1446/klagomål/A 412-2023 FSC-klagomål.docx", "A 412-2023")</f>
        <v/>
      </c>
      <c r="AB176">
        <f>HYPERLINK("https://klasma.github.io/Logging_1446/klagomålsmail/A 412-2023 FSC-klagomål mail.docx", "A 412-2023")</f>
        <v/>
      </c>
      <c r="AC176">
        <f>HYPERLINK("https://klasma.github.io/Logging_1446/tillsyn/A 412-2023 tillsynsbegäran.docx", "A 412-2023")</f>
        <v/>
      </c>
      <c r="AD176">
        <f>HYPERLINK("https://klasma.github.io/Logging_1446/tillsynsmail/A 412-2023 tillsynsbegäran mail.docx", "A 412-2023")</f>
        <v/>
      </c>
    </row>
    <row r="177" ht="15" customHeight="1">
      <c r="A177" t="inlineStr">
        <is>
          <t>A 17002-2025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46224</v>
      </c>
      <c r="F177" t="inlineStr">
        <is>
          <t>VÄSTRA GÖTALANDS LÄN</t>
        </is>
      </c>
      <c r="G177" t="inlineStr">
        <is>
          <t>KARLSBORG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48385-2025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45933</v>
      </c>
      <c r="E178" s="1" t="n">
        <v>46224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44785</v>
      </c>
      <c r="E179" s="1" t="n">
        <v>46224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35441-2024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45531</v>
      </c>
      <c r="E180" s="1" t="n">
        <v>46224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9.800000000000001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43709-2024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45569</v>
      </c>
      <c r="E181" s="1" t="n">
        <v>46224</v>
      </c>
      <c r="F181" t="inlineStr">
        <is>
          <t>VÄSTRA GÖTALANDS LÄN</t>
        </is>
      </c>
      <c r="G181" t="inlineStr">
        <is>
          <t>KARLSBORG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44755</v>
      </c>
      <c r="E182" s="1" t="n">
        <v>46224</v>
      </c>
      <c r="F182" t="inlineStr">
        <is>
          <t>VÄSTRA GÖTALANDS LÄN</t>
        </is>
      </c>
      <c r="G182" t="inlineStr">
        <is>
          <t>KARLSBORG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46224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46224</v>
      </c>
      <c r="F184" t="inlineStr">
        <is>
          <t>VÄSTRA GÖTALANDS LÄN</t>
        </is>
      </c>
      <c r="G184" t="inlineStr">
        <is>
          <t>KARLSBORG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57913-2024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45631</v>
      </c>
      <c r="E185" s="1" t="n">
        <v>46224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46224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46143</v>
      </c>
      <c r="E187" s="1" t="n">
        <v>46224</v>
      </c>
      <c r="F187" t="inlineStr">
        <is>
          <t>VÄSTRA GÖTALANDS LÄN</t>
        </is>
      </c>
      <c r="G187" t="inlineStr">
        <is>
          <t>KARLSBORG</t>
        </is>
      </c>
      <c r="I187" t="n">
        <v>14.6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20940-2026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46142</v>
      </c>
      <c r="E188" s="1" t="n">
        <v>46224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46224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46224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46224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46224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46224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58129-2024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45632</v>
      </c>
      <c r="E194" s="1" t="n">
        <v>46224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46224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46224</v>
      </c>
      <c r="F196" t="inlineStr">
        <is>
          <t>VÄSTRA GÖTALANDS LÄN</t>
        </is>
      </c>
      <c r="G196" t="inlineStr">
        <is>
          <t>KARLSBORG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45209</v>
      </c>
      <c r="E197" s="1" t="n">
        <v>46224</v>
      </c>
      <c r="F197" t="inlineStr">
        <is>
          <t>VÄSTRA GÖTALANDS LÄN</t>
        </is>
      </c>
      <c r="G197" t="inlineStr">
        <is>
          <t>KARLSBORG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45890</v>
      </c>
      <c r="E198" s="1" t="n">
        <v>46224</v>
      </c>
      <c r="F198" t="inlineStr">
        <is>
          <t>VÄSTRA GÖTALANDS LÄN</t>
        </is>
      </c>
      <c r="G198" t="inlineStr">
        <is>
          <t>KARLSBORG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46224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59404-2022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44906</v>
      </c>
      <c r="E200" s="1" t="n">
        <v>46224</v>
      </c>
      <c r="F200" t="inlineStr">
        <is>
          <t>VÄSTRA GÖTALANDS LÄN</t>
        </is>
      </c>
      <c r="G200" t="inlineStr">
        <is>
          <t>KARLSBORG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69341-2021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46224</v>
      </c>
      <c r="F201" t="inlineStr">
        <is>
          <t>VÄSTRA GÖTALANDS LÄN</t>
        </is>
      </c>
      <c r="G201" t="inlineStr">
        <is>
          <t>KARLSBORG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46224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22890-2026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46160</v>
      </c>
      <c r="E203" s="1" t="n">
        <v>46224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46224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46224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Övriga Aktiebolag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46224</v>
      </c>
      <c r="F206" t="inlineStr">
        <is>
          <t>VÄSTRA GÖTALANDS LÄN</t>
        </is>
      </c>
      <c r="G206" t="inlineStr">
        <is>
          <t>KARLSBORG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15396-2024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45401</v>
      </c>
      <c r="E207" s="1" t="n">
        <v>46224</v>
      </c>
      <c r="F207" t="inlineStr">
        <is>
          <t>VÄSTRA GÖTALANDS LÄN</t>
        </is>
      </c>
      <c r="G207" t="inlineStr">
        <is>
          <t>KARLSBORG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46224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statliga verk och myndigheter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46224</v>
      </c>
      <c r="F209" t="inlineStr">
        <is>
          <t>VÄSTRA GÖTALANDS LÄN</t>
        </is>
      </c>
      <c r="G209" t="inlineStr">
        <is>
          <t>KARLSBORG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46224</v>
      </c>
      <c r="F210" t="inlineStr">
        <is>
          <t>VÄSTRA GÖTALANDS LÄN</t>
        </is>
      </c>
      <c r="G210" t="inlineStr">
        <is>
          <t>KARLSBORG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46210</v>
      </c>
      <c r="E211" s="1" t="n">
        <v>46224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46224</v>
      </c>
      <c r="F212" t="inlineStr">
        <is>
          <t>VÄSTRA GÖTALANDS LÄN</t>
        </is>
      </c>
      <c r="G212" t="inlineStr">
        <is>
          <t>KARLSBORG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46224</v>
      </c>
      <c r="F213" t="inlineStr">
        <is>
          <t>VÄSTRA GÖTALANDS LÄN</t>
        </is>
      </c>
      <c r="G213" t="inlineStr">
        <is>
          <t>KARLSBORG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24008-2023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45078</v>
      </c>
      <c r="E214" s="1" t="n">
        <v>46224</v>
      </c>
      <c r="F214" t="inlineStr">
        <is>
          <t>VÄSTRA GÖTALANDS LÄN</t>
        </is>
      </c>
      <c r="G214" t="inlineStr">
        <is>
          <t>KARLSBORG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30609-2026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46210</v>
      </c>
      <c r="E215" s="1" t="n">
        <v>46224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45566</v>
      </c>
      <c r="E216" s="1" t="n">
        <v>46224</v>
      </c>
      <c r="F216" t="inlineStr">
        <is>
          <t>VÄSTRA GÖTALANDS LÄN</t>
        </is>
      </c>
      <c r="G216" t="inlineStr">
        <is>
          <t>KARLSBORG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46224</v>
      </c>
      <c r="F217" t="inlineStr">
        <is>
          <t>VÄSTRA GÖTALANDS LÄN</t>
        </is>
      </c>
      <c r="G217" t="inlineStr">
        <is>
          <t>KARLSBORG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58573-2023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45251</v>
      </c>
      <c r="E218" s="1" t="n">
        <v>46224</v>
      </c>
      <c r="F218" t="inlineStr">
        <is>
          <t>VÄSTRA GÖTALANDS LÄN</t>
        </is>
      </c>
      <c r="G218" t="inlineStr">
        <is>
          <t>KARLSBORG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46224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46224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46171</v>
      </c>
      <c r="E221" s="1" t="n">
        <v>46224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46224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53909-2023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46224</v>
      </c>
      <c r="F223" t="inlineStr">
        <is>
          <t>VÄSTRA GÖTALANDS LÄN</t>
        </is>
      </c>
      <c r="G223" t="inlineStr">
        <is>
          <t>KARLSBORG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46224</v>
      </c>
      <c r="F224" t="inlineStr">
        <is>
          <t>VÄSTRA GÖTALANDS LÄN</t>
        </is>
      </c>
      <c r="G224" t="inlineStr">
        <is>
          <t>KARLSBORG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42598-2024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45565</v>
      </c>
      <c r="E225" s="1" t="n">
        <v>46224</v>
      </c>
      <c r="F225" t="inlineStr">
        <is>
          <t>VÄSTRA GÖTALANDS LÄN</t>
        </is>
      </c>
      <c r="G225" t="inlineStr">
        <is>
          <t>KARLSBORG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40128-2023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45169</v>
      </c>
      <c r="E226" s="1" t="n">
        <v>46224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46224</v>
      </c>
      <c r="F227" t="inlineStr">
        <is>
          <t>VÄSTRA GÖTALANDS LÄN</t>
        </is>
      </c>
      <c r="G227" t="inlineStr">
        <is>
          <t>KARLSBORG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42724-2024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45566</v>
      </c>
      <c r="E228" s="1" t="n">
        <v>46224</v>
      </c>
      <c r="F228" t="inlineStr">
        <is>
          <t>VÄSTRA GÖTALANDS LÄN</t>
        </is>
      </c>
      <c r="G228" t="inlineStr">
        <is>
          <t>KARLSBORG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46224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45436</v>
      </c>
      <c r="E230" s="1" t="n">
        <v>46224</v>
      </c>
      <c r="F230" t="inlineStr">
        <is>
          <t>VÄSTRA GÖTALANDS LÄN</t>
        </is>
      </c>
      <c r="G230" t="inlineStr">
        <is>
          <t>KARLSBORG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53898-2021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46224</v>
      </c>
      <c r="F231" t="inlineStr">
        <is>
          <t>VÄSTRA GÖTALANDS LÄN</t>
        </is>
      </c>
      <c r="G231" t="inlineStr">
        <is>
          <t>KARLSBORG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45224-2021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44439</v>
      </c>
      <c r="E232" s="1" t="n">
        <v>46224</v>
      </c>
      <c r="F232" t="inlineStr">
        <is>
          <t>VÄSTRA GÖTALANDS LÄN</t>
        </is>
      </c>
      <c r="G232" t="inlineStr">
        <is>
          <t>KARLSBORG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46224</v>
      </c>
      <c r="F233" t="inlineStr">
        <is>
          <t>VÄSTRA GÖTALANDS LÄN</t>
        </is>
      </c>
      <c r="G233" t="inlineStr">
        <is>
          <t>KARLSBORG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22435-2025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45786</v>
      </c>
      <c r="E234" s="1" t="n">
        <v>46224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45789</v>
      </c>
      <c r="E235" s="1" t="n">
        <v>46224</v>
      </c>
      <c r="F235" t="inlineStr">
        <is>
          <t>VÄSTRA GÖTALANDS LÄN</t>
        </is>
      </c>
      <c r="G235" t="inlineStr">
        <is>
          <t>KARLSBORG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46224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46224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2026-07-21T01:35:35Z</dcterms:created>
  <dcterms:modified xmlns:dcterms="http://purl.org/dc/terms/" xmlns:xsi="http://www.w3.org/2001/XMLSchema-instance" xsi:type="dcterms:W3CDTF">2026-07-21T01:35:35Z</dcterms:modified>
</cp:coreProperties>
</file>