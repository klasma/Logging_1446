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46312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46312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46312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46312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46312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46312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46312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46312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46312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8984-2025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HYPERLINK("https://klasma.github.io/Logging_1446/artfynd/A 8984-2025 artfynd.xlsx", "A 8984-2025")</f>
        <v/>
      </c>
      <c r="X16">
        <f>HYPERLINK("https://klasma.github.io/Logging_1446/kartor/A 8984-2025 karta.png", "A 8984-2025")</f>
        <v/>
      </c>
      <c r="Y16">
        <f>HYPERLINK("https://klasma.github.io/Logging_1446/kartor_geotiff/A 8984-2025 georefererad karta.tif", "A 8984-2025")</f>
        <v/>
      </c>
      <c r="AA16">
        <f>HYPERLINK("https://klasma.github.io/Logging_1446/klagomål/A 8984-2025 FSC-klagomål.docx", "A 8984-2025")</f>
        <v/>
      </c>
      <c r="AB16">
        <f>HYPERLINK("https://klasma.github.io/Logging_1446/klagomålsmail/A 8984-2025 FSC-klagomål mail.docx", "A 8984-2025")</f>
        <v/>
      </c>
      <c r="AC16">
        <f>HYPERLINK("https://klasma.github.io/Logging_1446/tillsyn/A 8984-2025 tillsynsbegäran.docx", "A 8984-2025")</f>
        <v/>
      </c>
      <c r="AD16">
        <f>HYPERLINK("https://klasma.github.io/Logging_1446/tillsynsmail/A 8984-2025 tillsynsbegäran mail.docx", "A 8984-2025")</f>
        <v/>
      </c>
      <c r="AE16">
        <f>HYPERLINK("https://klasma.github.io/Logging_1446/fåglar/A 8984-2025 prioriterade fågelarter.docx", "A 8984-2025")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46312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46312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46312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46312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59712-2021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46312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Ask</t>
        </is>
      </c>
      <c r="W21">
        <f>HYPERLINK("https://klasma.github.io/Logging_1446/artfynd/A 59712-2021 artfynd.xlsx", "A 59712-2021")</f>
        <v/>
      </c>
      <c r="X21">
        <f>HYPERLINK("https://klasma.github.io/Logging_1446/kartor/A 59712-2021 karta.png", "A 59712-2021")</f>
        <v/>
      </c>
      <c r="Y21">
        <f>HYPERLINK("https://klasma.github.io/Logging_1446/kartor_geotiff/A 59712-2021 georefererad karta.tif", "A 59712-2021")</f>
        <v/>
      </c>
      <c r="AA21">
        <f>HYPERLINK("https://klasma.github.io/Logging_1446/klagomål/A 59712-2021 FSC-klagomål.docx", "A 59712-2021")</f>
        <v/>
      </c>
      <c r="AB21">
        <f>HYPERLINK("https://klasma.github.io/Logging_1446/klagomålsmail/A 59712-2021 FSC-klagomål mail.docx", "A 59712-2021")</f>
        <v/>
      </c>
      <c r="AC21">
        <f>HYPERLINK("https://klasma.github.io/Logging_1446/tillsyn/A 59712-2021 tillsynsbegäran.docx", "A 59712-2021")</f>
        <v/>
      </c>
      <c r="AD21">
        <f>HYPERLINK("https://klasma.github.io/Logging_1446/tillsynsmail/A 59712-2021 tillsynsbegäran mail.docx", "A 59712-2021")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46312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46312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46312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46312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46312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46312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28315-2025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46312</v>
      </c>
      <c r="F28" t="inlineStr">
        <is>
          <t>VÄSTRA GÖTALANDS LÄN</t>
        </is>
      </c>
      <c r="G28" t="inlineStr">
        <is>
          <t>KARLSBORG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Rostfläck</t>
        </is>
      </c>
      <c r="W28">
        <f>HYPERLINK("https://klasma.github.io/Logging_1446/artfynd/A 28315-2025 artfynd.xlsx", "A 28315-2025")</f>
        <v/>
      </c>
      <c r="X28">
        <f>HYPERLINK("https://klasma.github.io/Logging_1446/kartor/A 28315-2025 karta.png", "A 28315-2025")</f>
        <v/>
      </c>
      <c r="Y28">
        <f>HYPERLINK("https://klasma.github.io/Logging_1446/kartor_geotiff/A 28315-2025 georefererad karta.tif", "A 28315-2025")</f>
        <v/>
      </c>
      <c r="AA28">
        <f>HYPERLINK("https://klasma.github.io/Logging_1446/klagomål/A 28315-2025 FSC-klagomål.docx", "A 28315-2025")</f>
        <v/>
      </c>
      <c r="AB28">
        <f>HYPERLINK("https://klasma.github.io/Logging_1446/klagomålsmail/A 28315-2025 FSC-klagomål mail.docx", "A 28315-2025")</f>
        <v/>
      </c>
      <c r="AC28">
        <f>HYPERLINK("https://klasma.github.io/Logging_1446/tillsyn/A 28315-2025 tillsynsbegäran.docx", "A 28315-2025")</f>
        <v/>
      </c>
      <c r="AD28">
        <f>HYPERLINK("https://klasma.github.io/Logging_1446/tillsynsmail/A 28315-2025 tillsynsbegäran mail.docx", "A 28315-2025")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46312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46312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46312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46312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46312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46312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46312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46312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46312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46312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46312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23469-2024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45453</v>
      </c>
      <c r="E41" s="1" t="n">
        <v>46312</v>
      </c>
      <c r="F41" t="inlineStr">
        <is>
          <t>VÄSTRA GÖTALANDS LÄN</t>
        </is>
      </c>
      <c r="G41" t="inlineStr">
        <is>
          <t>KARLSBORG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44595</v>
      </c>
      <c r="E42" s="1" t="n">
        <v>46312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46312</v>
      </c>
      <c r="F43" t="inlineStr">
        <is>
          <t>VÄSTRA GÖTALANDS LÄN</t>
        </is>
      </c>
      <c r="G43" t="inlineStr">
        <is>
          <t>KARLSBORG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45524</v>
      </c>
      <c r="E44" s="1" t="n">
        <v>46312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46312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45160</v>
      </c>
      <c r="E46" s="1" t="n">
        <v>46312</v>
      </c>
      <c r="F46" t="inlineStr">
        <is>
          <t>VÄSTRA GÖTALANDS LÄN</t>
        </is>
      </c>
      <c r="G46" t="inlineStr">
        <is>
          <t>KARLSBORG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46312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46312</v>
      </c>
      <c r="F48" t="inlineStr">
        <is>
          <t>VÄSTRA GÖTALANDS LÄN</t>
        </is>
      </c>
      <c r="G48" t="inlineStr">
        <is>
          <t>KARLSBORG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57454-2024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45630</v>
      </c>
      <c r="E49" s="1" t="n">
        <v>46312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46312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46312</v>
      </c>
      <c r="F51" t="inlineStr">
        <is>
          <t>VÄSTRA GÖTALANDS LÄN</t>
        </is>
      </c>
      <c r="G51" t="inlineStr">
        <is>
          <t>KARLSBORG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46312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46312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46312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46312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46312</v>
      </c>
      <c r="F56" t="inlineStr">
        <is>
          <t>VÄSTRA GÖTALANDS LÄN</t>
        </is>
      </c>
      <c r="G56" t="inlineStr">
        <is>
          <t>KARLSBORG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46312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46312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46312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46312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46312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44494</v>
      </c>
      <c r="E62" s="1" t="n">
        <v>46312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statliga verk och myndigheter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46312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46312</v>
      </c>
      <c r="F64" t="inlineStr">
        <is>
          <t>VÄSTRA GÖTALANDS LÄN</t>
        </is>
      </c>
      <c r="G64" t="inlineStr">
        <is>
          <t>KARLSBORG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45742</v>
      </c>
      <c r="E65" s="1" t="n">
        <v>46312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46312</v>
      </c>
      <c r="F66" t="inlineStr">
        <is>
          <t>VÄSTRA GÖTALANDS LÄN</t>
        </is>
      </c>
      <c r="G66" t="inlineStr">
        <is>
          <t>KARLSBORG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46312</v>
      </c>
      <c r="F67" t="inlineStr">
        <is>
          <t>VÄSTRA GÖTALANDS LÄN</t>
        </is>
      </c>
      <c r="G67" t="inlineStr">
        <is>
          <t>KARLSBORG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46312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46312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46312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46312</v>
      </c>
      <c r="F71" t="inlineStr">
        <is>
          <t>VÄSTRA GÖTALANDS LÄN</t>
        </is>
      </c>
      <c r="G71" t="inlineStr">
        <is>
          <t>KARLSBORG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46312</v>
      </c>
      <c r="F72" t="inlineStr">
        <is>
          <t>VÄSTRA GÖTALANDS LÄN</t>
        </is>
      </c>
      <c r="G72" t="inlineStr">
        <is>
          <t>KARLSBORG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46312</v>
      </c>
      <c r="F73" t="inlineStr">
        <is>
          <t>VÄSTRA GÖTALANDS LÄN</t>
        </is>
      </c>
      <c r="G73" t="inlineStr">
        <is>
          <t>KARLSBORG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46312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45394</v>
      </c>
      <c r="E75" s="1" t="n">
        <v>46312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44906</v>
      </c>
      <c r="E76" s="1" t="n">
        <v>46312</v>
      </c>
      <c r="F76" t="inlineStr">
        <is>
          <t>VÄSTRA GÖTALANDS LÄN</t>
        </is>
      </c>
      <c r="G76" t="inlineStr">
        <is>
          <t>KARLSBORG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46312</v>
      </c>
      <c r="F77" t="inlineStr">
        <is>
          <t>VÄSTRA GÖTALANDS LÄN</t>
        </is>
      </c>
      <c r="G77" t="inlineStr">
        <is>
          <t>KARLSBORG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46312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46312</v>
      </c>
      <c r="F79" t="inlineStr">
        <is>
          <t>VÄSTRA GÖTALANDS LÄN</t>
        </is>
      </c>
      <c r="G79" t="inlineStr">
        <is>
          <t>KARLSBORG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46312</v>
      </c>
      <c r="F80" t="inlineStr">
        <is>
          <t>VÄSTRA GÖTALANDS LÄN</t>
        </is>
      </c>
      <c r="G80" t="inlineStr">
        <is>
          <t>KARLSBORG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46312</v>
      </c>
      <c r="F81" t="inlineStr">
        <is>
          <t>VÄSTRA GÖTALANDS LÄN</t>
        </is>
      </c>
      <c r="G81" t="inlineStr">
        <is>
          <t>KARLSBORG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46312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46312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45755</v>
      </c>
      <c r="E84" s="1" t="n">
        <v>46312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46312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9.4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46312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46312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35441-2024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45531</v>
      </c>
      <c r="E88" s="1" t="n">
        <v>46312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46312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46312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46312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46312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46312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46312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46312</v>
      </c>
      <c r="F95" t="inlineStr">
        <is>
          <t>VÄSTRA GÖTALANDS LÄN</t>
        </is>
      </c>
      <c r="G95" t="inlineStr">
        <is>
          <t>KARLSBORG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46312</v>
      </c>
      <c r="F96" t="inlineStr">
        <is>
          <t>VÄSTRA GÖTALANDS LÄN</t>
        </is>
      </c>
      <c r="G96" t="inlineStr">
        <is>
          <t>KARLSBORG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46312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Kyrkan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46143</v>
      </c>
      <c r="E98" s="1" t="n">
        <v>46312</v>
      </c>
      <c r="F98" t="inlineStr">
        <is>
          <t>VÄSTRA GÖTALANDS LÄN</t>
        </is>
      </c>
      <c r="G98" t="inlineStr">
        <is>
          <t>KARLSBORG</t>
        </is>
      </c>
      <c r="I98" t="n">
        <v>14.6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46312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46312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46312</v>
      </c>
      <c r="F101" t="inlineStr">
        <is>
          <t>VÄSTRA GÖTALANDS LÄN</t>
        </is>
      </c>
      <c r="G101" t="inlineStr">
        <is>
          <t>KARLSBORG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46312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46312</v>
      </c>
      <c r="F103" t="inlineStr">
        <is>
          <t>VÄSTRA GÖTALANDS LÄN</t>
        </is>
      </c>
      <c r="G103" t="inlineStr">
        <is>
          <t>KARLSBORG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46312</v>
      </c>
      <c r="F104" t="inlineStr">
        <is>
          <t>VÄSTRA GÖTALANDS LÄN</t>
        </is>
      </c>
      <c r="G104" t="inlineStr">
        <is>
          <t>KARLSBORG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46312</v>
      </c>
      <c r="F105" t="inlineStr">
        <is>
          <t>VÄSTRA GÖTALANDS LÄN</t>
        </is>
      </c>
      <c r="G105" t="inlineStr">
        <is>
          <t>KARLSBORG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46312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46312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46312</v>
      </c>
      <c r="F108" t="inlineStr">
        <is>
          <t>VÄSTRA GÖTALANDS LÄN</t>
        </is>
      </c>
      <c r="G108" t="inlineStr">
        <is>
          <t>KARLSBORG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45489</v>
      </c>
      <c r="E109" s="1" t="n">
        <v>46312</v>
      </c>
      <c r="F109" t="inlineStr">
        <is>
          <t>VÄSTRA GÖTALANDS LÄN</t>
        </is>
      </c>
      <c r="G109" t="inlineStr">
        <is>
          <t>KARLSBORG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46312</v>
      </c>
      <c r="F110" t="inlineStr">
        <is>
          <t>VÄSTRA GÖTALANDS LÄN</t>
        </is>
      </c>
      <c r="G110" t="inlineStr">
        <is>
          <t>KARLSBORG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46312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65313-2021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44515</v>
      </c>
      <c r="E112" s="1" t="n">
        <v>46312</v>
      </c>
      <c r="F112" t="inlineStr">
        <is>
          <t>VÄSTRA GÖTALANDS LÄN</t>
        </is>
      </c>
      <c r="G112" t="inlineStr">
        <is>
          <t>KARLSBORG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46312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46312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46312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46312</v>
      </c>
      <c r="F117" t="inlineStr">
        <is>
          <t>VÄSTRA GÖTALANDS LÄN</t>
        </is>
      </c>
      <c r="G117" t="inlineStr">
        <is>
          <t>KARLSBORG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57915-2024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45631</v>
      </c>
      <c r="E118" s="1" t="n">
        <v>46312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46312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46312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46312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46312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46312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46312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46312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46312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46312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46312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44972</v>
      </c>
      <c r="E129" s="1" t="n">
        <v>46312</v>
      </c>
      <c r="F129" t="inlineStr">
        <is>
          <t>VÄSTRA GÖTALANDS LÄN</t>
        </is>
      </c>
      <c r="G129" t="inlineStr">
        <is>
          <t>KARLSBORG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23500-2023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45076</v>
      </c>
      <c r="E130" s="1" t="n">
        <v>46312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46312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46312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46312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46312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46312</v>
      </c>
      <c r="F135" t="inlineStr">
        <is>
          <t>VÄSTRA GÖTALANDS LÄN</t>
        </is>
      </c>
      <c r="G135" t="inlineStr">
        <is>
          <t>KARLSBORG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46312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46312</v>
      </c>
      <c r="F137" t="inlineStr">
        <is>
          <t>VÄSTRA GÖTALANDS LÄN</t>
        </is>
      </c>
      <c r="G137" t="inlineStr">
        <is>
          <t>KARLSBORG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46312</v>
      </c>
      <c r="F138" t="inlineStr">
        <is>
          <t>VÄSTRA GÖTALANDS LÄN</t>
        </is>
      </c>
      <c r="G138" t="inlineStr">
        <is>
          <t>KARLSBORG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46312</v>
      </c>
      <c r="F139" t="inlineStr">
        <is>
          <t>VÄSTRA GÖTALANDS LÄN</t>
        </is>
      </c>
      <c r="G139" t="inlineStr">
        <is>
          <t>KARLSBORG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46312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14.3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46312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46312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29357-2024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45483</v>
      </c>
      <c r="E143" s="1" t="n">
        <v>46312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46312</v>
      </c>
      <c r="F144" t="inlineStr">
        <is>
          <t>VÄSTRA GÖTALANDS LÄN</t>
        </is>
      </c>
      <c r="G144" t="inlineStr">
        <is>
          <t>KARLSBORG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46312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46312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46312</v>
      </c>
      <c r="F147" t="inlineStr">
        <is>
          <t>VÄSTRA GÖTALANDS LÄN</t>
        </is>
      </c>
      <c r="G147" t="inlineStr">
        <is>
          <t>KARLSBORG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46312</v>
      </c>
      <c r="F148" t="inlineStr">
        <is>
          <t>VÄSTRA GÖTALANDS LÄN</t>
        </is>
      </c>
      <c r="G148" t="inlineStr">
        <is>
          <t>KARLSBORG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46312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44929</v>
      </c>
      <c r="E150" s="1" t="n">
        <v>46312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X150">
        <f>HYPERLINK("https://klasma.github.io/Logging_1446/kartor/A 412-2023 karta.png", "A 412-2023")</f>
        <v/>
      </c>
      <c r="Y150">
        <f>HYPERLINK("https://klasma.github.io/Logging_1446/kartor_geotiff/A 412-2023 georefererad karta.tif", "A 412-2023")</f>
        <v/>
      </c>
      <c r="AA150">
        <f>HYPERLINK("https://klasma.github.io/Logging_1446/klagomål/A 412-2023 FSC-klagomål.docx", "A 412-2023")</f>
        <v/>
      </c>
      <c r="AB150">
        <f>HYPERLINK("https://klasma.github.io/Logging_1446/klagomålsmail/A 412-2023 FSC-klagomål mail.docx", "A 412-2023")</f>
        <v/>
      </c>
      <c r="AC150">
        <f>HYPERLINK("https://klasma.github.io/Logging_1446/tillsyn/A 412-2023 tillsynsbegäran.docx", "A 412-2023")</f>
        <v/>
      </c>
      <c r="AD150">
        <f>HYPERLINK("https://klasma.github.io/Logging_1446/tillsynsmail/A 412-2023 tillsynsbegäran mail.docx", "A 412-2023")</f>
        <v/>
      </c>
    </row>
    <row r="151" ht="15" customHeight="1">
      <c r="A151" t="inlineStr">
        <is>
          <t>A 63731-2025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46312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46312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46312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46312</v>
      </c>
      <c r="F154" t="inlineStr">
        <is>
          <t>VÄSTRA GÖTALANDS LÄN</t>
        </is>
      </c>
      <c r="G154" t="inlineStr">
        <is>
          <t>KARLSBORG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46312</v>
      </c>
      <c r="F155" t="inlineStr">
        <is>
          <t>VÄSTRA GÖTALANDS LÄN</t>
        </is>
      </c>
      <c r="G155" t="inlineStr">
        <is>
          <t>KARLSBORG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46312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46312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46312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46312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46312</v>
      </c>
      <c r="F160" t="inlineStr">
        <is>
          <t>VÄSTRA GÖTALANDS LÄN</t>
        </is>
      </c>
      <c r="G160" t="inlineStr">
        <is>
          <t>KARLSBORG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46312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46312</v>
      </c>
      <c r="F162" t="inlineStr">
        <is>
          <t>VÄSTRA GÖTALANDS LÄN</t>
        </is>
      </c>
      <c r="G162" t="inlineStr">
        <is>
          <t>KARLSBORG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57913-2024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45631</v>
      </c>
      <c r="E163" s="1" t="n">
        <v>46312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46312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46312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58129-2024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45632</v>
      </c>
      <c r="E166" s="1" t="n">
        <v>46312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46312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45394</v>
      </c>
      <c r="E168" s="1" t="n">
        <v>46312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46312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46312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46312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46312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46312</v>
      </c>
      <c r="F173" t="inlineStr">
        <is>
          <t>VÄSTRA GÖTALANDS LÄN</t>
        </is>
      </c>
      <c r="G173" t="inlineStr">
        <is>
          <t>KARLSBORG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46312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44906</v>
      </c>
      <c r="E175" s="1" t="n">
        <v>46312</v>
      </c>
      <c r="F175" t="inlineStr">
        <is>
          <t>VÄSTRA GÖTALANDS LÄN</t>
        </is>
      </c>
      <c r="G175" t="inlineStr">
        <is>
          <t>KARLSBORG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46312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46312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46312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46312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46312</v>
      </c>
      <c r="F180" t="inlineStr">
        <is>
          <t>VÄSTRA GÖTALANDS LÄN</t>
        </is>
      </c>
      <c r="G180" t="inlineStr">
        <is>
          <t>KARLSBORG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45401</v>
      </c>
      <c r="E181" s="1" t="n">
        <v>46312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46312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46312</v>
      </c>
      <c r="F183" t="inlineStr">
        <is>
          <t>VÄSTRA GÖTALANDS LÄN</t>
        </is>
      </c>
      <c r="G183" t="inlineStr">
        <is>
          <t>KARLSBORG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46312</v>
      </c>
      <c r="F184" t="inlineStr">
        <is>
          <t>VÄSTRA GÖTALANDS LÄN</t>
        </is>
      </c>
      <c r="G184" t="inlineStr">
        <is>
          <t>KARLSBORG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46312</v>
      </c>
      <c r="F185" t="inlineStr">
        <is>
          <t>VÄSTRA GÖTALANDS LÄN</t>
        </is>
      </c>
      <c r="G185" t="inlineStr">
        <is>
          <t>KARLSBORG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46312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46312</v>
      </c>
      <c r="F187" t="inlineStr">
        <is>
          <t>VÄSTRA GÖTALANDS LÄN</t>
        </is>
      </c>
      <c r="G187" t="inlineStr">
        <is>
          <t>KARLSBORG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46312</v>
      </c>
      <c r="F188" t="inlineStr">
        <is>
          <t>VÄSTRA GÖTALANDS LÄN</t>
        </is>
      </c>
      <c r="G188" t="inlineStr">
        <is>
          <t>KARLSBORG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46312</v>
      </c>
      <c r="F189" t="inlineStr">
        <is>
          <t>VÄSTRA GÖTALANDS LÄN</t>
        </is>
      </c>
      <c r="G189" t="inlineStr">
        <is>
          <t>KARLSBORG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44809</v>
      </c>
      <c r="E190" s="1" t="n">
        <v>46312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46312</v>
      </c>
      <c r="F191" t="inlineStr">
        <is>
          <t>VÄSTRA GÖTALANDS LÄN</t>
        </is>
      </c>
      <c r="G191" t="inlineStr">
        <is>
          <t>KARLSBORG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46312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46312</v>
      </c>
      <c r="F193" t="inlineStr">
        <is>
          <t>VÄSTRA GÖTALANDS LÄN</t>
        </is>
      </c>
      <c r="G193" t="inlineStr">
        <is>
          <t>KARLSBORG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45565</v>
      </c>
      <c r="E194" s="1" t="n">
        <v>46312</v>
      </c>
      <c r="F194" t="inlineStr">
        <is>
          <t>VÄSTRA GÖTALANDS LÄN</t>
        </is>
      </c>
      <c r="G194" t="inlineStr">
        <is>
          <t>KARLSBORG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46312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46312</v>
      </c>
      <c r="F196" t="inlineStr">
        <is>
          <t>VÄSTRA GÖTALANDS LÄN</t>
        </is>
      </c>
      <c r="G196" t="inlineStr">
        <is>
          <t>KARLSBORG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46312</v>
      </c>
      <c r="F197" t="inlineStr">
        <is>
          <t>VÄSTRA GÖTALANDS LÄN</t>
        </is>
      </c>
      <c r="G197" t="inlineStr">
        <is>
          <t>KARLSBORG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44664</v>
      </c>
      <c r="E198" s="1" t="n">
        <v>46312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46312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46312</v>
      </c>
      <c r="F200" t="inlineStr">
        <is>
          <t>VÄSTRA GÖTALANDS LÄN</t>
        </is>
      </c>
      <c r="G200" t="inlineStr">
        <is>
          <t>KARLSBORG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46312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46312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46312</v>
      </c>
      <c r="F203" t="inlineStr">
        <is>
          <t>VÄSTRA GÖTALANDS LÄN</t>
        </is>
      </c>
      <c r="G203" t="inlineStr">
        <is>
          <t>KARLSBORG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45786</v>
      </c>
      <c r="E204" s="1" t="n">
        <v>46312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46312</v>
      </c>
      <c r="F205" t="inlineStr">
        <is>
          <t>VÄSTRA GÖTALANDS LÄN</t>
        </is>
      </c>
      <c r="G205" t="inlineStr">
        <is>
          <t>KARLSBORG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46312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46312</v>
      </c>
      <c r="F207" t="inlineStr">
        <is>
          <t>VÄSTRA GÖTALANDS LÄN</t>
        </is>
      </c>
      <c r="G207" t="inlineStr">
        <is>
          <t>KARLSBORG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46312</v>
      </c>
      <c r="F208" t="inlineStr">
        <is>
          <t>VÄSTRA GÖTALANDS LÄN</t>
        </is>
      </c>
      <c r="G208" t="inlineStr">
        <is>
          <t>KARLSBORG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46312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46312</v>
      </c>
      <c r="F210" t="inlineStr">
        <is>
          <t>VÄSTRA GÖTALANDS LÄN</t>
        </is>
      </c>
      <c r="G210" t="inlineStr">
        <is>
          <t>KARLSBORG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46312</v>
      </c>
      <c r="F211" t="inlineStr">
        <is>
          <t>VÄSTRA GÖTALANDS LÄN</t>
        </is>
      </c>
      <c r="G211" t="inlineStr">
        <is>
          <t>KARLSBORG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46312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46312</v>
      </c>
      <c r="F213" t="inlineStr">
        <is>
          <t>VÄSTRA GÖTALANDS LÄN</t>
        </is>
      </c>
      <c r="G213" t="inlineStr">
        <is>
          <t>KARLSBORG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46311</v>
      </c>
      <c r="E214" s="1" t="n">
        <v>46312</v>
      </c>
      <c r="F214" t="inlineStr">
        <is>
          <t>VÄSTRA GÖTALANDS LÄN</t>
        </is>
      </c>
      <c r="G214" t="inlineStr">
        <is>
          <t>KARLSBORG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46312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46312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46312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46312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46312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46312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46312</v>
      </c>
      <c r="F221" t="inlineStr">
        <is>
          <t>VÄSTRA GÖTALANDS LÄN</t>
        </is>
      </c>
      <c r="G221" t="inlineStr">
        <is>
          <t>KARLSBORG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46312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46312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2026-10-17T02:05:54Z</dcterms:created>
  <dcterms:modified xmlns:dcterms="http://purl.org/dc/terms/" xmlns:xsi="http://www.w3.org/2001/XMLSchema-instance" xsi:type="dcterms:W3CDTF">2026-10-17T02:05:54Z</dcterms:modified>
</cp:coreProperties>
</file>