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46273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46273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46273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46273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46273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46273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46273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46273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46273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46273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46273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46273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46273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46273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8984-2025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46273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Övriga Aktiebolag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Tjäder</t>
        </is>
      </c>
      <c r="W18">
        <f>HYPERLINK("https://klasma.github.io/Logging_1446/artfynd/A 8984-2025 artfynd.xlsx", "A 8984-2025")</f>
        <v/>
      </c>
      <c r="X18">
        <f>HYPERLINK("https://klasma.github.io/Logging_1446/kartor/A 8984-2025 karta.png", "A 8984-2025")</f>
        <v/>
      </c>
      <c r="Y18">
        <f>HYPERLINK("https://klasma.github.io/Logging_1446/kartor_geotiff/A 8984-2025 georefererad karta.tif", "A 8984-2025")</f>
        <v/>
      </c>
      <c r="AA18">
        <f>HYPERLINK("https://klasma.github.io/Logging_1446/klagomål/A 8984-2025 FSC-klagomål.docx", "A 8984-2025")</f>
        <v/>
      </c>
      <c r="AB18">
        <f>HYPERLINK("https://klasma.github.io/Logging_1446/klagomålsmail/A 8984-2025 FSC-klagomål mail.docx", "A 8984-2025")</f>
        <v/>
      </c>
      <c r="AC18">
        <f>HYPERLINK("https://klasma.github.io/Logging_1446/tillsyn/A 8984-2025 tillsynsbegäran.docx", "A 8984-2025")</f>
        <v/>
      </c>
      <c r="AD18">
        <f>HYPERLINK("https://klasma.github.io/Logging_1446/tillsynsmail/A 8984-2025 tillsynsbegäran mail.docx", "A 8984-2025")</f>
        <v/>
      </c>
      <c r="AE18">
        <f>HYPERLINK("https://klasma.github.io/Logging_1446/fåglar/A 8984-2025 prioriterade fågelarter.docx", "A 8984-2025")</f>
        <v/>
      </c>
    </row>
    <row r="19" ht="15" customHeight="1">
      <c r="A19" t="inlineStr">
        <is>
          <t>A 23973-2023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45075</v>
      </c>
      <c r="E19" s="1" t="n">
        <v>46273</v>
      </c>
      <c r="F19" t="inlineStr">
        <is>
          <t>VÄSTRA GÖTALANDS LÄN</t>
        </is>
      </c>
      <c r="G19" t="inlineStr">
        <is>
          <t>KARLSBORG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Orre</t>
        </is>
      </c>
      <c r="W19">
        <f>HYPERLINK("https://klasma.github.io/Logging_1446/artfynd/A 23973-2023 artfynd.xlsx", "A 23973-2023")</f>
        <v/>
      </c>
      <c r="X19">
        <f>HYPERLINK("https://klasma.github.io/Logging_1446/kartor/A 23973-2023 karta.png", "A 23973-2023")</f>
        <v/>
      </c>
      <c r="Y19">
        <f>HYPERLINK("https://klasma.github.io/Logging_1446/kartor_geotiff/A 23973-2023 georefererad karta.tif", "A 23973-2023")</f>
        <v/>
      </c>
      <c r="AA19">
        <f>HYPERLINK("https://klasma.github.io/Logging_1446/klagomål/A 23973-2023 FSC-klagomål.docx", "A 23973-2023")</f>
        <v/>
      </c>
      <c r="AB19">
        <f>HYPERLINK("https://klasma.github.io/Logging_1446/klagomålsmail/A 23973-2023 FSC-klagomål mail.docx", "A 23973-2023")</f>
        <v/>
      </c>
      <c r="AC19">
        <f>HYPERLINK("https://klasma.github.io/Logging_1446/tillsyn/A 23973-2023 tillsynsbegäran.docx", "A 23973-2023")</f>
        <v/>
      </c>
      <c r="AD19">
        <f>HYPERLINK("https://klasma.github.io/Logging_1446/tillsynsmail/A 23973-2023 tillsynsbegäran mail.docx", "A 23973-2023")</f>
        <v/>
      </c>
      <c r="AE19">
        <f>HYPERLINK("https://klasma.github.io/Logging_1446/fåglar/A 23973-2023 prioriterade fågelarter.docx", "A 23973-2023")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46273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59712-2021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46273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Ask</t>
        </is>
      </c>
      <c r="W21">
        <f>HYPERLINK("https://klasma.github.io/Logging_1446/artfynd/A 59712-2021 artfynd.xlsx", "A 59712-2021")</f>
        <v/>
      </c>
      <c r="X21">
        <f>HYPERLINK("https://klasma.github.io/Logging_1446/kartor/A 59712-2021 karta.png", "A 59712-2021")</f>
        <v/>
      </c>
      <c r="Y21">
        <f>HYPERLINK("https://klasma.github.io/Logging_1446/kartor_geotiff/A 59712-2021 georefererad karta.tif", "A 59712-2021")</f>
        <v/>
      </c>
      <c r="AA21">
        <f>HYPERLINK("https://klasma.github.io/Logging_1446/klagomål/A 59712-2021 FSC-klagomål.docx", "A 59712-2021")</f>
        <v/>
      </c>
      <c r="AB21">
        <f>HYPERLINK("https://klasma.github.io/Logging_1446/klagomålsmail/A 59712-2021 FSC-klagomål mail.docx", "A 59712-2021")</f>
        <v/>
      </c>
      <c r="AC21">
        <f>HYPERLINK("https://klasma.github.io/Logging_1446/tillsyn/A 59712-2021 tillsynsbegäran.docx", "A 59712-2021")</f>
        <v/>
      </c>
      <c r="AD21">
        <f>HYPERLINK("https://klasma.github.io/Logging_1446/tillsynsmail/A 59712-2021 tillsynsbegäran mail.docx", "A 59712-2021")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46273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46273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46273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46273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46273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46273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46273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18567-2026 artfynd.xlsx", "A 18567-2026")</f>
        <v/>
      </c>
      <c r="X28">
        <f>HYPERLINK("https://klasma.github.io/Logging_1446/kartor/A 18567-2026 karta.png", "A 18567-2026")</f>
        <v/>
      </c>
      <c r="Y28">
        <f>HYPERLINK("https://klasma.github.io/Logging_1446/kartor_geotiff/A 18567-2026 georefererad karta.tif", "A 18567-2026")</f>
        <v/>
      </c>
      <c r="AA28">
        <f>HYPERLINK("https://klasma.github.io/Logging_1446/klagomål/A 18567-2026 FSC-klagomål.docx", "A 18567-2026")</f>
        <v/>
      </c>
      <c r="AB28">
        <f>HYPERLINK("https://klasma.github.io/Logging_1446/klagomålsmail/A 18567-2026 FSC-klagomål mail.docx", "A 18567-2026")</f>
        <v/>
      </c>
      <c r="AC28">
        <f>HYPERLINK("https://klasma.github.io/Logging_1446/tillsyn/A 18567-2026 tillsynsbegäran.docx", "A 18567-2026")</f>
        <v/>
      </c>
      <c r="AD28">
        <f>HYPERLINK("https://klasma.github.io/Logging_1446/tillsynsmail/A 18567-2026 tillsynsbegäran mail.docx", "A 18567-2026")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46273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29484-2025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45824</v>
      </c>
      <c r="E30" s="1" t="n">
        <v>46273</v>
      </c>
      <c r="F30" t="inlineStr">
        <is>
          <t>VÄSTRA GÖTALANDS LÄN</t>
        </is>
      </c>
      <c r="G30" t="inlineStr">
        <is>
          <t>KARLSBORG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Blåsippa</t>
        </is>
      </c>
      <c r="W30">
        <f>HYPERLINK("https://klasma.github.io/Logging_1446/artfynd/A 29484-2025 artfynd.xlsx", "A 29484-2025")</f>
        <v/>
      </c>
      <c r="X30">
        <f>HYPERLINK("https://klasma.github.io/Logging_1446/kartor/A 29484-2025 karta.png", "A 29484-2025")</f>
        <v/>
      </c>
      <c r="Y30">
        <f>HYPERLINK("https://klasma.github.io/Logging_1446/kartor_geotiff/A 29484-2025 georefererad karta.tif", "A 29484-2025")</f>
        <v/>
      </c>
      <c r="AA30">
        <f>HYPERLINK("https://klasma.github.io/Logging_1446/klagomål/A 29484-2025 FSC-klagomål.docx", "A 29484-2025")</f>
        <v/>
      </c>
      <c r="AB30">
        <f>HYPERLINK("https://klasma.github.io/Logging_1446/klagomålsmail/A 29484-2025 FSC-klagomål mail.docx", "A 29484-2025")</f>
        <v/>
      </c>
      <c r="AC30">
        <f>HYPERLINK("https://klasma.github.io/Logging_1446/tillsyn/A 29484-2025 tillsynsbegäran.docx", "A 29484-2025")</f>
        <v/>
      </c>
      <c r="AD30">
        <f>HYPERLINK("https://klasma.github.io/Logging_1446/tillsynsmail/A 29484-2025 tillsynsbegäran mail.docx", "A 29484-2025")</f>
        <v/>
      </c>
    </row>
    <row r="31" ht="15" customHeight="1">
      <c r="A31" t="inlineStr">
        <is>
          <t>A 28315-2025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46273</v>
      </c>
      <c r="F31" t="inlineStr">
        <is>
          <t>VÄSTRA GÖTALANDS LÄN</t>
        </is>
      </c>
      <c r="G31" t="inlineStr">
        <is>
          <t>KARLSBORG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Rostfläck</t>
        </is>
      </c>
      <c r="W31">
        <f>HYPERLINK("https://klasma.github.io/Logging_1446/artfynd/A 28315-2025 artfynd.xlsx", "A 28315-2025")</f>
        <v/>
      </c>
      <c r="X31">
        <f>HYPERLINK("https://klasma.github.io/Logging_1446/kartor/A 28315-2025 karta.png", "A 28315-2025")</f>
        <v/>
      </c>
      <c r="Y31">
        <f>HYPERLINK("https://klasma.github.io/Logging_1446/kartor_geotiff/A 28315-2025 georefererad karta.tif", "A 28315-2025")</f>
        <v/>
      </c>
      <c r="AA31">
        <f>HYPERLINK("https://klasma.github.io/Logging_1446/klagomål/A 28315-2025 FSC-klagomål.docx", "A 28315-2025")</f>
        <v/>
      </c>
      <c r="AB31">
        <f>HYPERLINK("https://klasma.github.io/Logging_1446/klagomålsmail/A 28315-2025 FSC-klagomål mail.docx", "A 28315-2025")</f>
        <v/>
      </c>
      <c r="AC31">
        <f>HYPERLINK("https://klasma.github.io/Logging_1446/tillsyn/A 28315-2025 tillsynsbegäran.docx", "A 28315-2025")</f>
        <v/>
      </c>
      <c r="AD31">
        <f>HYPERLINK("https://klasma.github.io/Logging_1446/tillsynsmail/A 28315-2025 tillsynsbegäran mail.docx", "A 28315-2025")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46273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46273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46273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46273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46273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46273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46273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46273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46273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46273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46273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46273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46273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46273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46273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46273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46273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46273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46273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45231</v>
      </c>
      <c r="E51" s="1" t="n">
        <v>46273</v>
      </c>
      <c r="F51" t="inlineStr">
        <is>
          <t>VÄSTRA GÖTALANDS LÄN</t>
        </is>
      </c>
      <c r="G51" t="inlineStr">
        <is>
          <t>KARLSBORG</t>
        </is>
      </c>
      <c r="I51" t="n">
        <v>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46273</v>
      </c>
      <c r="F52" t="inlineStr">
        <is>
          <t>VÄSTRA GÖTALANDS LÄN</t>
        </is>
      </c>
      <c r="G52" t="inlineStr">
        <is>
          <t>KARLSBORG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46273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46273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26914-2024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45470</v>
      </c>
      <c r="E55" s="1" t="n">
        <v>46273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29357-2024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45483</v>
      </c>
      <c r="E56" s="1" t="n">
        <v>46273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46273</v>
      </c>
      <c r="F57" t="inlineStr">
        <is>
          <t>VÄSTRA GÖTALANDS LÄN</t>
        </is>
      </c>
      <c r="G57" t="inlineStr">
        <is>
          <t>KARLSBORG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46273</v>
      </c>
      <c r="F58" t="inlineStr">
        <is>
          <t>VÄSTRA GÖTALANDS LÄN</t>
        </is>
      </c>
      <c r="G58" t="inlineStr">
        <is>
          <t>KARLSBORG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46273</v>
      </c>
      <c r="F59" t="inlineStr">
        <is>
          <t>VÄSTRA GÖTALANDS LÄN</t>
        </is>
      </c>
      <c r="G59" t="inlineStr">
        <is>
          <t>KARLSBORG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46273</v>
      </c>
      <c r="F60" t="inlineStr">
        <is>
          <t>VÄSTRA GÖTALANDS LÄN</t>
        </is>
      </c>
      <c r="G60" t="inlineStr">
        <is>
          <t>KARLSBORG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46273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46273</v>
      </c>
      <c r="F62" t="inlineStr">
        <is>
          <t>VÄSTRA GÖTALANDS LÄN</t>
        </is>
      </c>
      <c r="G62" t="inlineStr">
        <is>
          <t>KARLSBORG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46273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45742</v>
      </c>
      <c r="E64" s="1" t="n">
        <v>46273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46273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42757-2024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46273</v>
      </c>
      <c r="F66" t="inlineStr">
        <is>
          <t>VÄSTRA GÖTALANDS LÄN</t>
        </is>
      </c>
      <c r="G66" t="inlineStr">
        <is>
          <t>KARLSBORG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45565</v>
      </c>
      <c r="E67" s="1" t="n">
        <v>46273</v>
      </c>
      <c r="F67" t="inlineStr">
        <is>
          <t>VÄSTRA GÖTALANDS LÄN</t>
        </is>
      </c>
      <c r="G67" t="inlineStr">
        <is>
          <t>KARLSBORG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46273</v>
      </c>
      <c r="F68" t="inlineStr">
        <is>
          <t>VÄSTRA GÖTALANDS LÄN</t>
        </is>
      </c>
      <c r="G68" t="inlineStr">
        <is>
          <t>KARLSBORG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46273</v>
      </c>
      <c r="F69" t="inlineStr">
        <is>
          <t>VÄSTRA GÖTALANDS LÄN</t>
        </is>
      </c>
      <c r="G69" t="inlineStr">
        <is>
          <t>KARLSBORG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46273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46273</v>
      </c>
      <c r="F71" t="inlineStr">
        <is>
          <t>VÄSTRA GÖTALANDS LÄN</t>
        </is>
      </c>
      <c r="G71" t="inlineStr">
        <is>
          <t>KARLSBORG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46273</v>
      </c>
      <c r="F72" t="inlineStr">
        <is>
          <t>VÄSTRA GÖTALANDS LÄN</t>
        </is>
      </c>
      <c r="G72" t="inlineStr">
        <is>
          <t>KARLSBORG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48888-2023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45209</v>
      </c>
      <c r="E73" s="1" t="n">
        <v>46273</v>
      </c>
      <c r="F73" t="inlineStr">
        <is>
          <t>VÄSTRA GÖTALANDS LÄN</t>
        </is>
      </c>
      <c r="G73" t="inlineStr">
        <is>
          <t>KARLSBORG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46273</v>
      </c>
      <c r="F74" t="inlineStr">
        <is>
          <t>VÄSTRA GÖTALANDS LÄN</t>
        </is>
      </c>
      <c r="G74" t="inlineStr">
        <is>
          <t>KARLSBORG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46273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44929</v>
      </c>
      <c r="E76" s="1" t="n">
        <v>46273</v>
      </c>
      <c r="F76" t="inlineStr">
        <is>
          <t>VÄSTRA GÖTALANDS LÄN</t>
        </is>
      </c>
      <c r="G76" t="inlineStr">
        <is>
          <t>KARLSBORG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X76">
        <f>HYPERLINK("https://klasma.github.io/Logging_1446/kartor/A 412-2023 karta.png", "A 412-2023")</f>
        <v/>
      </c>
      <c r="Y76">
        <f>HYPERLINK("https://klasma.github.io/Logging_1446/kartor_geotiff/A 412-2023 georefererad karta.tif", "A 412-2023")</f>
        <v/>
      </c>
      <c r="AA76">
        <f>HYPERLINK("https://klasma.github.io/Logging_1446/klagomål/A 412-2023 FSC-klagomål.docx", "A 412-2023")</f>
        <v/>
      </c>
      <c r="AB76">
        <f>HYPERLINK("https://klasma.github.io/Logging_1446/klagomålsmail/A 412-2023 FSC-klagomål mail.docx", "A 412-2023")</f>
        <v/>
      </c>
      <c r="AC76">
        <f>HYPERLINK("https://klasma.github.io/Logging_1446/tillsyn/A 412-2023 tillsynsbegäran.docx", "A 412-2023")</f>
        <v/>
      </c>
      <c r="AD76">
        <f>HYPERLINK("https://klasma.github.io/Logging_1446/tillsynsmail/A 412-2023 tillsynsbegäran mail.docx", "A 412-2023")</f>
        <v/>
      </c>
    </row>
    <row r="77" ht="15" customHeight="1">
      <c r="A77" t="inlineStr">
        <is>
          <t>A 10828-2024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46273</v>
      </c>
      <c r="F77" t="inlineStr">
        <is>
          <t>VÄSTRA GÖTALANDS LÄN</t>
        </is>
      </c>
      <c r="G77" t="inlineStr">
        <is>
          <t>KARLSBORG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45614</v>
      </c>
      <c r="E78" s="1" t="n">
        <v>46273</v>
      </c>
      <c r="F78" t="inlineStr">
        <is>
          <t>VÄSTRA GÖTALANDS LÄN</t>
        </is>
      </c>
      <c r="G78" t="inlineStr">
        <is>
          <t>KARLSBORG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46273</v>
      </c>
      <c r="F79" t="inlineStr">
        <is>
          <t>VÄSTRA GÖTALANDS LÄN</t>
        </is>
      </c>
      <c r="G79" t="inlineStr">
        <is>
          <t>KARLSBORG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46273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46273</v>
      </c>
      <c r="F81" t="inlineStr">
        <is>
          <t>VÄSTRA GÖTALANDS LÄN</t>
        </is>
      </c>
      <c r="G81" t="inlineStr">
        <is>
          <t>KARLSBORG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46273</v>
      </c>
      <c r="F82" t="inlineStr">
        <is>
          <t>VÄSTRA GÖTALANDS LÄN</t>
        </is>
      </c>
      <c r="G82" t="inlineStr">
        <is>
          <t>KARLSBORG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46273</v>
      </c>
      <c r="F83" t="inlineStr">
        <is>
          <t>VÄSTRA GÖTALANDS LÄN</t>
        </is>
      </c>
      <c r="G83" t="inlineStr">
        <is>
          <t>KARLSBORG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46273</v>
      </c>
      <c r="F84" t="inlineStr">
        <is>
          <t>VÄSTRA GÖTALANDS LÄN</t>
        </is>
      </c>
      <c r="G84" t="inlineStr">
        <is>
          <t>KARLSBORG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45755</v>
      </c>
      <c r="E85" s="1" t="n">
        <v>46273</v>
      </c>
      <c r="F85" t="inlineStr">
        <is>
          <t>VÄSTRA GÖTALANDS LÄN</t>
        </is>
      </c>
      <c r="G85" t="inlineStr">
        <is>
          <t>KARLSBORG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44755</v>
      </c>
      <c r="E86" s="1" t="n">
        <v>46273</v>
      </c>
      <c r="F86" t="inlineStr">
        <is>
          <t>VÄSTRA GÖTALANDS LÄN</t>
        </is>
      </c>
      <c r="G86" t="inlineStr">
        <is>
          <t>KARLSBORG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46273</v>
      </c>
      <c r="F87" t="inlineStr">
        <is>
          <t>VÄSTRA GÖTALANDS LÄN</t>
        </is>
      </c>
      <c r="G87" t="inlineStr">
        <is>
          <t>KARLSBORG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46273</v>
      </c>
      <c r="F88" t="inlineStr">
        <is>
          <t>VÄSTRA GÖTALANDS LÄN</t>
        </is>
      </c>
      <c r="G88" t="inlineStr">
        <is>
          <t>KARLSBORG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46273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46273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46273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Kyrkan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46273</v>
      </c>
      <c r="F92" t="inlineStr">
        <is>
          <t>VÄSTRA GÖTALANDS LÄN</t>
        </is>
      </c>
      <c r="G92" t="inlineStr">
        <is>
          <t>KARLSBORG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46273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35441-2024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45531</v>
      </c>
      <c r="E94" s="1" t="n">
        <v>46273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9.800000000000001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46273</v>
      </c>
      <c r="F95" t="inlineStr">
        <is>
          <t>VÄSTRA GÖTALANDS LÄN</t>
        </is>
      </c>
      <c r="G95" t="inlineStr">
        <is>
          <t>KARLSBORG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46273</v>
      </c>
      <c r="F96" t="inlineStr">
        <is>
          <t>VÄSTRA GÖTALANDS LÄN</t>
        </is>
      </c>
      <c r="G96" t="inlineStr">
        <is>
          <t>KARLSBORG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46273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20940-2026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46142</v>
      </c>
      <c r="E98" s="1" t="n">
        <v>46273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21014-2026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46143</v>
      </c>
      <c r="E99" s="1" t="n">
        <v>46273</v>
      </c>
      <c r="F99" t="inlineStr">
        <is>
          <t>VÄSTRA GÖTALANDS LÄN</t>
        </is>
      </c>
      <c r="G99" t="inlineStr">
        <is>
          <t>KARLSBORG</t>
        </is>
      </c>
      <c r="I99" t="n">
        <v>14.6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46273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46273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46273</v>
      </c>
      <c r="F102" t="inlineStr">
        <is>
          <t>VÄSTRA GÖTALANDS LÄN</t>
        </is>
      </c>
      <c r="G102" t="inlineStr">
        <is>
          <t>KARLSBORG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46273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46273</v>
      </c>
      <c r="F104" t="inlineStr">
        <is>
          <t>VÄSTRA GÖTALANDS LÄN</t>
        </is>
      </c>
      <c r="G104" t="inlineStr">
        <is>
          <t>KARLSBORG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46273</v>
      </c>
      <c r="F105" t="inlineStr">
        <is>
          <t>VÄSTRA GÖTALANDS LÄN</t>
        </is>
      </c>
      <c r="G105" t="inlineStr">
        <is>
          <t>KARLSBORG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70945-2021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44538</v>
      </c>
      <c r="E106" s="1" t="n">
        <v>46273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46273</v>
      </c>
      <c r="F107" t="inlineStr">
        <is>
          <t>VÄSTRA GÖTALANDS LÄN</t>
        </is>
      </c>
      <c r="G107" t="inlineStr">
        <is>
          <t>KARLSBORG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45942</v>
      </c>
      <c r="E108" s="1" t="n">
        <v>46273</v>
      </c>
      <c r="F108" t="inlineStr">
        <is>
          <t>VÄSTRA GÖTALANDS LÄN</t>
        </is>
      </c>
      <c r="G108" t="inlineStr">
        <is>
          <t>KARLSBORG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46273</v>
      </c>
      <c r="F109" t="inlineStr">
        <is>
          <t>VÄSTRA GÖTALANDS LÄN</t>
        </is>
      </c>
      <c r="G109" t="inlineStr">
        <is>
          <t>KARLSBORG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46273</v>
      </c>
      <c r="F110" t="inlineStr">
        <is>
          <t>VÄSTRA GÖTALANDS LÄN</t>
        </is>
      </c>
      <c r="G110" t="inlineStr">
        <is>
          <t>KARLSBORG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46273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Aktiebolag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46273</v>
      </c>
      <c r="F112" t="inlineStr">
        <is>
          <t>VÄSTRA GÖTALANDS LÄN</t>
        </is>
      </c>
      <c r="G112" t="inlineStr">
        <is>
          <t>KARLSBORG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46273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45394</v>
      </c>
      <c r="E114" s="1" t="n">
        <v>46273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46273</v>
      </c>
      <c r="F115" t="inlineStr">
        <is>
          <t>VÄSTRA GÖTALANDS LÄN</t>
        </is>
      </c>
      <c r="G115" t="inlineStr">
        <is>
          <t>KARLSBORG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70783-2021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46273</v>
      </c>
      <c r="F116" t="inlineStr">
        <is>
          <t>VÄSTRA GÖTALANDS LÄN</t>
        </is>
      </c>
      <c r="G116" t="inlineStr">
        <is>
          <t>KARLSBORG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46273</v>
      </c>
      <c r="F117" t="inlineStr">
        <is>
          <t>VÄSTRA GÖTALANDS LÄN</t>
        </is>
      </c>
      <c r="G117" t="inlineStr">
        <is>
          <t>KARLSBORG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46273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24724-2026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46171</v>
      </c>
      <c r="E119" s="1" t="n">
        <v>46273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46273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46273</v>
      </c>
      <c r="F121" t="inlineStr">
        <is>
          <t>VÄSTRA GÖTALANDS LÄN</t>
        </is>
      </c>
      <c r="G121" t="inlineStr">
        <is>
          <t>KARLSBORG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46273</v>
      </c>
      <c r="F122" t="inlineStr">
        <is>
          <t>VÄSTRA GÖTALANDS LÄN</t>
        </is>
      </c>
      <c r="G122" t="inlineStr">
        <is>
          <t>KARLSBORG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46273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25977-2026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46273</v>
      </c>
      <c r="F124" t="inlineStr">
        <is>
          <t>VÄSTRA GÖTALANDS LÄN</t>
        </is>
      </c>
      <c r="G124" t="inlineStr">
        <is>
          <t>KARLSBORG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45988</v>
      </c>
      <c r="E125" s="1" t="n">
        <v>46273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46273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46273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46273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46273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59887-2021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44494</v>
      </c>
      <c r="E130" s="1" t="n">
        <v>46273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statliga verk och myndigheter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46273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statliga verk och myndigheter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46273</v>
      </c>
      <c r="F132" t="inlineStr">
        <is>
          <t>VÄSTRA GÖTALANDS LÄN</t>
        </is>
      </c>
      <c r="G132" t="inlineStr">
        <is>
          <t>KARLSBORG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46273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46273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46273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27332-2026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46273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12.6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46273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69341-2021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46273</v>
      </c>
      <c r="F138" t="inlineStr">
        <is>
          <t>VÄSTRA GÖTALANDS LÄN</t>
        </is>
      </c>
      <c r="G138" t="inlineStr">
        <is>
          <t>KARLSBORG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46273</v>
      </c>
      <c r="F139" t="inlineStr">
        <is>
          <t>VÄSTRA GÖTALANDS LÄN</t>
        </is>
      </c>
      <c r="G139" t="inlineStr">
        <is>
          <t>KARLSBORG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46273</v>
      </c>
      <c r="F140" t="inlineStr">
        <is>
          <t>VÄSTRA GÖTALANDS LÄN</t>
        </is>
      </c>
      <c r="G140" t="inlineStr">
        <is>
          <t>KARLSBORG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46273</v>
      </c>
      <c r="F141" t="inlineStr">
        <is>
          <t>VÄSTRA GÖTALANDS LÄN</t>
        </is>
      </c>
      <c r="G141" t="inlineStr">
        <is>
          <t>KARLSBORG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57913-2024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45631</v>
      </c>
      <c r="E142" s="1" t="n">
        <v>46273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46273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23500-2023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45076</v>
      </c>
      <c r="E144" s="1" t="n">
        <v>46273</v>
      </c>
      <c r="F144" t="inlineStr">
        <is>
          <t>VÄSTRA GÖTALANDS LÄN</t>
        </is>
      </c>
      <c r="G144" t="inlineStr">
        <is>
          <t>KARLSBORG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46273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45233</v>
      </c>
      <c r="E146" s="1" t="n">
        <v>46273</v>
      </c>
      <c r="F146" t="inlineStr">
        <is>
          <t>VÄSTRA GÖTALANDS LÄN</t>
        </is>
      </c>
      <c r="G146" t="inlineStr">
        <is>
          <t>KARLSBORG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46273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46273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46273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46273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14.3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46273</v>
      </c>
      <c r="F151" t="inlineStr">
        <is>
          <t>VÄSTRA GÖTALANDS LÄN</t>
        </is>
      </c>
      <c r="G151" t="inlineStr">
        <is>
          <t>KARLSBORG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46273</v>
      </c>
      <c r="F152" t="inlineStr">
        <is>
          <t>VÄSTRA GÖTALANDS LÄN</t>
        </is>
      </c>
      <c r="G152" t="inlineStr">
        <is>
          <t>KARLSBORG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46273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46273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46273</v>
      </c>
      <c r="F155" t="inlineStr">
        <is>
          <t>VÄSTRA GÖTALANDS LÄN</t>
        </is>
      </c>
      <c r="G155" t="inlineStr">
        <is>
          <t>KARLSBORG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46273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46273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46273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46273</v>
      </c>
      <c r="F159" t="inlineStr">
        <is>
          <t>VÄSTRA GÖTALANDS LÄN</t>
        </is>
      </c>
      <c r="G159" t="inlineStr">
        <is>
          <t>KARLSBORG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46273</v>
      </c>
      <c r="F160" t="inlineStr">
        <is>
          <t>VÄSTRA GÖTALANDS LÄN</t>
        </is>
      </c>
      <c r="G160" t="inlineStr">
        <is>
          <t>KARLSBORG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46079</v>
      </c>
      <c r="E161" s="1" t="n">
        <v>46273</v>
      </c>
      <c r="F161" t="inlineStr">
        <is>
          <t>VÄSTRA GÖTALANDS LÄN</t>
        </is>
      </c>
      <c r="G161" t="inlineStr">
        <is>
          <t>KARLSBORG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46273</v>
      </c>
      <c r="F162" t="inlineStr">
        <is>
          <t>VÄSTRA GÖTALANDS LÄN</t>
        </is>
      </c>
      <c r="G162" t="inlineStr">
        <is>
          <t>KARLSBORG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46273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46273</v>
      </c>
      <c r="F164" t="inlineStr">
        <is>
          <t>VÄSTRA GÖTALANDS LÄN</t>
        </is>
      </c>
      <c r="G164" t="inlineStr">
        <is>
          <t>KARLSBORG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30610-2026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46210</v>
      </c>
      <c r="E165" s="1" t="n">
        <v>46273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46273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46273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44809</v>
      </c>
      <c r="E168" s="1" t="n">
        <v>46273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46273</v>
      </c>
      <c r="F169" t="inlineStr">
        <is>
          <t>VÄSTRA GÖTALANDS LÄN</t>
        </is>
      </c>
      <c r="G169" t="inlineStr">
        <is>
          <t>KARLSBORG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46273</v>
      </c>
      <c r="F170" t="inlineStr">
        <is>
          <t>VÄSTRA GÖTALANDS LÄN</t>
        </is>
      </c>
      <c r="G170" t="inlineStr">
        <is>
          <t>KARLSBORG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46273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46273</v>
      </c>
      <c r="F172" t="inlineStr">
        <is>
          <t>VÄSTRA GÖTALANDS LÄN</t>
        </is>
      </c>
      <c r="G172" t="inlineStr">
        <is>
          <t>KARLSBORG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46273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44906</v>
      </c>
      <c r="E174" s="1" t="n">
        <v>46273</v>
      </c>
      <c r="F174" t="inlineStr">
        <is>
          <t>VÄSTRA GÖTALANDS LÄN</t>
        </is>
      </c>
      <c r="G174" t="inlineStr">
        <is>
          <t>KARLSBORG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46273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46273</v>
      </c>
      <c r="F176" t="inlineStr">
        <is>
          <t>VÄSTRA GÖTALANDS LÄN</t>
        </is>
      </c>
      <c r="G176" t="inlineStr">
        <is>
          <t>KARLSBORG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44664</v>
      </c>
      <c r="E177" s="1" t="n">
        <v>46273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46273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15396-2024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45401</v>
      </c>
      <c r="E179" s="1" t="n">
        <v>46273</v>
      </c>
      <c r="F179" t="inlineStr">
        <is>
          <t>VÄSTRA GÖTALANDS LÄN</t>
        </is>
      </c>
      <c r="G179" t="inlineStr">
        <is>
          <t>KARLSBORG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46273</v>
      </c>
      <c r="F180" t="inlineStr">
        <is>
          <t>VÄSTRA GÖTALANDS LÄN</t>
        </is>
      </c>
      <c r="G180" t="inlineStr">
        <is>
          <t>KARLSBORG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59877-2021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46273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46273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46273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46273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46273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46273</v>
      </c>
      <c r="F186" t="inlineStr">
        <is>
          <t>VÄSTRA GÖTALANDS LÄN</t>
        </is>
      </c>
      <c r="G186" t="inlineStr">
        <is>
          <t>KARLSBORG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44687</v>
      </c>
      <c r="E187" s="1" t="n">
        <v>46273</v>
      </c>
      <c r="F187" t="inlineStr">
        <is>
          <t>VÄSTRA GÖTALANDS LÄN</t>
        </is>
      </c>
      <c r="G187" t="inlineStr">
        <is>
          <t>KARLSBORG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46273</v>
      </c>
      <c r="F188" t="inlineStr">
        <is>
          <t>VÄSTRA GÖTALANDS LÄN</t>
        </is>
      </c>
      <c r="G188" t="inlineStr">
        <is>
          <t>KARLSBORG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44809</v>
      </c>
      <c r="E189" s="1" t="n">
        <v>46273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44972</v>
      </c>
      <c r="E190" s="1" t="n">
        <v>46273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46273</v>
      </c>
      <c r="F191" t="inlineStr">
        <is>
          <t>VÄSTRA GÖTALANDS LÄN</t>
        </is>
      </c>
      <c r="G191" t="inlineStr">
        <is>
          <t>KARLSBORG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46273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46273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46273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58127-2024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45632</v>
      </c>
      <c r="E195" s="1" t="n">
        <v>46273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46273</v>
      </c>
      <c r="F196" t="inlineStr">
        <is>
          <t>VÄSTRA GÖTALANDS LÄN</t>
        </is>
      </c>
      <c r="G196" t="inlineStr">
        <is>
          <t>KARLSBORG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44944</v>
      </c>
      <c r="E197" s="1" t="n">
        <v>46273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57454-2024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45630</v>
      </c>
      <c r="E198" s="1" t="n">
        <v>46273</v>
      </c>
      <c r="F198" t="inlineStr">
        <is>
          <t>VÄSTRA GÖTALANDS LÄN</t>
        </is>
      </c>
      <c r="G198" t="inlineStr">
        <is>
          <t>KARLSBORG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46273</v>
      </c>
      <c r="F199" t="inlineStr">
        <is>
          <t>VÄSTRA GÖTALANDS LÄN</t>
        </is>
      </c>
      <c r="G199" t="inlineStr">
        <is>
          <t>KARLSBORG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46273</v>
      </c>
      <c r="F200" t="inlineStr">
        <is>
          <t>VÄSTRA GÖTALANDS LÄN</t>
        </is>
      </c>
      <c r="G200" t="inlineStr">
        <is>
          <t>KARLSBORG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45603</v>
      </c>
      <c r="E201" s="1" t="n">
        <v>46273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46273</v>
      </c>
      <c r="F202" t="inlineStr">
        <is>
          <t>VÄSTRA GÖTALANDS LÄN</t>
        </is>
      </c>
      <c r="G202" t="inlineStr">
        <is>
          <t>KARLSBORG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46273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46273</v>
      </c>
      <c r="F204" t="inlineStr">
        <is>
          <t>VÄSTRA GÖTALANDS LÄN</t>
        </is>
      </c>
      <c r="G204" t="inlineStr">
        <is>
          <t>KARLSBORG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46273</v>
      </c>
      <c r="F205" t="inlineStr">
        <is>
          <t>VÄSTRA GÖTALANDS LÄN</t>
        </is>
      </c>
      <c r="G205" t="inlineStr">
        <is>
          <t>KARLSBORG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46273</v>
      </c>
      <c r="F206" t="inlineStr">
        <is>
          <t>VÄSTRA GÖTALANDS LÄN</t>
        </is>
      </c>
      <c r="G206" t="inlineStr">
        <is>
          <t>KARLSBORG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57915-2024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45631</v>
      </c>
      <c r="E207" s="1" t="n">
        <v>46273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46273</v>
      </c>
      <c r="F208" t="inlineStr">
        <is>
          <t>VÄSTRA GÖTALANDS LÄN</t>
        </is>
      </c>
      <c r="G208" t="inlineStr">
        <is>
          <t>KARLSBORG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46273</v>
      </c>
      <c r="F209" t="inlineStr">
        <is>
          <t>VÄSTRA GÖTALANDS LÄN</t>
        </is>
      </c>
      <c r="G209" t="inlineStr">
        <is>
          <t>KARLSBORG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45786</v>
      </c>
      <c r="E210" s="1" t="n">
        <v>46273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46273</v>
      </c>
      <c r="F211" t="inlineStr">
        <is>
          <t>VÄSTRA GÖTALANDS LÄN</t>
        </is>
      </c>
      <c r="G211" t="inlineStr">
        <is>
          <t>KARLSBORG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46273</v>
      </c>
      <c r="F212" t="inlineStr">
        <is>
          <t>VÄSTRA GÖTALANDS LÄN</t>
        </is>
      </c>
      <c r="G212" t="inlineStr">
        <is>
          <t>KARLSBORG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46273</v>
      </c>
      <c r="F213" t="inlineStr">
        <is>
          <t>VÄSTRA GÖTALANDS LÄN</t>
        </is>
      </c>
      <c r="G213" t="inlineStr">
        <is>
          <t>KARLSBORG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46273</v>
      </c>
      <c r="F214" t="inlineStr">
        <is>
          <t>VÄSTRA GÖTALANDS LÄN</t>
        </is>
      </c>
      <c r="G214" t="inlineStr">
        <is>
          <t>KARLSBORG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46273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46273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Övriga Aktiebolag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46273</v>
      </c>
      <c r="F217" t="inlineStr">
        <is>
          <t>VÄSTRA GÖTALANDS LÄN</t>
        </is>
      </c>
      <c r="G217" t="inlineStr">
        <is>
          <t>KARLSBORG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46273</v>
      </c>
      <c r="F218" t="inlineStr">
        <is>
          <t>VÄSTRA GÖTALANDS LÄN</t>
        </is>
      </c>
      <c r="G218" t="inlineStr">
        <is>
          <t>KARLSBORG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31701-2025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45834</v>
      </c>
      <c r="E219" s="1" t="n">
        <v>46273</v>
      </c>
      <c r="F219" t="inlineStr">
        <is>
          <t>VÄSTRA GÖTALANDS LÄN</t>
        </is>
      </c>
      <c r="G219" t="inlineStr">
        <is>
          <t>KARLSBORG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32128-2025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45835</v>
      </c>
      <c r="E220" s="1" t="n">
        <v>46273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46273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46273</v>
      </c>
      <c r="F222" t="inlineStr">
        <is>
          <t>VÄSTRA GÖTALANDS LÄN</t>
        </is>
      </c>
      <c r="G222" t="inlineStr">
        <is>
          <t>KARLSBORG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45862</v>
      </c>
      <c r="E223" s="1" t="n">
        <v>46273</v>
      </c>
      <c r="F223" t="inlineStr">
        <is>
          <t>VÄSTRA GÖTALANDS LÄN</t>
        </is>
      </c>
      <c r="G223" t="inlineStr">
        <is>
          <t>KARLSBORG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46273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46273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2026-09-08T02:12:48Z</dcterms:created>
  <dcterms:modified xmlns:dcterms="http://purl.org/dc/terms/" xmlns:xsi="http://www.w3.org/2001/XMLSchema-instance" xsi:type="dcterms:W3CDTF">2026-09-08T02:12:48Z</dcterms:modified>
</cp:coreProperties>
</file>