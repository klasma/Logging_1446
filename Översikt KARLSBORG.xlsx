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46294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46294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46294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46294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46294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46294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46294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46294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46294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46294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46294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46294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46294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46294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28315-2025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45818</v>
      </c>
      <c r="E16" s="1" t="n">
        <v>46294</v>
      </c>
      <c r="F16" t="inlineStr">
        <is>
          <t>VÄSTRA GÖTALANDS LÄN</t>
        </is>
      </c>
      <c r="G16" t="inlineStr">
        <is>
          <t>KARLSBORG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Rostfläck</t>
        </is>
      </c>
      <c r="W16">
        <f>HYPERLINK("https://klasma.github.io/Logging_1446/artfynd/A 28315-2025 artfynd.xlsx", "A 28315-2025")</f>
        <v/>
      </c>
      <c r="X16">
        <f>HYPERLINK("https://klasma.github.io/Logging_1446/kartor/A 28315-2025 karta.png", "A 28315-2025")</f>
        <v/>
      </c>
      <c r="Y16">
        <f>HYPERLINK("https://klasma.github.io/Logging_1446/kartor_geotiff/A 28315-2025 georefererad karta.tif", "A 28315-2025")</f>
        <v/>
      </c>
      <c r="AA16">
        <f>HYPERLINK("https://klasma.github.io/Logging_1446/klagomål/A 28315-2025 FSC-klagomål.docx", "A 28315-2025")</f>
        <v/>
      </c>
      <c r="AB16">
        <f>HYPERLINK("https://klasma.github.io/Logging_1446/klagomålsmail/A 28315-2025 FSC-klagomål mail.docx", "A 28315-2025")</f>
        <v/>
      </c>
      <c r="AC16">
        <f>HYPERLINK("https://klasma.github.io/Logging_1446/tillsyn/A 28315-2025 tillsynsbegäran.docx", "A 28315-2025")</f>
        <v/>
      </c>
      <c r="AD16">
        <f>HYPERLINK("https://klasma.github.io/Logging_1446/tillsynsmail/A 28315-2025 tillsynsbegäran mail.docx", "A 28315-2025")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46294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46294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18567-2026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46127</v>
      </c>
      <c r="E19" s="1" t="n">
        <v>46294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2.6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18567-2026 artfynd.xlsx", "A 18567-2026")</f>
        <v/>
      </c>
      <c r="X19">
        <f>HYPERLINK("https://klasma.github.io/Logging_1446/kartor/A 18567-2026 karta.png", "A 18567-2026")</f>
        <v/>
      </c>
      <c r="Y19">
        <f>HYPERLINK("https://klasma.github.io/Logging_1446/kartor_geotiff/A 18567-2026 georefererad karta.tif", "A 18567-2026")</f>
        <v/>
      </c>
      <c r="AA19">
        <f>HYPERLINK("https://klasma.github.io/Logging_1446/klagomål/A 18567-2026 FSC-klagomål.docx", "A 18567-2026")</f>
        <v/>
      </c>
      <c r="AB19">
        <f>HYPERLINK("https://klasma.github.io/Logging_1446/klagomålsmail/A 18567-2026 FSC-klagomål mail.docx", "A 18567-2026")</f>
        <v/>
      </c>
      <c r="AC19">
        <f>HYPERLINK("https://klasma.github.io/Logging_1446/tillsyn/A 18567-2026 tillsynsbegäran.docx", "A 18567-2026")</f>
        <v/>
      </c>
      <c r="AD19">
        <f>HYPERLINK("https://klasma.github.io/Logging_1446/tillsynsmail/A 18567-2026 tillsynsbegäran mail.docx", "A 18567-2026")</f>
        <v/>
      </c>
    </row>
    <row r="20" ht="15" customHeight="1">
      <c r="A20" t="inlineStr">
        <is>
          <t>A 29484-2025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46294</v>
      </c>
      <c r="F20" t="inlineStr">
        <is>
          <t>VÄSTRA GÖTALANDS LÄN</t>
        </is>
      </c>
      <c r="G20" t="inlineStr">
        <is>
          <t>KARLSBORG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Blåsippa</t>
        </is>
      </c>
      <c r="W20">
        <f>HYPERLINK("https://klasma.github.io/Logging_1446/artfynd/A 29484-2025 artfynd.xlsx", "A 29484-2025")</f>
        <v/>
      </c>
      <c r="X20">
        <f>HYPERLINK("https://klasma.github.io/Logging_1446/kartor/A 29484-2025 karta.png", "A 29484-2025")</f>
        <v/>
      </c>
      <c r="Y20">
        <f>HYPERLINK("https://klasma.github.io/Logging_1446/kartor_geotiff/A 29484-2025 georefererad karta.tif", "A 29484-2025")</f>
        <v/>
      </c>
      <c r="AA20">
        <f>HYPERLINK("https://klasma.github.io/Logging_1446/klagomål/A 29484-2025 FSC-klagomål.docx", "A 29484-2025")</f>
        <v/>
      </c>
      <c r="AB20">
        <f>HYPERLINK("https://klasma.github.io/Logging_1446/klagomålsmail/A 29484-2025 FSC-klagomål mail.docx", "A 29484-2025")</f>
        <v/>
      </c>
      <c r="AC20">
        <f>HYPERLINK("https://klasma.github.io/Logging_1446/tillsyn/A 29484-2025 tillsynsbegäran.docx", "A 29484-2025")</f>
        <v/>
      </c>
      <c r="AD20">
        <f>HYPERLINK("https://klasma.github.io/Logging_1446/tillsynsmail/A 29484-2025 tillsynsbegäran mail.docx", "A 29484-2025")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46294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46294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46294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46294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38103-2023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46294</v>
      </c>
      <c r="F25" t="inlineStr">
        <is>
          <t>VÄSTRA GÖTALANDS LÄN</t>
        </is>
      </c>
      <c r="G25" t="inlineStr">
        <is>
          <t>KARLSBORG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HYPERLINK("https://klasma.github.io/Logging_1446/artfynd/A 38103-2023 artfynd.xlsx", "A 38103-2023")</f>
        <v/>
      </c>
      <c r="X25">
        <f>HYPERLINK("https://klasma.github.io/Logging_1446/kartor/A 38103-2023 karta.png", "A 38103-2023")</f>
        <v/>
      </c>
      <c r="Y25">
        <f>HYPERLINK("https://klasma.github.io/Logging_1446/kartor_geotiff/A 38103-2023 georefererad karta.tif", "A 38103-2023")</f>
        <v/>
      </c>
      <c r="AA25">
        <f>HYPERLINK("https://klasma.github.io/Logging_1446/klagomål/A 38103-2023 FSC-klagomål.docx", "A 38103-2023")</f>
        <v/>
      </c>
      <c r="AB25">
        <f>HYPERLINK("https://klasma.github.io/Logging_1446/klagomålsmail/A 38103-2023 FSC-klagomål mail.docx", "A 38103-2023")</f>
        <v/>
      </c>
      <c r="AC25">
        <f>HYPERLINK("https://klasma.github.io/Logging_1446/tillsyn/A 38103-2023 tillsynsbegäran.docx", "A 38103-2023")</f>
        <v/>
      </c>
      <c r="AD25">
        <f>HYPERLINK("https://klasma.github.io/Logging_1446/tillsynsmail/A 38103-2023 tillsynsbegäran mail.docx", "A 38103-2023")</f>
        <v/>
      </c>
    </row>
    <row r="26" ht="15" customHeight="1">
      <c r="A26" t="inlineStr">
        <is>
          <t>A 29156-2026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46294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29156-2026 artfynd.xlsx", "A 29156-2026")</f>
        <v/>
      </c>
      <c r="X26">
        <f>HYPERLINK("https://klasma.github.io/Logging_1446/kartor/A 29156-2026 karta.png", "A 29156-2026")</f>
        <v/>
      </c>
      <c r="Y26">
        <f>HYPERLINK("https://klasma.github.io/Logging_1446/kartor_geotiff/A 29156-2026 georefererad karta.tif", "A 29156-2026")</f>
        <v/>
      </c>
      <c r="AA26">
        <f>HYPERLINK("https://klasma.github.io/Logging_1446/klagomål/A 29156-2026 FSC-klagomål.docx", "A 29156-2026")</f>
        <v/>
      </c>
      <c r="AB26">
        <f>HYPERLINK("https://klasma.github.io/Logging_1446/klagomålsmail/A 29156-2026 FSC-klagomål mail.docx", "A 29156-2026")</f>
        <v/>
      </c>
      <c r="AC26">
        <f>HYPERLINK("https://klasma.github.io/Logging_1446/tillsyn/A 29156-2026 tillsynsbegäran.docx", "A 29156-2026")</f>
        <v/>
      </c>
      <c r="AD26">
        <f>HYPERLINK("https://klasma.github.io/Logging_1446/tillsynsmail/A 29156-2026 tillsynsbegäran mail.docx", "A 29156-2026")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46294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46294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46294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Orre</t>
        </is>
      </c>
      <c r="W29">
        <f>HYPERLINK("https://klasma.github.io/Logging_1446/artfynd/A 23973-2023 artfynd.xlsx", "A 23973-2023")</f>
        <v/>
      </c>
      <c r="X29">
        <f>HYPERLINK("https://klasma.github.io/Logging_1446/kartor/A 23973-2023 karta.png", "A 23973-2023")</f>
        <v/>
      </c>
      <c r="Y29">
        <f>HYPERLINK("https://klasma.github.io/Logging_1446/kartor_geotiff/A 23973-2023 georefererad karta.tif", "A 23973-2023")</f>
        <v/>
      </c>
      <c r="AA29">
        <f>HYPERLINK("https://klasma.github.io/Logging_1446/klagomål/A 23973-2023 FSC-klagomål.docx", "A 23973-2023")</f>
        <v/>
      </c>
      <c r="AB29">
        <f>HYPERLINK("https://klasma.github.io/Logging_1446/klagomålsmail/A 23973-2023 FSC-klagomål mail.docx", "A 23973-2023")</f>
        <v/>
      </c>
      <c r="AC29">
        <f>HYPERLINK("https://klasma.github.io/Logging_1446/tillsyn/A 23973-2023 tillsynsbegäran.docx", "A 23973-2023")</f>
        <v/>
      </c>
      <c r="AD29">
        <f>HYPERLINK("https://klasma.github.io/Logging_1446/tillsynsmail/A 23973-2023 tillsynsbegäran mail.docx", "A 23973-2023")</f>
        <v/>
      </c>
      <c r="AE29">
        <f>HYPERLINK("https://klasma.github.io/Logging_1446/fåglar/A 23973-2023 prioriterade fågelarter.docx", "A 23973-2023")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46294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46294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46294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46294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46294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46294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46294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46294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46294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46294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46294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46294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46294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46294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46294</v>
      </c>
      <c r="F44" t="inlineStr">
        <is>
          <t>VÄSTRA GÖTALANDS LÄN</t>
        </is>
      </c>
      <c r="G44" t="inlineStr">
        <is>
          <t>KARLSBORG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46294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45002</v>
      </c>
      <c r="E46" s="1" t="n">
        <v>46294</v>
      </c>
      <c r="F46" t="inlineStr">
        <is>
          <t>VÄSTRA GÖTALANDS LÄN</t>
        </is>
      </c>
      <c r="G46" t="inlineStr">
        <is>
          <t>KARLSBORG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46294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46294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44538</v>
      </c>
      <c r="E49" s="1" t="n">
        <v>46294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45160</v>
      </c>
      <c r="E50" s="1" t="n">
        <v>46294</v>
      </c>
      <c r="F50" t="inlineStr">
        <is>
          <t>VÄSTRA GÖTALANDS LÄN</t>
        </is>
      </c>
      <c r="G50" t="inlineStr">
        <is>
          <t>KARLSBORG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46294</v>
      </c>
      <c r="F51" t="inlineStr">
        <is>
          <t>VÄSTRA GÖTALANDS LÄN</t>
        </is>
      </c>
      <c r="G51" t="inlineStr">
        <is>
          <t>KARLSBORG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46294</v>
      </c>
      <c r="F52" t="inlineStr">
        <is>
          <t>VÄSTRA GÖTALANDS LÄN</t>
        </is>
      </c>
      <c r="G52" t="inlineStr">
        <is>
          <t>KARLSBORG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57454-2024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45630</v>
      </c>
      <c r="E53" s="1" t="n">
        <v>46294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46006</v>
      </c>
      <c r="E54" s="1" t="n">
        <v>46294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46294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46294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57727-2024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46294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45527</v>
      </c>
      <c r="E58" s="1" t="n">
        <v>46294</v>
      </c>
      <c r="F58" t="inlineStr">
        <is>
          <t>VÄSTRA GÖTALANDS LÄN</t>
        </is>
      </c>
      <c r="G58" t="inlineStr">
        <is>
          <t>KARLSBORG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45680</v>
      </c>
      <c r="E59" s="1" t="n">
        <v>46294</v>
      </c>
      <c r="F59" t="inlineStr">
        <is>
          <t>VÄSTRA GÖTALANDS LÄN</t>
        </is>
      </c>
      <c r="G59" t="inlineStr">
        <is>
          <t>KARLSBORG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45166</v>
      </c>
      <c r="E60" s="1" t="n">
        <v>46294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46294</v>
      </c>
      <c r="F61" t="inlineStr">
        <is>
          <t>VÄSTRA GÖTALANDS LÄN</t>
        </is>
      </c>
      <c r="G61" t="inlineStr">
        <is>
          <t>KARLSBORG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46294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46294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46294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25982-2025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45804</v>
      </c>
      <c r="E65" s="1" t="n">
        <v>46294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46294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7978-2025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45707</v>
      </c>
      <c r="E67" s="1" t="n">
        <v>46294</v>
      </c>
      <c r="F67" t="inlineStr">
        <is>
          <t>VÄSTRA GÖTALANDS LÄN</t>
        </is>
      </c>
      <c r="G67" t="inlineStr">
        <is>
          <t>KARLSBORG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14514-2024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46294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45908</v>
      </c>
      <c r="E69" s="1" t="n">
        <v>46294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Kyrkan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46294</v>
      </c>
      <c r="F70" t="inlineStr">
        <is>
          <t>VÄSTRA GÖTALANDS LÄN</t>
        </is>
      </c>
      <c r="G70" t="inlineStr">
        <is>
          <t>KARLSBORG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46294</v>
      </c>
      <c r="F71" t="inlineStr">
        <is>
          <t>VÄSTRA GÖTALANDS LÄN</t>
        </is>
      </c>
      <c r="G71" t="inlineStr">
        <is>
          <t>KARLSBORG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46294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45247-2025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45919</v>
      </c>
      <c r="E73" s="1" t="n">
        <v>46294</v>
      </c>
      <c r="F73" t="inlineStr">
        <is>
          <t>VÄSTRA GÖTALANDS LÄN</t>
        </is>
      </c>
      <c r="G73" t="inlineStr">
        <is>
          <t>KARLSBORG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45256-2025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46294</v>
      </c>
      <c r="F74" t="inlineStr">
        <is>
          <t>VÄSTRA GÖTALANDS LÄN</t>
        </is>
      </c>
      <c r="G74" t="inlineStr">
        <is>
          <t>KARLSBORG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46294</v>
      </c>
      <c r="F75" t="inlineStr">
        <is>
          <t>VÄSTRA GÖTALANDS LÄN</t>
        </is>
      </c>
      <c r="G75" t="inlineStr">
        <is>
          <t>KARLSBORG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46294</v>
      </c>
      <c r="F76" t="inlineStr">
        <is>
          <t>VÄSTRA GÖTALANDS LÄN</t>
        </is>
      </c>
      <c r="G76" t="inlineStr">
        <is>
          <t>KARLSBORG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46294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46294</v>
      </c>
      <c r="F78" t="inlineStr">
        <is>
          <t>VÄSTRA GÖTALANDS LÄN</t>
        </is>
      </c>
      <c r="G78" t="inlineStr">
        <is>
          <t>KARLSBORG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46294</v>
      </c>
      <c r="F79" t="inlineStr">
        <is>
          <t>VÄSTRA GÖTALANDS LÄN</t>
        </is>
      </c>
      <c r="G79" t="inlineStr">
        <is>
          <t>KARLSBORG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47262-2025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46294</v>
      </c>
      <c r="F80" t="inlineStr">
        <is>
          <t>VÄSTRA GÖTALANDS LÄN</t>
        </is>
      </c>
      <c r="G80" t="inlineStr">
        <is>
          <t>KARLSBORG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58127-2024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45632</v>
      </c>
      <c r="E81" s="1" t="n">
        <v>46294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Sveaskog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46294</v>
      </c>
      <c r="F82" t="inlineStr">
        <is>
          <t>VÄSTRA GÖTALANDS LÄN</t>
        </is>
      </c>
      <c r="G82" t="inlineStr">
        <is>
          <t>KARLSBORG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32128-2025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45835</v>
      </c>
      <c r="E83" s="1" t="n">
        <v>46294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Sveaskog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46294</v>
      </c>
      <c r="F84" t="inlineStr">
        <is>
          <t>VÄSTRA GÖTALANDS LÄN</t>
        </is>
      </c>
      <c r="G84" t="inlineStr">
        <is>
          <t>KARLSBORG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59887-2021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46294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statliga verk och myndigheter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45548</v>
      </c>
      <c r="E86" s="1" t="n">
        <v>46294</v>
      </c>
      <c r="F86" t="inlineStr">
        <is>
          <t>VÄSTRA GÖTALANDS LÄN</t>
        </is>
      </c>
      <c r="G86" t="inlineStr">
        <is>
          <t>KARLSBORG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31701-2025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45834</v>
      </c>
      <c r="E87" s="1" t="n">
        <v>46294</v>
      </c>
      <c r="F87" t="inlineStr">
        <is>
          <t>VÄSTRA GÖTALANDS LÄN</t>
        </is>
      </c>
      <c r="G87" t="inlineStr">
        <is>
          <t>KARLSBORG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46294</v>
      </c>
      <c r="F88" t="inlineStr">
        <is>
          <t>VÄSTRA GÖTALANDS LÄN</t>
        </is>
      </c>
      <c r="G88" t="inlineStr">
        <is>
          <t>KARLSBORG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45942</v>
      </c>
      <c r="E89" s="1" t="n">
        <v>46294</v>
      </c>
      <c r="F89" t="inlineStr">
        <is>
          <t>VÄSTRA GÖTALANDS LÄN</t>
        </is>
      </c>
      <c r="G89" t="inlineStr">
        <is>
          <t>KARLSBORG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64011-2025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46294</v>
      </c>
      <c r="F90" t="inlineStr">
        <is>
          <t>VÄSTRA GÖTALANDS LÄN</t>
        </is>
      </c>
      <c r="G90" t="inlineStr">
        <is>
          <t>KARLSBORG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46294</v>
      </c>
      <c r="F91" t="inlineStr">
        <is>
          <t>VÄSTRA GÖTALANDS LÄN</t>
        </is>
      </c>
      <c r="G91" t="inlineStr">
        <is>
          <t>KARLSBORG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46294</v>
      </c>
      <c r="F92" t="inlineStr">
        <is>
          <t>VÄSTRA GÖTALANDS LÄN</t>
        </is>
      </c>
      <c r="G92" t="inlineStr">
        <is>
          <t>KARLSBORG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64012-2025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46021</v>
      </c>
      <c r="E93" s="1" t="n">
        <v>46294</v>
      </c>
      <c r="F93" t="inlineStr">
        <is>
          <t>VÄSTRA GÖTALANDS LÄN</t>
        </is>
      </c>
      <c r="G93" t="inlineStr">
        <is>
          <t>KARLSBORG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45742</v>
      </c>
      <c r="E94" s="1" t="n">
        <v>46294</v>
      </c>
      <c r="F94" t="inlineStr">
        <is>
          <t>VÄSTRA GÖTALANDS LÄN</t>
        </is>
      </c>
      <c r="G94" t="inlineStr">
        <is>
          <t>KARLSBORG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64025-2025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46021</v>
      </c>
      <c r="E95" s="1" t="n">
        <v>46294</v>
      </c>
      <c r="F95" t="inlineStr">
        <is>
          <t>VÄSTRA GÖTALANDS LÄN</t>
        </is>
      </c>
      <c r="G95" t="inlineStr">
        <is>
          <t>KARLSBORG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70783-2021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46294</v>
      </c>
      <c r="F96" t="inlineStr">
        <is>
          <t>VÄSTRA GÖTALANDS LÄN</t>
        </is>
      </c>
      <c r="G96" t="inlineStr">
        <is>
          <t>KARLSBORG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46294</v>
      </c>
      <c r="F97" t="inlineStr">
        <is>
          <t>VÄSTRA GÖTALANDS LÄN</t>
        </is>
      </c>
      <c r="G97" t="inlineStr">
        <is>
          <t>KARLSBORG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45575</v>
      </c>
      <c r="E98" s="1" t="n">
        <v>46294</v>
      </c>
      <c r="F98" t="inlineStr">
        <is>
          <t>VÄSTRA GÖTALANDS LÄN</t>
        </is>
      </c>
      <c r="G98" t="inlineStr">
        <is>
          <t>KARLSBORG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46294</v>
      </c>
      <c r="F99" t="inlineStr">
        <is>
          <t>VÄSTRA GÖTALANDS LÄN</t>
        </is>
      </c>
      <c r="G99" t="inlineStr">
        <is>
          <t>KARLSBORG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44895</v>
      </c>
      <c r="E100" s="1" t="n">
        <v>46294</v>
      </c>
      <c r="F100" t="inlineStr">
        <is>
          <t>VÄSTRA GÖTALANDS LÄN</t>
        </is>
      </c>
      <c r="G100" t="inlineStr">
        <is>
          <t>KARLSBORG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35930-2025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45862</v>
      </c>
      <c r="E101" s="1" t="n">
        <v>46294</v>
      </c>
      <c r="F101" t="inlineStr">
        <is>
          <t>VÄSTRA GÖTALANDS LÄN</t>
        </is>
      </c>
      <c r="G101" t="inlineStr">
        <is>
          <t>KARLSBORG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8052-2023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46294</v>
      </c>
      <c r="F102" t="inlineStr">
        <is>
          <t>VÄSTRA GÖTALANDS LÄN</t>
        </is>
      </c>
      <c r="G102" t="inlineStr">
        <is>
          <t>KARLSBORG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46294</v>
      </c>
      <c r="F103" t="inlineStr">
        <is>
          <t>VÄSTRA GÖTALANDS LÄN</t>
        </is>
      </c>
      <c r="G103" t="inlineStr">
        <is>
          <t>KARLSBORG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44944</v>
      </c>
      <c r="E104" s="1" t="n">
        <v>46294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Övriga Aktiebolag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46294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45589</v>
      </c>
      <c r="E106" s="1" t="n">
        <v>46294</v>
      </c>
      <c r="F106" t="inlineStr">
        <is>
          <t>VÄSTRA GÖTALANDS LÄN</t>
        </is>
      </c>
      <c r="G106" t="inlineStr">
        <is>
          <t>KARLSBORG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45394</v>
      </c>
      <c r="E107" s="1" t="n">
        <v>46294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44906</v>
      </c>
      <c r="E108" s="1" t="n">
        <v>46294</v>
      </c>
      <c r="F108" t="inlineStr">
        <is>
          <t>VÄSTRA GÖTALANDS LÄN</t>
        </is>
      </c>
      <c r="G108" t="inlineStr">
        <is>
          <t>KARLSBORG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45883</v>
      </c>
      <c r="E109" s="1" t="n">
        <v>46294</v>
      </c>
      <c r="F109" t="inlineStr">
        <is>
          <t>VÄSTRA GÖTALANDS LÄN</t>
        </is>
      </c>
      <c r="G109" t="inlineStr">
        <is>
          <t>KARLSBORG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46294</v>
      </c>
      <c r="F110" t="inlineStr">
        <is>
          <t>VÄSTRA GÖTALANDS LÄN</t>
        </is>
      </c>
      <c r="G110" t="inlineStr">
        <is>
          <t>KARLSBORG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46294</v>
      </c>
      <c r="F111" t="inlineStr">
        <is>
          <t>VÄSTRA GÖTALANDS LÄN</t>
        </is>
      </c>
      <c r="G111" t="inlineStr">
        <is>
          <t>KARLSBORG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46294</v>
      </c>
      <c r="F112" t="inlineStr">
        <is>
          <t>VÄSTRA GÖTALANDS LÄN</t>
        </is>
      </c>
      <c r="G112" t="inlineStr">
        <is>
          <t>KARLSBORG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46294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Övriga Aktiebolag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46294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14.3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46294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46294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46294</v>
      </c>
      <c r="F117" t="inlineStr">
        <is>
          <t>VÄSTRA GÖTALANDS LÄN</t>
        </is>
      </c>
      <c r="G117" t="inlineStr">
        <is>
          <t>KARLSBORG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46294</v>
      </c>
      <c r="F118" t="inlineStr">
        <is>
          <t>VÄSTRA GÖTALANDS LÄN</t>
        </is>
      </c>
      <c r="G118" t="inlineStr">
        <is>
          <t>KARLSBORG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45566</v>
      </c>
      <c r="E119" s="1" t="n">
        <v>46294</v>
      </c>
      <c r="F119" t="inlineStr">
        <is>
          <t>VÄSTRA GÖTALANDS LÄN</t>
        </is>
      </c>
      <c r="G119" t="inlineStr">
        <is>
          <t>KARLSBORG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46294</v>
      </c>
      <c r="F120" t="inlineStr">
        <is>
          <t>VÄSTRA GÖTALANDS LÄN</t>
        </is>
      </c>
      <c r="G120" t="inlineStr">
        <is>
          <t>KARLSBORG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46294</v>
      </c>
      <c r="F121" t="inlineStr">
        <is>
          <t>VÄSTRA GÖTALANDS LÄN</t>
        </is>
      </c>
      <c r="G121" t="inlineStr">
        <is>
          <t>KARLSBORG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46294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46294</v>
      </c>
      <c r="F123" t="inlineStr">
        <is>
          <t>VÄSTRA GÖTALANDS LÄN</t>
        </is>
      </c>
      <c r="G123" t="inlineStr">
        <is>
          <t>KARLSBORG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46052</v>
      </c>
      <c r="E124" s="1" t="n">
        <v>46294</v>
      </c>
      <c r="F124" t="inlineStr">
        <is>
          <t>VÄSTRA GÖTALANDS LÄN</t>
        </is>
      </c>
      <c r="G124" t="inlineStr">
        <is>
          <t>KARLSBORG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46055</v>
      </c>
      <c r="E125" s="1" t="n">
        <v>46294</v>
      </c>
      <c r="F125" t="inlineStr">
        <is>
          <t>VÄSTRA GÖTALANDS LÄN</t>
        </is>
      </c>
      <c r="G125" t="inlineStr">
        <is>
          <t>KARLSBORG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46294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45369</v>
      </c>
      <c r="E127" s="1" t="n">
        <v>46294</v>
      </c>
      <c r="F127" t="inlineStr">
        <is>
          <t>VÄSTRA GÖTALANDS LÄN</t>
        </is>
      </c>
      <c r="G127" t="inlineStr">
        <is>
          <t>KARLSBORG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46294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statliga verk och myndigheter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46010</v>
      </c>
      <c r="E129" s="1" t="n">
        <v>46294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statliga verk och myndigheter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46294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statliga verk och myndigheter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46294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statliga verk och myndigheter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7644-2026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46062</v>
      </c>
      <c r="E132" s="1" t="n">
        <v>46294</v>
      </c>
      <c r="F132" t="inlineStr">
        <is>
          <t>VÄSTRA GÖTALANDS LÄN</t>
        </is>
      </c>
      <c r="G132" t="inlineStr">
        <is>
          <t>KARLSBORG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46069</v>
      </c>
      <c r="E133" s="1" t="n">
        <v>46294</v>
      </c>
      <c r="F133" t="inlineStr">
        <is>
          <t>VÄSTRA GÖTALANDS LÄN</t>
        </is>
      </c>
      <c r="G133" t="inlineStr">
        <is>
          <t>KARLSBORG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46294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34670-2022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44795</v>
      </c>
      <c r="E135" s="1" t="n">
        <v>46294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46294</v>
      </c>
      <c r="F136" t="inlineStr">
        <is>
          <t>VÄSTRA GÖTALANDS LÄN</t>
        </is>
      </c>
      <c r="G136" t="inlineStr">
        <is>
          <t>KARLSBORG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46294</v>
      </c>
      <c r="F137" t="inlineStr">
        <is>
          <t>VÄSTRA GÖTALANDS LÄN</t>
        </is>
      </c>
      <c r="G137" t="inlineStr">
        <is>
          <t>KARLSBORG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10907-2026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46079</v>
      </c>
      <c r="E138" s="1" t="n">
        <v>46294</v>
      </c>
      <c r="F138" t="inlineStr">
        <is>
          <t>VÄSTRA GÖTALANDS LÄN</t>
        </is>
      </c>
      <c r="G138" t="inlineStr">
        <is>
          <t>KARLSBORG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44727</v>
      </c>
      <c r="E139" s="1" t="n">
        <v>46294</v>
      </c>
      <c r="F139" t="inlineStr">
        <is>
          <t>VÄSTRA GÖTALANDS LÄN</t>
        </is>
      </c>
      <c r="G139" t="inlineStr">
        <is>
          <t>KARLSBORG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45233</v>
      </c>
      <c r="E140" s="1" t="n">
        <v>46294</v>
      </c>
      <c r="F140" t="inlineStr">
        <is>
          <t>VÄSTRA GÖTALANDS LÄN</t>
        </is>
      </c>
      <c r="G140" t="inlineStr">
        <is>
          <t>KARLSBORG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45489</v>
      </c>
      <c r="E141" s="1" t="n">
        <v>46294</v>
      </c>
      <c r="F141" t="inlineStr">
        <is>
          <t>VÄSTRA GÖTALANDS LÄN</t>
        </is>
      </c>
      <c r="G141" t="inlineStr">
        <is>
          <t>KARLSBORG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46294</v>
      </c>
      <c r="F142" t="inlineStr">
        <is>
          <t>VÄSTRA GÖTALANDS LÄN</t>
        </is>
      </c>
      <c r="G142" t="inlineStr">
        <is>
          <t>KARLSBORG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65313-2021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44515</v>
      </c>
      <c r="E143" s="1" t="n">
        <v>46294</v>
      </c>
      <c r="F143" t="inlineStr">
        <is>
          <t>VÄSTRA GÖTALANDS LÄN</t>
        </is>
      </c>
      <c r="G143" t="inlineStr">
        <is>
          <t>KARLSBORG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46294</v>
      </c>
      <c r="F144" t="inlineStr">
        <is>
          <t>VÄSTRA GÖTALANDS LÄN</t>
        </is>
      </c>
      <c r="G144" t="inlineStr">
        <is>
          <t>KARLSBORG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45218</v>
      </c>
      <c r="E145" s="1" t="n">
        <v>46294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46294</v>
      </c>
      <c r="F146" t="inlineStr">
        <is>
          <t>VÄSTRA GÖTALANDS LÄN</t>
        </is>
      </c>
      <c r="G146" t="inlineStr">
        <is>
          <t>KARLSBORG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57915-2024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45631</v>
      </c>
      <c r="E147" s="1" t="n">
        <v>46294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45561</v>
      </c>
      <c r="E148" s="1" t="n">
        <v>46294</v>
      </c>
      <c r="F148" t="inlineStr">
        <is>
          <t>VÄSTRA GÖTALANDS LÄN</t>
        </is>
      </c>
      <c r="G148" t="inlineStr">
        <is>
          <t>KARLSBORG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18564-2026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46294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45386</v>
      </c>
      <c r="E150" s="1" t="n">
        <v>46294</v>
      </c>
      <c r="F150" t="inlineStr">
        <is>
          <t>VÄSTRA GÖTALANDS LÄN</t>
        </is>
      </c>
      <c r="G150" t="inlineStr">
        <is>
          <t>KARLSBORG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46294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44906</v>
      </c>
      <c r="E152" s="1" t="n">
        <v>46294</v>
      </c>
      <c r="F152" t="inlineStr">
        <is>
          <t>VÄSTRA GÖTALANDS LÄN</t>
        </is>
      </c>
      <c r="G152" t="inlineStr">
        <is>
          <t>KARLSBORG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48888-2023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45209</v>
      </c>
      <c r="E153" s="1" t="n">
        <v>46294</v>
      </c>
      <c r="F153" t="inlineStr">
        <is>
          <t>VÄSTRA GÖTALANDS LÄN</t>
        </is>
      </c>
      <c r="G153" t="inlineStr">
        <is>
          <t>KARLSBORG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45755</v>
      </c>
      <c r="E154" s="1" t="n">
        <v>46294</v>
      </c>
      <c r="F154" t="inlineStr">
        <is>
          <t>VÄSTRA GÖTALANDS LÄN</t>
        </is>
      </c>
      <c r="G154" t="inlineStr">
        <is>
          <t>KARLSBORG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45933</v>
      </c>
      <c r="E155" s="1" t="n">
        <v>46294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44785</v>
      </c>
      <c r="E156" s="1" t="n">
        <v>46294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45589</v>
      </c>
      <c r="E157" s="1" t="n">
        <v>46294</v>
      </c>
      <c r="F157" t="inlineStr">
        <is>
          <t>VÄSTRA GÖTALANDS LÄN</t>
        </is>
      </c>
      <c r="G157" t="inlineStr">
        <is>
          <t>KARLSBORG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35441-2024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45531</v>
      </c>
      <c r="E158" s="1" t="n">
        <v>46294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44972</v>
      </c>
      <c r="E159" s="1" t="n">
        <v>46294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23500-2023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45076</v>
      </c>
      <c r="E160" s="1" t="n">
        <v>46294</v>
      </c>
      <c r="F160" t="inlineStr">
        <is>
          <t>VÄSTRA GÖTALANDS LÄN</t>
        </is>
      </c>
      <c r="G160" t="inlineStr">
        <is>
          <t>KARLSBORG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46294</v>
      </c>
      <c r="F161" t="inlineStr">
        <is>
          <t>VÄSTRA GÖTALANDS LÄN</t>
        </is>
      </c>
      <c r="G161" t="inlineStr">
        <is>
          <t>KARLSBORG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46143</v>
      </c>
      <c r="E162" s="1" t="n">
        <v>46294</v>
      </c>
      <c r="F162" t="inlineStr">
        <is>
          <t>VÄSTRA GÖTALANDS LÄN</t>
        </is>
      </c>
      <c r="G162" t="inlineStr">
        <is>
          <t>KARLSBORG</t>
        </is>
      </c>
      <c r="I162" t="n">
        <v>14.6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20940-2026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46142</v>
      </c>
      <c r="E163" s="1" t="n">
        <v>46294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58533-2023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45251</v>
      </c>
      <c r="E164" s="1" t="n">
        <v>46294</v>
      </c>
      <c r="F164" t="inlineStr">
        <is>
          <t>VÄSTRA GÖTALANDS LÄN</t>
        </is>
      </c>
      <c r="G164" t="inlineStr">
        <is>
          <t>KARLSBORG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58152-2022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46294</v>
      </c>
      <c r="F165" t="inlineStr">
        <is>
          <t>VÄSTRA GÖTALANDS LÄN</t>
        </is>
      </c>
      <c r="G165" t="inlineStr">
        <is>
          <t>KARLSBORG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44809</v>
      </c>
      <c r="E166" s="1" t="n">
        <v>46294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29357-2024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45483</v>
      </c>
      <c r="E167" s="1" t="n">
        <v>46294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46294</v>
      </c>
      <c r="F168" t="inlineStr">
        <is>
          <t>VÄSTRA GÖTALANDS LÄN</t>
        </is>
      </c>
      <c r="G168" t="inlineStr">
        <is>
          <t>KARLSBORG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10007-2025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46294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45890</v>
      </c>
      <c r="E170" s="1" t="n">
        <v>46294</v>
      </c>
      <c r="F170" t="inlineStr">
        <is>
          <t>VÄSTRA GÖTALANDS LÄN</t>
        </is>
      </c>
      <c r="G170" t="inlineStr">
        <is>
          <t>KARLSBORG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46294</v>
      </c>
      <c r="F171" t="inlineStr">
        <is>
          <t>VÄSTRA GÖTALANDS LÄN</t>
        </is>
      </c>
      <c r="G171" t="inlineStr">
        <is>
          <t>KARLSBORG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44929</v>
      </c>
      <c r="E172" s="1" t="n">
        <v>46294</v>
      </c>
      <c r="F172" t="inlineStr">
        <is>
          <t>VÄSTRA GÖTALANDS LÄN</t>
        </is>
      </c>
      <c r="G172" t="inlineStr">
        <is>
          <t>KARLSBORG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  <c r="X172">
        <f>HYPERLINK("https://klasma.github.io/Logging_1446/kartor/A 412-2023 karta.png", "A 412-2023")</f>
        <v/>
      </c>
      <c r="Y172">
        <f>HYPERLINK("https://klasma.github.io/Logging_1446/kartor_geotiff/A 412-2023 georefererad karta.tif", "A 412-2023")</f>
        <v/>
      </c>
      <c r="AA172">
        <f>HYPERLINK("https://klasma.github.io/Logging_1446/klagomål/A 412-2023 FSC-klagomål.docx", "A 412-2023")</f>
        <v/>
      </c>
      <c r="AB172">
        <f>HYPERLINK("https://klasma.github.io/Logging_1446/klagomålsmail/A 412-2023 FSC-klagomål mail.docx", "A 412-2023")</f>
        <v/>
      </c>
      <c r="AC172">
        <f>HYPERLINK("https://klasma.github.io/Logging_1446/tillsyn/A 412-2023 tillsynsbegäran.docx", "A 412-2023")</f>
        <v/>
      </c>
      <c r="AD172">
        <f>HYPERLINK("https://klasma.github.io/Logging_1446/tillsynsmail/A 412-2023 tillsynsbegäran mail.docx", "A 412-2023")</f>
        <v/>
      </c>
    </row>
    <row r="173" ht="15" customHeight="1">
      <c r="A173" t="inlineStr">
        <is>
          <t>A 29685-2022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46294</v>
      </c>
      <c r="F173" t="inlineStr">
        <is>
          <t>VÄSTRA GÖTALANDS LÄN</t>
        </is>
      </c>
      <c r="G173" t="inlineStr">
        <is>
          <t>KARLSBORG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45243</v>
      </c>
      <c r="E174" s="1" t="n">
        <v>46294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44908</v>
      </c>
      <c r="E175" s="1" t="n">
        <v>46294</v>
      </c>
      <c r="F175" t="inlineStr">
        <is>
          <t>VÄSTRA GÖTALANDS LÄN</t>
        </is>
      </c>
      <c r="G175" t="inlineStr">
        <is>
          <t>KARLSBORG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46294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57913-2024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45631</v>
      </c>
      <c r="E177" s="1" t="n">
        <v>46294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45707</v>
      </c>
      <c r="E178" s="1" t="n">
        <v>46294</v>
      </c>
      <c r="F178" t="inlineStr">
        <is>
          <t>VÄSTRA GÖTALANDS LÄN</t>
        </is>
      </c>
      <c r="G178" t="inlineStr">
        <is>
          <t>KARLSBORG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46294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Aktiebolag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25977-2026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46294</v>
      </c>
      <c r="F180" t="inlineStr">
        <is>
          <t>VÄSTRA GÖTALANDS LÄN</t>
        </is>
      </c>
      <c r="G180" t="inlineStr">
        <is>
          <t>KARLSBORG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58129-2024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45632</v>
      </c>
      <c r="E181" s="1" t="n">
        <v>46294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46294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12.6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46294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46294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46294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46294</v>
      </c>
      <c r="F186" t="inlineStr">
        <is>
          <t>VÄSTRA GÖTALANDS LÄN</t>
        </is>
      </c>
      <c r="G186" t="inlineStr">
        <is>
          <t>KARLSBORG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46294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statliga verk och myndigheter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59404-2022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44906</v>
      </c>
      <c r="E188" s="1" t="n">
        <v>46294</v>
      </c>
      <c r="F188" t="inlineStr">
        <is>
          <t>VÄSTRA GÖTALANDS LÄN</t>
        </is>
      </c>
      <c r="G188" t="inlineStr">
        <is>
          <t>KARLSBORG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46294</v>
      </c>
      <c r="F189" t="inlineStr">
        <is>
          <t>VÄSTRA GÖTALANDS LÄN</t>
        </is>
      </c>
      <c r="G189" t="inlineStr">
        <is>
          <t>KARLSBORG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69341-2021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46294</v>
      </c>
      <c r="F190" t="inlineStr">
        <is>
          <t>VÄSTRA GÖTALANDS LÄN</t>
        </is>
      </c>
      <c r="G190" t="inlineStr">
        <is>
          <t>KARLSBORG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46160</v>
      </c>
      <c r="E191" s="1" t="n">
        <v>46294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46294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46210</v>
      </c>
      <c r="E193" s="1" t="n">
        <v>46294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46294</v>
      </c>
      <c r="F194" t="inlineStr">
        <is>
          <t>VÄSTRA GÖTALANDS LÄN</t>
        </is>
      </c>
      <c r="G194" t="inlineStr">
        <is>
          <t>KARLSBORG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46294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Aktiebolag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15396-2024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45401</v>
      </c>
      <c r="E196" s="1" t="n">
        <v>46294</v>
      </c>
      <c r="F196" t="inlineStr">
        <is>
          <t>VÄSTRA GÖTALANDS LÄN</t>
        </is>
      </c>
      <c r="G196" t="inlineStr">
        <is>
          <t>KARLSBORG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59877-2021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46294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Övriga statliga verk och myndigheter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35151-2026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46260</v>
      </c>
      <c r="E198" s="1" t="n">
        <v>46294</v>
      </c>
      <c r="F198" t="inlineStr">
        <is>
          <t>VÄSTRA GÖTALANDS LÄN</t>
        </is>
      </c>
      <c r="G198" t="inlineStr">
        <is>
          <t>KARLSBORG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46294</v>
      </c>
      <c r="F199" t="inlineStr">
        <is>
          <t>VÄSTRA GÖTALANDS LÄN</t>
        </is>
      </c>
      <c r="G199" t="inlineStr">
        <is>
          <t>KARLSBORG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53898-2023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45231</v>
      </c>
      <c r="E200" s="1" t="n">
        <v>46294</v>
      </c>
      <c r="F200" t="inlineStr">
        <is>
          <t>VÄSTRA GÖTALANDS LÄN</t>
        </is>
      </c>
      <c r="G200" t="inlineStr">
        <is>
          <t>KARLSBORG</t>
        </is>
      </c>
      <c r="I200" t="n">
        <v>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46294</v>
      </c>
      <c r="F201" t="inlineStr">
        <is>
          <t>VÄSTRA GÖTALANDS LÄN</t>
        </is>
      </c>
      <c r="G201" t="inlineStr">
        <is>
          <t>KARLSBORG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46294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46294</v>
      </c>
      <c r="F203" t="inlineStr">
        <is>
          <t>VÄSTRA GÖTALANDS LÄN</t>
        </is>
      </c>
      <c r="G203" t="inlineStr">
        <is>
          <t>KARLSBORG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46294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46294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46294</v>
      </c>
      <c r="F206" t="inlineStr">
        <is>
          <t>VÄSTRA GÖTALANDS LÄN</t>
        </is>
      </c>
      <c r="G206" t="inlineStr">
        <is>
          <t>KARLSBORG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46230</v>
      </c>
      <c r="E207" s="1" t="n">
        <v>46294</v>
      </c>
      <c r="F207" t="inlineStr">
        <is>
          <t>VÄSTRA GÖTALANDS LÄN</t>
        </is>
      </c>
      <c r="G207" t="inlineStr">
        <is>
          <t>KARLSBORG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44939</v>
      </c>
      <c r="E208" s="1" t="n">
        <v>46294</v>
      </c>
      <c r="F208" t="inlineStr">
        <is>
          <t>VÄSTRA GÖTALANDS LÄN</t>
        </is>
      </c>
      <c r="G208" t="inlineStr">
        <is>
          <t>KARLSBORG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46191</v>
      </c>
      <c r="E209" s="1" t="n">
        <v>46294</v>
      </c>
      <c r="F209" t="inlineStr">
        <is>
          <t>VÄSTRA GÖTALANDS LÄN</t>
        </is>
      </c>
      <c r="G209" t="inlineStr">
        <is>
          <t>KARLSBORG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45565</v>
      </c>
      <c r="E210" s="1" t="n">
        <v>46294</v>
      </c>
      <c r="F210" t="inlineStr">
        <is>
          <t>VÄSTRA GÖTALANDS LÄN</t>
        </is>
      </c>
      <c r="G210" t="inlineStr">
        <is>
          <t>KARLSBORG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46294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46276</v>
      </c>
      <c r="E212" s="1" t="n">
        <v>46294</v>
      </c>
      <c r="F212" t="inlineStr">
        <is>
          <t>VÄSTRA GÖTALANDS LÄN</t>
        </is>
      </c>
      <c r="G212" t="inlineStr">
        <is>
          <t>KARLSBORG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46294</v>
      </c>
      <c r="F213" t="inlineStr">
        <is>
          <t>VÄSTRA GÖTALANDS LÄN</t>
        </is>
      </c>
      <c r="G213" t="inlineStr">
        <is>
          <t>KARLSBORG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46294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46294</v>
      </c>
      <c r="F215" t="inlineStr">
        <is>
          <t>VÄSTRA GÖTALANDS LÄN</t>
        </is>
      </c>
      <c r="G215" t="inlineStr">
        <is>
          <t>KARLSBORG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53898-2021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46294</v>
      </c>
      <c r="F216" t="inlineStr">
        <is>
          <t>VÄSTRA GÖTALANDS LÄN</t>
        </is>
      </c>
      <c r="G216" t="inlineStr">
        <is>
          <t>KARLSBORG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46294</v>
      </c>
      <c r="F217" t="inlineStr">
        <is>
          <t>VÄSTRA GÖTALANDS LÄN</t>
        </is>
      </c>
      <c r="G217" t="inlineStr">
        <is>
          <t>KARLSBORG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46294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46294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46288</v>
      </c>
      <c r="E220" s="1" t="n">
        <v>46294</v>
      </c>
      <c r="F220" t="inlineStr">
        <is>
          <t>VÄSTRA GÖTALANDS LÄN</t>
        </is>
      </c>
      <c r="G220" t="inlineStr">
        <is>
          <t>KARLSBORG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46171</v>
      </c>
      <c r="E221" s="1" t="n">
        <v>46294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46294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46294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2026-09-29T02:01:46Z</dcterms:created>
  <dcterms:modified xmlns:dcterms="http://purl.org/dc/terms/" xmlns:xsi="http://www.w3.org/2001/XMLSchema-instance" xsi:type="dcterms:W3CDTF">2026-09-29T02:01:46Z</dcterms:modified>
</cp:coreProperties>
</file>