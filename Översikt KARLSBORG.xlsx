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46250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46250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46250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46250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46250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46250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46250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46250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46250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46250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46250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46250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45771</v>
      </c>
      <c r="E14" s="1" t="n">
        <v>46250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HYPERLINK("https://klasma.github.io/Logging_1446/artfynd/A 19851-2025 artfynd.xlsx", "A 19851-2025")</f>
        <v/>
      </c>
      <c r="X14">
        <f>HYPERLINK("https://klasma.github.io/Logging_1446/kartor/A 19851-2025 karta.png", "A 19851-2025")</f>
        <v/>
      </c>
      <c r="Y14">
        <f>HYPERLINK("https://klasma.github.io/Logging_1446/kartor_geotiff/A 19851-2025 georefererad karta.tif", "A 19851-2025")</f>
        <v/>
      </c>
      <c r="Z14">
        <f>HYPERLINK("https://klasma.github.io/Logging_1446/knärot/A 19851-2025 karta knärot.png", "A 19851-2025")</f>
        <v/>
      </c>
      <c r="AA14">
        <f>HYPERLINK("https://klasma.github.io/Logging_1446/klagomål/A 19851-2025 FSC-klagomål.docx", "A 19851-2025")</f>
        <v/>
      </c>
      <c r="AB14">
        <f>HYPERLINK("https://klasma.github.io/Logging_1446/klagomålsmail/A 19851-2025 FSC-klagomål mail.docx", "A 19851-2025")</f>
        <v/>
      </c>
      <c r="AC14">
        <f>HYPERLINK("https://klasma.github.io/Logging_1446/tillsyn/A 19851-2025 tillsynsbegäran.docx", "A 19851-2025")</f>
        <v/>
      </c>
      <c r="AD14">
        <f>HYPERLINK("https://klasma.github.io/Logging_1446/tillsynsmail/A 19851-2025 tillsynsbegäran mail.docx", "A 19851-2025")</f>
        <v/>
      </c>
    </row>
    <row r="15" ht="15" customHeight="1">
      <c r="A15" t="inlineStr">
        <is>
          <t>A 52381-2024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45609</v>
      </c>
      <c r="E15" s="1" t="n">
        <v>46250</v>
      </c>
      <c r="F15" t="inlineStr">
        <is>
          <t>VÄSTRA GÖTALANDS LÄN</t>
        </is>
      </c>
      <c r="G15" t="inlineStr">
        <is>
          <t>KARLSBORG</t>
        </is>
      </c>
      <c r="I15" t="n">
        <v>1.4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Knärot
Spillkråka</t>
        </is>
      </c>
      <c r="W15">
        <f>HYPERLINK("https://klasma.github.io/Logging_1446/artfynd/A 52381-2024 artfynd.xlsx", "A 52381-2024")</f>
        <v/>
      </c>
      <c r="X15">
        <f>HYPERLINK("https://klasma.github.io/Logging_1446/kartor/A 52381-2024 karta.png", "A 52381-2024")</f>
        <v/>
      </c>
      <c r="Y15">
        <f>HYPERLINK("https://klasma.github.io/Logging_1446/kartor_geotiff/A 52381-2024 georefererad karta.tif", "A 52381-2024")</f>
        <v/>
      </c>
      <c r="Z15">
        <f>HYPERLINK("https://klasma.github.io/Logging_1446/knärot/A 52381-2024 karta knärot.png", "A 52381-2024")</f>
        <v/>
      </c>
      <c r="AA15">
        <f>HYPERLINK("https://klasma.github.io/Logging_1446/klagomål/A 52381-2024 FSC-klagomål.docx", "A 52381-2024")</f>
        <v/>
      </c>
      <c r="AB15">
        <f>HYPERLINK("https://klasma.github.io/Logging_1446/klagomålsmail/A 52381-2024 FSC-klagomål mail.docx", "A 52381-2024")</f>
        <v/>
      </c>
      <c r="AC15">
        <f>HYPERLINK("https://klasma.github.io/Logging_1446/tillsyn/A 52381-2024 tillsynsbegäran.docx", "A 52381-2024")</f>
        <v/>
      </c>
      <c r="AD15">
        <f>HYPERLINK("https://klasma.github.io/Logging_1446/tillsynsmail/A 52381-2024 tillsynsbegäran mail.docx", "A 52381-2024")</f>
        <v/>
      </c>
      <c r="AE15">
        <f>HYPERLINK("https://klasma.github.io/Logging_1446/fåglar/A 52381-2024 prioriterade fågelarter.docx", "A 52381-2024")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46250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51531-2023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45222</v>
      </c>
      <c r="E17" s="1" t="n">
        <v>46250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Kommuner</t>
        </is>
      </c>
      <c r="I17" t="n">
        <v>11.2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Revlummer</t>
        </is>
      </c>
      <c r="W17">
        <f>HYPERLINK("https://klasma.github.io/Logging_1446/artfynd/A 51531-2023 artfynd.xlsx", "A 51531-2023")</f>
        <v/>
      </c>
      <c r="X17">
        <f>HYPERLINK("https://klasma.github.io/Logging_1446/kartor/A 51531-2023 karta.png", "A 51531-2023")</f>
        <v/>
      </c>
      <c r="Y17">
        <f>HYPERLINK("https://klasma.github.io/Logging_1446/kartor_geotiff/A 51531-2023 georefererad karta.tif", "A 51531-2023")</f>
        <v/>
      </c>
      <c r="AA17">
        <f>HYPERLINK("https://klasma.github.io/Logging_1446/klagomål/A 51531-2023 FSC-klagomål.docx", "A 51531-2023")</f>
        <v/>
      </c>
      <c r="AB17">
        <f>HYPERLINK("https://klasma.github.io/Logging_1446/klagomålsmail/A 51531-2023 FSC-klagomål mail.docx", "A 51531-2023")</f>
        <v/>
      </c>
      <c r="AC17">
        <f>HYPERLINK("https://klasma.github.io/Logging_1446/tillsyn/A 51531-2023 tillsynsbegäran.docx", "A 51531-2023")</f>
        <v/>
      </c>
      <c r="AD17">
        <f>HYPERLINK("https://klasma.github.io/Logging_1446/tillsynsmail/A 51531-2023 tillsynsbegäran mail.docx", "A 51531-2023")</f>
        <v/>
      </c>
    </row>
    <row r="18" ht="15" customHeight="1">
      <c r="A18" t="inlineStr">
        <is>
          <t>A 38103-2023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45161</v>
      </c>
      <c r="E18" s="1" t="n">
        <v>46250</v>
      </c>
      <c r="F18" t="inlineStr">
        <is>
          <t>VÄSTRA GÖTALANDS LÄN</t>
        </is>
      </c>
      <c r="G18" t="inlineStr">
        <is>
          <t>KARLSBORG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Lopplummer (aggregat)</t>
        </is>
      </c>
      <c r="W18">
        <f>HYPERLINK("https://klasma.github.io/Logging_1446/artfynd/A 38103-2023 artfynd.xlsx", "A 38103-2023")</f>
        <v/>
      </c>
      <c r="X18">
        <f>HYPERLINK("https://klasma.github.io/Logging_1446/kartor/A 38103-2023 karta.png", "A 38103-2023")</f>
        <v/>
      </c>
      <c r="Y18">
        <f>HYPERLINK("https://klasma.github.io/Logging_1446/kartor_geotiff/A 38103-2023 georefererad karta.tif", "A 38103-2023")</f>
        <v/>
      </c>
      <c r="AA18">
        <f>HYPERLINK("https://klasma.github.io/Logging_1446/klagomål/A 38103-2023 FSC-klagomål.docx", "A 38103-2023")</f>
        <v/>
      </c>
      <c r="AB18">
        <f>HYPERLINK("https://klasma.github.io/Logging_1446/klagomålsmail/A 38103-2023 FSC-klagomål mail.docx", "A 38103-2023")</f>
        <v/>
      </c>
      <c r="AC18">
        <f>HYPERLINK("https://klasma.github.io/Logging_1446/tillsyn/A 38103-2023 tillsynsbegäran.docx", "A 38103-2023")</f>
        <v/>
      </c>
      <c r="AD18">
        <f>HYPERLINK("https://klasma.github.io/Logging_1446/tillsynsmail/A 38103-2023 tillsynsbegäran mail.docx", "A 38103-2023")</f>
        <v/>
      </c>
    </row>
    <row r="19" ht="15" customHeight="1">
      <c r="A19" t="inlineStr">
        <is>
          <t>A 53909-2023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45231</v>
      </c>
      <c r="E19" s="1" t="n">
        <v>46250</v>
      </c>
      <c r="F19" t="inlineStr">
        <is>
          <t>VÄSTRA GÖTALANDS LÄN</t>
        </is>
      </c>
      <c r="G19" t="inlineStr">
        <is>
          <t>KARLSBORG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Grönvit nattviol</t>
        </is>
      </c>
      <c r="W19">
        <f>HYPERLINK("https://klasma.github.io/Logging_1446/artfynd/A 53909-2023 artfynd.xlsx", "A 53909-2023")</f>
        <v/>
      </c>
      <c r="X19">
        <f>HYPERLINK("https://klasma.github.io/Logging_1446/kartor/A 53909-2023 karta.png", "A 53909-2023")</f>
        <v/>
      </c>
      <c r="Y19">
        <f>HYPERLINK("https://klasma.github.io/Logging_1446/kartor_geotiff/A 53909-2023 georefererad karta.tif", "A 53909-2023")</f>
        <v/>
      </c>
      <c r="AA19">
        <f>HYPERLINK("https://klasma.github.io/Logging_1446/klagomål/A 53909-2023 FSC-klagomål.docx", "A 53909-2023")</f>
        <v/>
      </c>
      <c r="AB19">
        <f>HYPERLINK("https://klasma.github.io/Logging_1446/klagomålsmail/A 53909-2023 FSC-klagomål mail.docx", "A 53909-2023")</f>
        <v/>
      </c>
      <c r="AC19">
        <f>HYPERLINK("https://klasma.github.io/Logging_1446/tillsyn/A 53909-2023 tillsynsbegäran.docx", "A 53909-2023")</f>
        <v/>
      </c>
      <c r="AD19">
        <f>HYPERLINK("https://klasma.github.io/Logging_1446/tillsynsmail/A 53909-2023 tillsynsbegäran mail.docx", "A 53909-2023")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46250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18567-2026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46250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2.6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18567-2026 artfynd.xlsx", "A 18567-2026")</f>
        <v/>
      </c>
      <c r="X21">
        <f>HYPERLINK("https://klasma.github.io/Logging_1446/kartor/A 18567-2026 karta.png", "A 18567-2026")</f>
        <v/>
      </c>
      <c r="Y21">
        <f>HYPERLINK("https://klasma.github.io/Logging_1446/kartor_geotiff/A 18567-2026 georefererad karta.tif", "A 18567-2026")</f>
        <v/>
      </c>
      <c r="AA21">
        <f>HYPERLINK("https://klasma.github.io/Logging_1446/klagomål/A 18567-2026 FSC-klagomål.docx", "A 18567-2026")</f>
        <v/>
      </c>
      <c r="AB21">
        <f>HYPERLINK("https://klasma.github.io/Logging_1446/klagomålsmail/A 18567-2026 FSC-klagomål mail.docx", "A 18567-2026")</f>
        <v/>
      </c>
      <c r="AC21">
        <f>HYPERLINK("https://klasma.github.io/Logging_1446/tillsyn/A 18567-2026 tillsynsbegäran.docx", "A 18567-2026")</f>
        <v/>
      </c>
      <c r="AD21">
        <f>HYPERLINK("https://klasma.github.io/Logging_1446/tillsynsmail/A 18567-2026 tillsynsbegäran mail.docx", "A 18567-2026")</f>
        <v/>
      </c>
    </row>
    <row r="22" ht="15" customHeight="1">
      <c r="A22" t="inlineStr">
        <is>
          <t>A 29484-2025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46250</v>
      </c>
      <c r="F22" t="inlineStr">
        <is>
          <t>VÄSTRA GÖTALANDS LÄN</t>
        </is>
      </c>
      <c r="G22" t="inlineStr">
        <is>
          <t>KARLSBORG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Blåsippa</t>
        </is>
      </c>
      <c r="W22">
        <f>HYPERLINK("https://klasma.github.io/Logging_1446/artfynd/A 29484-2025 artfynd.xlsx", "A 29484-2025")</f>
        <v/>
      </c>
      <c r="X22">
        <f>HYPERLINK("https://klasma.github.io/Logging_1446/kartor/A 29484-2025 karta.png", "A 29484-2025")</f>
        <v/>
      </c>
      <c r="Y22">
        <f>HYPERLINK("https://klasma.github.io/Logging_1446/kartor_geotiff/A 29484-2025 georefererad karta.tif", "A 29484-2025")</f>
        <v/>
      </c>
      <c r="AA22">
        <f>HYPERLINK("https://klasma.github.io/Logging_1446/klagomål/A 29484-2025 FSC-klagomål.docx", "A 29484-2025")</f>
        <v/>
      </c>
      <c r="AB22">
        <f>HYPERLINK("https://klasma.github.io/Logging_1446/klagomålsmail/A 29484-2025 FSC-klagomål mail.docx", "A 29484-2025")</f>
        <v/>
      </c>
      <c r="AC22">
        <f>HYPERLINK("https://klasma.github.io/Logging_1446/tillsyn/A 29484-2025 tillsynsbegäran.docx", "A 29484-2025")</f>
        <v/>
      </c>
      <c r="AD22">
        <f>HYPERLINK("https://klasma.github.io/Logging_1446/tillsynsmail/A 29484-2025 tillsynsbegäran mail.docx", "A 29484-2025")</f>
        <v/>
      </c>
    </row>
    <row r="23" ht="15" customHeight="1">
      <c r="A23" t="inlineStr">
        <is>
          <t>A 23973-2023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45075</v>
      </c>
      <c r="E23" s="1" t="n">
        <v>46250</v>
      </c>
      <c r="F23" t="inlineStr">
        <is>
          <t>VÄSTRA GÖTALANDS LÄN</t>
        </is>
      </c>
      <c r="G23" t="inlineStr">
        <is>
          <t>KARLSBORG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Orre</t>
        </is>
      </c>
      <c r="W23">
        <f>HYPERLINK("https://klasma.github.io/Logging_1446/artfynd/A 23973-2023 artfynd.xlsx", "A 23973-2023")</f>
        <v/>
      </c>
      <c r="X23">
        <f>HYPERLINK("https://klasma.github.io/Logging_1446/kartor/A 23973-2023 karta.png", "A 23973-2023")</f>
        <v/>
      </c>
      <c r="Y23">
        <f>HYPERLINK("https://klasma.github.io/Logging_1446/kartor_geotiff/A 23973-2023 georefererad karta.tif", "A 23973-2023")</f>
        <v/>
      </c>
      <c r="AA23">
        <f>HYPERLINK("https://klasma.github.io/Logging_1446/klagomål/A 23973-2023 FSC-klagomål.docx", "A 23973-2023")</f>
        <v/>
      </c>
      <c r="AB23">
        <f>HYPERLINK("https://klasma.github.io/Logging_1446/klagomålsmail/A 23973-2023 FSC-klagomål mail.docx", "A 23973-2023")</f>
        <v/>
      </c>
      <c r="AC23">
        <f>HYPERLINK("https://klasma.github.io/Logging_1446/tillsyn/A 23973-2023 tillsynsbegäran.docx", "A 23973-2023")</f>
        <v/>
      </c>
      <c r="AD23">
        <f>HYPERLINK("https://klasma.github.io/Logging_1446/tillsynsmail/A 23973-2023 tillsynsbegäran mail.docx", "A 23973-2023")</f>
        <v/>
      </c>
      <c r="AE23">
        <f>HYPERLINK("https://klasma.github.io/Logging_1446/fåglar/A 23973-2023 prioriterade fågelarter.docx", "A 23973-2023")</f>
        <v/>
      </c>
    </row>
    <row r="24" ht="15" customHeight="1">
      <c r="A24" t="inlineStr">
        <is>
          <t>A 4448-2026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46250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HYPERLINK("https://klasma.github.io/Logging_1446/artfynd/A 4448-2026 artfynd.xlsx", "A 4448-2026")</f>
        <v/>
      </c>
      <c r="X24">
        <f>HYPERLINK("https://klasma.github.io/Logging_1446/kartor/A 4448-2026 karta.png", "A 4448-2026")</f>
        <v/>
      </c>
      <c r="Y24">
        <f>HYPERLINK("https://klasma.github.io/Logging_1446/kartor_geotiff/A 4448-2026 georefererad karta.tif", "A 4448-2026")</f>
        <v/>
      </c>
      <c r="AA24">
        <f>HYPERLINK("https://klasma.github.io/Logging_1446/klagomål/A 4448-2026 FSC-klagomål.docx", "A 4448-2026")</f>
        <v/>
      </c>
      <c r="AB24">
        <f>HYPERLINK("https://klasma.github.io/Logging_1446/klagomålsmail/A 4448-2026 FSC-klagomål mail.docx", "A 4448-2026")</f>
        <v/>
      </c>
      <c r="AC24">
        <f>HYPERLINK("https://klasma.github.io/Logging_1446/tillsyn/A 4448-2026 tillsynsbegäran.docx", "A 4448-2026")</f>
        <v/>
      </c>
      <c r="AD24">
        <f>HYPERLINK("https://klasma.github.io/Logging_1446/tillsynsmail/A 4448-2026 tillsynsbegäran mail.docx", "A 4448-2026")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46250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HYPERLINK("https://klasma.github.io/Logging_1446/artfynd/A 8984-2025 artfynd.xlsx", "A 8984-2025")</f>
        <v/>
      </c>
      <c r="X25">
        <f>HYPERLINK("https://klasma.github.io/Logging_1446/kartor/A 8984-2025 karta.png", "A 8984-2025")</f>
        <v/>
      </c>
      <c r="Y25">
        <f>HYPERLINK("https://klasma.github.io/Logging_1446/kartor_geotiff/A 8984-2025 georefererad karta.tif", "A 8984-2025")</f>
        <v/>
      </c>
      <c r="AA25">
        <f>HYPERLINK("https://klasma.github.io/Logging_1446/klagomål/A 8984-2025 FSC-klagomål.docx", "A 8984-2025")</f>
        <v/>
      </c>
      <c r="AB25">
        <f>HYPERLINK("https://klasma.github.io/Logging_1446/klagomålsmail/A 8984-2025 FSC-klagomål mail.docx", "A 8984-2025")</f>
        <v/>
      </c>
      <c r="AC25">
        <f>HYPERLINK("https://klasma.github.io/Logging_1446/tillsyn/A 8984-2025 tillsynsbegäran.docx", "A 8984-2025")</f>
        <v/>
      </c>
      <c r="AD25">
        <f>HYPERLINK("https://klasma.github.io/Logging_1446/tillsynsmail/A 8984-2025 tillsynsbegäran mail.docx", "A 8984-2025")</f>
        <v/>
      </c>
      <c r="AE25">
        <f>HYPERLINK("https://klasma.github.io/Logging_1446/fåglar/A 8984-2025 prioriterade fågelarter.docx", "A 8984-2025")</f>
        <v/>
      </c>
    </row>
    <row r="26" ht="15" customHeight="1">
      <c r="A26" t="inlineStr">
        <is>
          <t>A 42778-2024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45566</v>
      </c>
      <c r="E26" s="1" t="n">
        <v>46250</v>
      </c>
      <c r="F26" t="inlineStr">
        <is>
          <t>VÄSTRA GÖTALANDS LÄN</t>
        </is>
      </c>
      <c r="G26" t="inlineStr">
        <is>
          <t>KARLSBORG</t>
        </is>
      </c>
      <c r="I26" t="n">
        <v>1.6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HYPERLINK("https://klasma.github.io/Logging_1446/artfynd/A 42778-2024 artfynd.xlsx", "A 42778-2024")</f>
        <v/>
      </c>
      <c r="X26">
        <f>HYPERLINK("https://klasma.github.io/Logging_1446/kartor/A 42778-2024 karta.png", "A 42778-2024")</f>
        <v/>
      </c>
      <c r="Y26">
        <f>HYPERLINK("https://klasma.github.io/Logging_1446/kartor_geotiff/A 42778-2024 georefererad karta.tif", "A 42778-2024")</f>
        <v/>
      </c>
      <c r="AA26">
        <f>HYPERLINK("https://klasma.github.io/Logging_1446/klagomål/A 42778-2024 FSC-klagomål.docx", "A 42778-2024")</f>
        <v/>
      </c>
      <c r="AB26">
        <f>HYPERLINK("https://klasma.github.io/Logging_1446/klagomålsmail/A 42778-2024 FSC-klagomål mail.docx", "A 42778-2024")</f>
        <v/>
      </c>
      <c r="AC26">
        <f>HYPERLINK("https://klasma.github.io/Logging_1446/tillsyn/A 42778-2024 tillsynsbegäran.docx", "A 42778-2024")</f>
        <v/>
      </c>
      <c r="AD26">
        <f>HYPERLINK("https://klasma.github.io/Logging_1446/tillsynsmail/A 42778-2024 tillsynsbegäran mail.docx", "A 42778-2024")</f>
        <v/>
      </c>
    </row>
    <row r="27" ht="15" customHeight="1">
      <c r="A27" t="inlineStr">
        <is>
          <t>A 59712-2021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44494</v>
      </c>
      <c r="E27" s="1" t="n">
        <v>46250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Ask</t>
        </is>
      </c>
      <c r="W27">
        <f>HYPERLINK("https://klasma.github.io/Logging_1446/artfynd/A 59712-2021 artfynd.xlsx", "A 59712-2021")</f>
        <v/>
      </c>
      <c r="X27">
        <f>HYPERLINK("https://klasma.github.io/Logging_1446/kartor/A 59712-2021 karta.png", "A 59712-2021")</f>
        <v/>
      </c>
      <c r="Y27">
        <f>HYPERLINK("https://klasma.github.io/Logging_1446/kartor_geotiff/A 59712-2021 georefererad karta.tif", "A 59712-2021")</f>
        <v/>
      </c>
      <c r="AA27">
        <f>HYPERLINK("https://klasma.github.io/Logging_1446/klagomål/A 59712-2021 FSC-klagomål.docx", "A 59712-2021")</f>
        <v/>
      </c>
      <c r="AB27">
        <f>HYPERLINK("https://klasma.github.io/Logging_1446/klagomålsmail/A 59712-2021 FSC-klagomål mail.docx", "A 59712-2021")</f>
        <v/>
      </c>
      <c r="AC27">
        <f>HYPERLINK("https://klasma.github.io/Logging_1446/tillsyn/A 59712-2021 tillsynsbegäran.docx", "A 59712-2021")</f>
        <v/>
      </c>
      <c r="AD27">
        <f>HYPERLINK("https://klasma.github.io/Logging_1446/tillsynsmail/A 59712-2021 tillsynsbegäran mail.docx", "A 59712-2021")</f>
        <v/>
      </c>
    </row>
    <row r="28" ht="15" customHeight="1">
      <c r="A28" t="inlineStr">
        <is>
          <t>A 9337-2025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45714</v>
      </c>
      <c r="E28" s="1" t="n">
        <v>46250</v>
      </c>
      <c r="F28" t="inlineStr">
        <is>
          <t>VÄSTRA GÖTALANDS LÄN</t>
        </is>
      </c>
      <c r="G28" t="inlineStr">
        <is>
          <t>KARLSBORG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HYPERLINK("https://klasma.github.io/Logging_1446/artfynd/A 9337-2025 artfynd.xlsx", "A 9337-2025")</f>
        <v/>
      </c>
      <c r="X28">
        <f>HYPERLINK("https://klasma.github.io/Logging_1446/kartor/A 9337-2025 karta.png", "A 9337-2025")</f>
        <v/>
      </c>
      <c r="Y28">
        <f>HYPERLINK("https://klasma.github.io/Logging_1446/kartor_geotiff/A 9337-2025 georefererad karta.tif", "A 9337-2025")</f>
        <v/>
      </c>
      <c r="AA28">
        <f>HYPERLINK("https://klasma.github.io/Logging_1446/klagomål/A 9337-2025 FSC-klagomål.docx", "A 9337-2025")</f>
        <v/>
      </c>
      <c r="AB28">
        <f>HYPERLINK("https://klasma.github.io/Logging_1446/klagomålsmail/A 9337-2025 FSC-klagomål mail.docx", "A 9337-2025")</f>
        <v/>
      </c>
      <c r="AC28">
        <f>HYPERLINK("https://klasma.github.io/Logging_1446/tillsyn/A 9337-2025 tillsynsbegäran.docx", "A 9337-2025")</f>
        <v/>
      </c>
      <c r="AD28">
        <f>HYPERLINK("https://klasma.github.io/Logging_1446/tillsynsmail/A 9337-2025 tillsynsbegäran mail.docx", "A 9337-2025")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46250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31801-2026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46250</v>
      </c>
      <c r="F30" t="inlineStr">
        <is>
          <t>VÄSTRA GÖTALANDS LÄN</t>
        </is>
      </c>
      <c r="G30" t="inlineStr">
        <is>
          <t>KARLSBORG</t>
        </is>
      </c>
      <c r="I30" t="n">
        <v>1.3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Knärot</t>
        </is>
      </c>
      <c r="W30">
        <f>HYPERLINK("https://klasma.github.io/Logging_1446/artfynd/A 31801-2026 artfynd.xlsx", "A 31801-2026")</f>
        <v/>
      </c>
      <c r="X30">
        <f>HYPERLINK("https://klasma.github.io/Logging_1446/kartor/A 31801-2026 karta.png", "A 31801-2026")</f>
        <v/>
      </c>
      <c r="Y30">
        <f>HYPERLINK("https://klasma.github.io/Logging_1446/kartor_geotiff/A 31801-2026 georefererad karta.tif", "A 31801-2026")</f>
        <v/>
      </c>
      <c r="Z30">
        <f>HYPERLINK("https://klasma.github.io/Logging_1446/knärot/A 31801-2026 karta knärot.png", "A 31801-2026")</f>
        <v/>
      </c>
      <c r="AA30">
        <f>HYPERLINK("https://klasma.github.io/Logging_1446/klagomål/A 31801-2026 FSC-klagomål.docx", "A 31801-2026")</f>
        <v/>
      </c>
      <c r="AB30">
        <f>HYPERLINK("https://klasma.github.io/Logging_1446/klagomålsmail/A 31801-2026 FSC-klagomål mail.docx", "A 31801-2026")</f>
        <v/>
      </c>
      <c r="AC30">
        <f>HYPERLINK("https://klasma.github.io/Logging_1446/tillsyn/A 31801-2026 tillsynsbegäran.docx", "A 31801-2026")</f>
        <v/>
      </c>
      <c r="AD30">
        <f>HYPERLINK("https://klasma.github.io/Logging_1446/tillsynsmail/A 31801-2026 tillsynsbegäran mail.docx", "A 31801-2026")</f>
        <v/>
      </c>
    </row>
    <row r="31" ht="15" customHeight="1">
      <c r="A31" t="inlineStr">
        <is>
          <t>A 29156-2026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46250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Sveaskog</t>
        </is>
      </c>
      <c r="I31" t="n">
        <v>1.2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HYPERLINK("https://klasma.github.io/Logging_1446/artfynd/A 29156-2026 artfynd.xlsx", "A 29156-2026")</f>
        <v/>
      </c>
      <c r="X31">
        <f>HYPERLINK("https://klasma.github.io/Logging_1446/kartor/A 29156-2026 karta.png", "A 29156-2026")</f>
        <v/>
      </c>
      <c r="Y31">
        <f>HYPERLINK("https://klasma.github.io/Logging_1446/kartor_geotiff/A 29156-2026 georefererad karta.tif", "A 29156-2026")</f>
        <v/>
      </c>
      <c r="AA31">
        <f>HYPERLINK("https://klasma.github.io/Logging_1446/klagomål/A 29156-2026 FSC-klagomål.docx", "A 29156-2026")</f>
        <v/>
      </c>
      <c r="AB31">
        <f>HYPERLINK("https://klasma.github.io/Logging_1446/klagomålsmail/A 29156-2026 FSC-klagomål mail.docx", "A 29156-2026")</f>
        <v/>
      </c>
      <c r="AC31">
        <f>HYPERLINK("https://klasma.github.io/Logging_1446/tillsyn/A 29156-2026 tillsynsbegäran.docx", "A 29156-2026")</f>
        <v/>
      </c>
      <c r="AD31">
        <f>HYPERLINK("https://klasma.github.io/Logging_1446/tillsynsmail/A 29156-2026 tillsynsbegäran mail.docx", "A 29156-2026")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46250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46250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46250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46250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46250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46250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46250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46250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46250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44687</v>
      </c>
      <c r="E41" s="1" t="n">
        <v>46250</v>
      </c>
      <c r="F41" t="inlineStr">
        <is>
          <t>VÄSTRA GÖTALANDS LÄN</t>
        </is>
      </c>
      <c r="G41" t="inlineStr">
        <is>
          <t>KARLSBORG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41954-2021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46250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45090</v>
      </c>
      <c r="E43" s="1" t="n">
        <v>46250</v>
      </c>
      <c r="F43" t="inlineStr">
        <is>
          <t>VÄSTRA GÖTALANDS LÄN</t>
        </is>
      </c>
      <c r="G43" t="inlineStr">
        <is>
          <t>KARLSBORG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46250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46250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70949-2021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44538</v>
      </c>
      <c r="E46" s="1" t="n">
        <v>46250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Aktiebolag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46250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44599</v>
      </c>
      <c r="E48" s="1" t="n">
        <v>46250</v>
      </c>
      <c r="F48" t="inlineStr">
        <is>
          <t>VÄSTRA GÖTALANDS LÄN</t>
        </is>
      </c>
      <c r="G48" t="inlineStr">
        <is>
          <t>KARLSBORG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45183</v>
      </c>
      <c r="E49" s="1" t="n">
        <v>46250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46250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46250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45394</v>
      </c>
      <c r="E52" s="1" t="n">
        <v>46250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43021-2021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44431</v>
      </c>
      <c r="E53" s="1" t="n">
        <v>46250</v>
      </c>
      <c r="F53" t="inlineStr">
        <is>
          <t>VÄSTRA GÖTALANDS LÄN</t>
        </is>
      </c>
      <c r="G53" t="inlineStr">
        <is>
          <t>KARLSBORG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10415-2025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45720</v>
      </c>
      <c r="E54" s="1" t="n">
        <v>46250</v>
      </c>
      <c r="F54" t="inlineStr">
        <is>
          <t>VÄSTRA GÖTALANDS LÄN</t>
        </is>
      </c>
      <c r="G54" t="inlineStr">
        <is>
          <t>KARLSBORG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59047-2023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46250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Övriga Aktiebolag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46250</v>
      </c>
      <c r="F56" t="inlineStr">
        <is>
          <t>VÄSTRA GÖTALANDS LÄN</t>
        </is>
      </c>
      <c r="G56" t="inlineStr">
        <is>
          <t>KARLSBORG</t>
        </is>
      </c>
      <c r="I56" t="n">
        <v>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8053-2023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46250</v>
      </c>
      <c r="F57" t="inlineStr">
        <is>
          <t>VÄSTRA GÖTALANDS LÄN</t>
        </is>
      </c>
      <c r="G57" t="inlineStr">
        <is>
          <t>KARLSBORG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46250</v>
      </c>
      <c r="F58" t="inlineStr">
        <is>
          <t>VÄSTRA GÖTALANDS LÄN</t>
        </is>
      </c>
      <c r="G58" t="inlineStr">
        <is>
          <t>KARLSBORG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8052-2023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46250</v>
      </c>
      <c r="F59" t="inlineStr">
        <is>
          <t>VÄSTRA GÖTALANDS LÄN</t>
        </is>
      </c>
      <c r="G59" t="inlineStr">
        <is>
          <t>KARLSBORG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58533-2023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46250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46250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45470</v>
      </c>
      <c r="E62" s="1" t="n">
        <v>46250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29357-2024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45483</v>
      </c>
      <c r="E63" s="1" t="n">
        <v>46250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46250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28460-2023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45103</v>
      </c>
      <c r="E65" s="1" t="n">
        <v>46250</v>
      </c>
      <c r="F65" t="inlineStr">
        <is>
          <t>VÄSTRA GÖTALANDS LÄN</t>
        </is>
      </c>
      <c r="G65" t="inlineStr">
        <is>
          <t>KARLSBORG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61542-2023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45265</v>
      </c>
      <c r="E66" s="1" t="n">
        <v>46250</v>
      </c>
      <c r="F66" t="inlineStr">
        <is>
          <t>VÄSTRA GÖTALANDS LÄN</t>
        </is>
      </c>
      <c r="G66" t="inlineStr">
        <is>
          <t>KARLSBORG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45899</v>
      </c>
      <c r="E67" s="1" t="n">
        <v>46250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65313-2021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46250</v>
      </c>
      <c r="F68" t="inlineStr">
        <is>
          <t>VÄSTRA GÖTALANDS LÄN</t>
        </is>
      </c>
      <c r="G68" t="inlineStr">
        <is>
          <t>KARLSBORG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45176</v>
      </c>
      <c r="E69" s="1" t="n">
        <v>46250</v>
      </c>
      <c r="F69" t="inlineStr">
        <is>
          <t>VÄSTRA GÖTALANDS LÄN</t>
        </is>
      </c>
      <c r="G69" t="inlineStr">
        <is>
          <t>KARLSBORG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46250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Kyrkan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46250</v>
      </c>
      <c r="F71" t="inlineStr">
        <is>
          <t>VÄSTRA GÖTALANDS LÄN</t>
        </is>
      </c>
      <c r="G71" t="inlineStr">
        <is>
          <t>KARLSBORG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46250</v>
      </c>
      <c r="F72" t="inlineStr">
        <is>
          <t>VÄSTRA GÖTALANDS LÄN</t>
        </is>
      </c>
      <c r="G72" t="inlineStr">
        <is>
          <t>KARLSBORG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58129-2024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45632</v>
      </c>
      <c r="E73" s="1" t="n">
        <v>46250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Sveaskog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46250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Kyrkan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45247-2025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46250</v>
      </c>
      <c r="F75" t="inlineStr">
        <is>
          <t>VÄSTRA GÖTALANDS LÄN</t>
        </is>
      </c>
      <c r="G75" t="inlineStr">
        <is>
          <t>KARLSBORG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45256-2025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46250</v>
      </c>
      <c r="F76" t="inlineStr">
        <is>
          <t>VÄSTRA GÖTALANDS LÄN</t>
        </is>
      </c>
      <c r="G76" t="inlineStr">
        <is>
          <t>KARLSBORG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61211-2022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44908</v>
      </c>
      <c r="E77" s="1" t="n">
        <v>46250</v>
      </c>
      <c r="F77" t="inlineStr">
        <is>
          <t>VÄSTRA GÖTALANDS LÄN</t>
        </is>
      </c>
      <c r="G77" t="inlineStr">
        <is>
          <t>KARLSBORG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46250</v>
      </c>
      <c r="F78" t="inlineStr">
        <is>
          <t>VÄSTRA GÖTALANDS LÄN</t>
        </is>
      </c>
      <c r="G78" t="inlineStr">
        <is>
          <t>KARLSBORG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47265-2025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46250</v>
      </c>
      <c r="F79" t="inlineStr">
        <is>
          <t>VÄSTRA GÖTALANDS LÄN</t>
        </is>
      </c>
      <c r="G79" t="inlineStr">
        <is>
          <t>KARLSBORG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47262-2025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46250</v>
      </c>
      <c r="F80" t="inlineStr">
        <is>
          <t>VÄSTRA GÖTALANDS LÄN</t>
        </is>
      </c>
      <c r="G80" t="inlineStr">
        <is>
          <t>KARLSBORG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46250</v>
      </c>
      <c r="F81" t="inlineStr">
        <is>
          <t>VÄSTRA GÖTALANDS LÄN</t>
        </is>
      </c>
      <c r="G81" t="inlineStr">
        <is>
          <t>KARLSBORG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45742</v>
      </c>
      <c r="E82" s="1" t="n">
        <v>46250</v>
      </c>
      <c r="F82" t="inlineStr">
        <is>
          <t>VÄSTRA GÖTALANDS LÄN</t>
        </is>
      </c>
      <c r="G82" t="inlineStr">
        <is>
          <t>KARLSBORG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46250</v>
      </c>
      <c r="F83" t="inlineStr">
        <is>
          <t>VÄSTRA GÖTALANDS LÄN</t>
        </is>
      </c>
      <c r="G83" t="inlineStr">
        <is>
          <t>KARLSBORG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46250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45942</v>
      </c>
      <c r="E85" s="1" t="n">
        <v>46250</v>
      </c>
      <c r="F85" t="inlineStr">
        <is>
          <t>VÄSTRA GÖTALANDS LÄN</t>
        </is>
      </c>
      <c r="G85" t="inlineStr">
        <is>
          <t>KARLSBORG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45566</v>
      </c>
      <c r="E86" s="1" t="n">
        <v>46250</v>
      </c>
      <c r="F86" t="inlineStr">
        <is>
          <t>VÄSTRA GÖTALANDS LÄN</t>
        </is>
      </c>
      <c r="G86" t="inlineStr">
        <is>
          <t>KARLSBORG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59045-2023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45252</v>
      </c>
      <c r="E87" s="1" t="n">
        <v>46250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46250</v>
      </c>
      <c r="F88" t="inlineStr">
        <is>
          <t>VÄSTRA GÖTALANDS LÄN</t>
        </is>
      </c>
      <c r="G88" t="inlineStr">
        <is>
          <t>KARLSBORG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45565</v>
      </c>
      <c r="E89" s="1" t="n">
        <v>46250</v>
      </c>
      <c r="F89" t="inlineStr">
        <is>
          <t>VÄSTRA GÖTALANDS LÄN</t>
        </is>
      </c>
      <c r="G89" t="inlineStr">
        <is>
          <t>KARLSBORG</t>
        </is>
      </c>
      <c r="I89" t="n">
        <v>8.9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44895</v>
      </c>
      <c r="E90" s="1" t="n">
        <v>46250</v>
      </c>
      <c r="F90" t="inlineStr">
        <is>
          <t>VÄSTRA GÖTALANDS LÄN</t>
        </is>
      </c>
      <c r="G90" t="inlineStr">
        <is>
          <t>KARLSBORG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46250</v>
      </c>
      <c r="F91" t="inlineStr">
        <is>
          <t>VÄSTRA GÖTALANDS LÄN</t>
        </is>
      </c>
      <c r="G91" t="inlineStr">
        <is>
          <t>KARLSBORG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44937</v>
      </c>
      <c r="E92" s="1" t="n">
        <v>46250</v>
      </c>
      <c r="F92" t="inlineStr">
        <is>
          <t>VÄSTRA GÖTALANDS LÄN</t>
        </is>
      </c>
      <c r="G92" t="inlineStr">
        <is>
          <t>KARLSBORG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42724-2024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45566</v>
      </c>
      <c r="E93" s="1" t="n">
        <v>46250</v>
      </c>
      <c r="F93" t="inlineStr">
        <is>
          <t>VÄSTRA GÖTALANDS LÄN</t>
        </is>
      </c>
      <c r="G93" t="inlineStr">
        <is>
          <t>KARLSBORG</t>
        </is>
      </c>
      <c r="I93" t="n">
        <v>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45575</v>
      </c>
      <c r="E94" s="1" t="n">
        <v>46250</v>
      </c>
      <c r="F94" t="inlineStr">
        <is>
          <t>VÄSTRA GÖTALANDS LÄN</t>
        </is>
      </c>
      <c r="G94" t="inlineStr">
        <is>
          <t>KARLSBORG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44906</v>
      </c>
      <c r="E95" s="1" t="n">
        <v>46250</v>
      </c>
      <c r="F95" t="inlineStr">
        <is>
          <t>VÄSTRA GÖTALANDS LÄN</t>
        </is>
      </c>
      <c r="G95" t="inlineStr">
        <is>
          <t>KARLSBORG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44906</v>
      </c>
      <c r="E96" s="1" t="n">
        <v>46250</v>
      </c>
      <c r="F96" t="inlineStr">
        <is>
          <t>VÄSTRA GÖTALANDS LÄN</t>
        </is>
      </c>
      <c r="G96" t="inlineStr">
        <is>
          <t>KARLSBORG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46250</v>
      </c>
      <c r="F97" t="inlineStr">
        <is>
          <t>VÄSTRA GÖTALANDS LÄN</t>
        </is>
      </c>
      <c r="G97" t="inlineStr">
        <is>
          <t>KARLSBORG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46250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44664</v>
      </c>
      <c r="E99" s="1" t="n">
        <v>46250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Aktiebolag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45589</v>
      </c>
      <c r="E100" s="1" t="n">
        <v>46250</v>
      </c>
      <c r="F100" t="inlineStr">
        <is>
          <t>VÄSTRA GÖTALANDS LÄN</t>
        </is>
      </c>
      <c r="G100" t="inlineStr">
        <is>
          <t>KARLSBORG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45524</v>
      </c>
      <c r="E101" s="1" t="n">
        <v>46250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Övriga Aktiebolag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46250</v>
      </c>
      <c r="F102" t="inlineStr">
        <is>
          <t>VÄSTRA GÖTALANDS LÄN</t>
        </is>
      </c>
      <c r="G102" t="inlineStr">
        <is>
          <t>KARLSBORG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15396-2024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45401</v>
      </c>
      <c r="E103" s="1" t="n">
        <v>46250</v>
      </c>
      <c r="F103" t="inlineStr">
        <is>
          <t>VÄSTRA GÖTALANDS LÄN</t>
        </is>
      </c>
      <c r="G103" t="inlineStr">
        <is>
          <t>KARLSBORG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30136-2024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45489</v>
      </c>
      <c r="E104" s="1" t="n">
        <v>46250</v>
      </c>
      <c r="F104" t="inlineStr">
        <is>
          <t>VÄSTRA GÖTALANDS LÄN</t>
        </is>
      </c>
      <c r="G104" t="inlineStr">
        <is>
          <t>KARLSBORG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59877-2021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46250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statliga verk och myndigheter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46250</v>
      </c>
      <c r="F106" t="inlineStr">
        <is>
          <t>VÄSTRA GÖTALANDS LÄN</t>
        </is>
      </c>
      <c r="G106" t="inlineStr">
        <is>
          <t>KARLSBORG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45436</v>
      </c>
      <c r="E107" s="1" t="n">
        <v>46250</v>
      </c>
      <c r="F107" t="inlineStr">
        <is>
          <t>VÄSTRA GÖTALANDS LÄN</t>
        </is>
      </c>
      <c r="G107" t="inlineStr">
        <is>
          <t>KARLSBORG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44929</v>
      </c>
      <c r="E108" s="1" t="n">
        <v>46250</v>
      </c>
      <c r="F108" t="inlineStr">
        <is>
          <t>VÄSTRA GÖTALANDS LÄN</t>
        </is>
      </c>
      <c r="G108" t="inlineStr">
        <is>
          <t>KARLSBORG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  <c r="X108">
        <f>HYPERLINK("https://klasma.github.io/Logging_1446/kartor/A 412-2023 karta.png", "A 412-2023")</f>
        <v/>
      </c>
      <c r="Y108">
        <f>HYPERLINK("https://klasma.github.io/Logging_1446/kartor_geotiff/A 412-2023 georefererad karta.tif", "A 412-2023")</f>
        <v/>
      </c>
      <c r="AA108">
        <f>HYPERLINK("https://klasma.github.io/Logging_1446/klagomål/A 412-2023 FSC-klagomål.docx", "A 412-2023")</f>
        <v/>
      </c>
      <c r="AB108">
        <f>HYPERLINK("https://klasma.github.io/Logging_1446/klagomålsmail/A 412-2023 FSC-klagomål mail.docx", "A 412-2023")</f>
        <v/>
      </c>
      <c r="AC108">
        <f>HYPERLINK("https://klasma.github.io/Logging_1446/tillsyn/A 412-2023 tillsynsbegäran.docx", "A 412-2023")</f>
        <v/>
      </c>
      <c r="AD108">
        <f>HYPERLINK("https://klasma.github.io/Logging_1446/tillsynsmail/A 412-2023 tillsynsbegäran mail.docx", "A 412-2023")</f>
        <v/>
      </c>
    </row>
    <row r="109" ht="15" customHeight="1">
      <c r="A109" t="inlineStr">
        <is>
          <t>A 59111-2025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46250</v>
      </c>
      <c r="F109" t="inlineStr">
        <is>
          <t>VÄSTRA GÖTALANDS LÄN</t>
        </is>
      </c>
      <c r="G109" t="inlineStr">
        <is>
          <t>KARLSBORG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46250</v>
      </c>
      <c r="F110" t="inlineStr">
        <is>
          <t>VÄSTRA GÖTALANDS LÄN</t>
        </is>
      </c>
      <c r="G110" t="inlineStr">
        <is>
          <t>KARLSBORG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46250</v>
      </c>
      <c r="F111" t="inlineStr">
        <is>
          <t>VÄSTRA GÖTALANDS LÄN</t>
        </is>
      </c>
      <c r="G111" t="inlineStr">
        <is>
          <t>KARLSBORG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46250</v>
      </c>
      <c r="F112" t="inlineStr">
        <is>
          <t>VÄSTRA GÖTALANDS LÄN</t>
        </is>
      </c>
      <c r="G112" t="inlineStr">
        <is>
          <t>KARLSBORG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45614</v>
      </c>
      <c r="E113" s="1" t="n">
        <v>46250</v>
      </c>
      <c r="F113" t="inlineStr">
        <is>
          <t>VÄSTRA GÖTALANDS LÄN</t>
        </is>
      </c>
      <c r="G113" t="inlineStr">
        <is>
          <t>KARLSBORG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46250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46250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18564-2026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46127</v>
      </c>
      <c r="E116" s="1" t="n">
        <v>46250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25697-2023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45089</v>
      </c>
      <c r="E117" s="1" t="n">
        <v>46250</v>
      </c>
      <c r="F117" t="inlineStr">
        <is>
          <t>VÄSTRA GÖTALANDS LÄN</t>
        </is>
      </c>
      <c r="G117" t="inlineStr">
        <is>
          <t>KARLSBORG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46250</v>
      </c>
      <c r="F118" t="inlineStr">
        <is>
          <t>VÄSTRA GÖTALANDS LÄN</t>
        </is>
      </c>
      <c r="G118" t="inlineStr">
        <is>
          <t>KARLSBORG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46250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46006</v>
      </c>
      <c r="E120" s="1" t="n">
        <v>46250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45257</v>
      </c>
      <c r="E121" s="1" t="n">
        <v>46250</v>
      </c>
      <c r="F121" t="inlineStr">
        <is>
          <t>VÄSTRA GÖTALANDS LÄN</t>
        </is>
      </c>
      <c r="G121" t="inlineStr">
        <is>
          <t>KARLSBORG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45002</v>
      </c>
      <c r="E122" s="1" t="n">
        <v>46250</v>
      </c>
      <c r="F122" t="inlineStr">
        <is>
          <t>VÄSTRA GÖTALANDS LÄN</t>
        </is>
      </c>
      <c r="G122" t="inlineStr">
        <is>
          <t>KARLSBORG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44687</v>
      </c>
      <c r="E123" s="1" t="n">
        <v>46250</v>
      </c>
      <c r="F123" t="inlineStr">
        <is>
          <t>VÄSTRA GÖTALANDS LÄN</t>
        </is>
      </c>
      <c r="G123" t="inlineStr">
        <is>
          <t>KARLSBORG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44900</v>
      </c>
      <c r="E124" s="1" t="n">
        <v>46250</v>
      </c>
      <c r="F124" t="inlineStr">
        <is>
          <t>VÄSTRA GÖTALANDS LÄN</t>
        </is>
      </c>
      <c r="G124" t="inlineStr">
        <is>
          <t>KARLSBORG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44906</v>
      </c>
      <c r="E125" s="1" t="n">
        <v>46250</v>
      </c>
      <c r="F125" t="inlineStr">
        <is>
          <t>VÄSTRA GÖTALANDS LÄN</t>
        </is>
      </c>
      <c r="G125" t="inlineStr">
        <is>
          <t>KARLSBORG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44755</v>
      </c>
      <c r="E126" s="1" t="n">
        <v>46250</v>
      </c>
      <c r="F126" t="inlineStr">
        <is>
          <t>VÄSTRA GÖTALANDS LÄN</t>
        </is>
      </c>
      <c r="G126" t="inlineStr">
        <is>
          <t>KARLSBORG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44727</v>
      </c>
      <c r="E127" s="1" t="n">
        <v>46250</v>
      </c>
      <c r="F127" t="inlineStr">
        <is>
          <t>VÄSTRA GÖTALANDS LÄN</t>
        </is>
      </c>
      <c r="G127" t="inlineStr">
        <is>
          <t>KARLSBORG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46021</v>
      </c>
      <c r="E128" s="1" t="n">
        <v>46250</v>
      </c>
      <c r="F128" t="inlineStr">
        <is>
          <t>VÄSTRA GÖTALANDS LÄN</t>
        </is>
      </c>
      <c r="G128" t="inlineStr">
        <is>
          <t>KARLSBORG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46021</v>
      </c>
      <c r="E129" s="1" t="n">
        <v>46250</v>
      </c>
      <c r="F129" t="inlineStr">
        <is>
          <t>VÄSTRA GÖTALANDS LÄN</t>
        </is>
      </c>
      <c r="G129" t="inlineStr">
        <is>
          <t>KARLSBORG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46021</v>
      </c>
      <c r="E130" s="1" t="n">
        <v>46250</v>
      </c>
      <c r="F130" t="inlineStr">
        <is>
          <t>VÄSTRA GÖTALANDS LÄN</t>
        </is>
      </c>
      <c r="G130" t="inlineStr">
        <is>
          <t>KARLSBORG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40128-2023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46250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48385-2025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46250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45453</v>
      </c>
      <c r="E133" s="1" t="n">
        <v>46250</v>
      </c>
      <c r="F133" t="inlineStr">
        <is>
          <t>VÄSTRA GÖTALANDS LÄN</t>
        </is>
      </c>
      <c r="G133" t="inlineStr">
        <is>
          <t>KARLSBORG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37363-2022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46250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44972</v>
      </c>
      <c r="E135" s="1" t="n">
        <v>46250</v>
      </c>
      <c r="F135" t="inlineStr">
        <is>
          <t>VÄSTRA GÖTALANDS LÄN</t>
        </is>
      </c>
      <c r="G135" t="inlineStr">
        <is>
          <t>KARLSBORG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46250</v>
      </c>
      <c r="F136" t="inlineStr">
        <is>
          <t>VÄSTRA GÖTALANDS LÄN</t>
        </is>
      </c>
      <c r="G136" t="inlineStr">
        <is>
          <t>KARLSBORG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45166</v>
      </c>
      <c r="E137" s="1" t="n">
        <v>46250</v>
      </c>
      <c r="F137" t="inlineStr">
        <is>
          <t>VÄSTRA GÖTALANDS LÄN</t>
        </is>
      </c>
      <c r="G137" t="inlineStr">
        <is>
          <t>KARLSBORG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45394</v>
      </c>
      <c r="E138" s="1" t="n">
        <v>46250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44795</v>
      </c>
      <c r="E139" s="1" t="n">
        <v>46250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46250</v>
      </c>
      <c r="F140" t="inlineStr">
        <is>
          <t>VÄSTRA GÖTALANDS LÄN</t>
        </is>
      </c>
      <c r="G140" t="inlineStr">
        <is>
          <t>KARLSBORG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58127-2024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45632</v>
      </c>
      <c r="E141" s="1" t="n">
        <v>46250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46250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46250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46045</v>
      </c>
      <c r="E144" s="1" t="n">
        <v>46250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14.3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45019</v>
      </c>
      <c r="E145" s="1" t="n">
        <v>46250</v>
      </c>
      <c r="F145" t="inlineStr">
        <is>
          <t>VÄSTRA GÖTALANDS LÄN</t>
        </is>
      </c>
      <c r="G145" t="inlineStr">
        <is>
          <t>KARLSBORG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46250</v>
      </c>
      <c r="F146" t="inlineStr">
        <is>
          <t>VÄSTRA GÖTALANDS LÄN</t>
        </is>
      </c>
      <c r="G146" t="inlineStr">
        <is>
          <t>KARLSBORG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45755</v>
      </c>
      <c r="E147" s="1" t="n">
        <v>46250</v>
      </c>
      <c r="F147" t="inlineStr">
        <is>
          <t>VÄSTRA GÖTALANDS LÄN</t>
        </is>
      </c>
      <c r="G147" t="inlineStr">
        <is>
          <t>KARLSBORG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46055</v>
      </c>
      <c r="E148" s="1" t="n">
        <v>46250</v>
      </c>
      <c r="F148" t="inlineStr">
        <is>
          <t>VÄSTRA GÖTALANDS LÄN</t>
        </is>
      </c>
      <c r="G148" t="inlineStr">
        <is>
          <t>KARLSBORG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44944</v>
      </c>
      <c r="E149" s="1" t="n">
        <v>46250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44785</v>
      </c>
      <c r="E150" s="1" t="n">
        <v>46250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46250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statliga verk och myndigheter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46250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7644-2026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46250</v>
      </c>
      <c r="F153" t="inlineStr">
        <is>
          <t>VÄSTRA GÖTALANDS LÄN</t>
        </is>
      </c>
      <c r="G153" t="inlineStr">
        <is>
          <t>KARLSBORG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46250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statliga verk och myndigheter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46250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statliga verk och myndigheter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46250</v>
      </c>
      <c r="F156" t="inlineStr">
        <is>
          <t>VÄSTRA GÖTALANDS LÄN</t>
        </is>
      </c>
      <c r="G156" t="inlineStr">
        <is>
          <t>KARLSBORG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70945-2021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44538</v>
      </c>
      <c r="E157" s="1" t="n">
        <v>46250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45566</v>
      </c>
      <c r="E158" s="1" t="n">
        <v>46250</v>
      </c>
      <c r="F158" t="inlineStr">
        <is>
          <t>VÄSTRA GÖTALANDS LÄN</t>
        </is>
      </c>
      <c r="G158" t="inlineStr">
        <is>
          <t>KARLSBORG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57454-2024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45630</v>
      </c>
      <c r="E159" s="1" t="n">
        <v>46250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46250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10.2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35441-2024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45531</v>
      </c>
      <c r="E161" s="1" t="n">
        <v>46250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9.800000000000001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46250</v>
      </c>
      <c r="F162" t="inlineStr">
        <is>
          <t>VÄSTRA GÖTALANDS LÄN</t>
        </is>
      </c>
      <c r="G162" t="inlineStr">
        <is>
          <t>KARLSBORG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45089</v>
      </c>
      <c r="E163" s="1" t="n">
        <v>46250</v>
      </c>
      <c r="F163" t="inlineStr">
        <is>
          <t>VÄSTRA GÖTALANDS LÄN</t>
        </is>
      </c>
      <c r="G163" t="inlineStr">
        <is>
          <t>KARLSBORG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46142</v>
      </c>
      <c r="E164" s="1" t="n">
        <v>46250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46079</v>
      </c>
      <c r="E165" s="1" t="n">
        <v>46250</v>
      </c>
      <c r="F165" t="inlineStr">
        <is>
          <t>VÄSTRA GÖTALANDS LÄN</t>
        </is>
      </c>
      <c r="G165" t="inlineStr">
        <is>
          <t>KARLSBORG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46250</v>
      </c>
      <c r="F166" t="inlineStr">
        <is>
          <t>VÄSTRA GÖTALANDS LÄN</t>
        </is>
      </c>
      <c r="G166" t="inlineStr">
        <is>
          <t>KARLSBORG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46143</v>
      </c>
      <c r="E167" s="1" t="n">
        <v>46250</v>
      </c>
      <c r="F167" t="inlineStr">
        <is>
          <t>VÄSTRA GÖTALANDS LÄN</t>
        </is>
      </c>
      <c r="G167" t="inlineStr">
        <is>
          <t>KARLSBORG</t>
        </is>
      </c>
      <c r="I167" t="n">
        <v>14.6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46250</v>
      </c>
      <c r="F168" t="inlineStr">
        <is>
          <t>VÄSTRA GÖTALANDS LÄN</t>
        </is>
      </c>
      <c r="G168" t="inlineStr">
        <is>
          <t>KARLSBORG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44944</v>
      </c>
      <c r="E169" s="1" t="n">
        <v>46250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46250</v>
      </c>
      <c r="F170" t="inlineStr">
        <is>
          <t>VÄSTRA GÖTALANDS LÄN</t>
        </is>
      </c>
      <c r="G170" t="inlineStr">
        <is>
          <t>KARLSBORG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45098</v>
      </c>
      <c r="E171" s="1" t="n">
        <v>46250</v>
      </c>
      <c r="F171" t="inlineStr">
        <is>
          <t>VÄSTRA GÖTALANDS LÄN</t>
        </is>
      </c>
      <c r="G171" t="inlineStr">
        <is>
          <t>KARLSBORG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46250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Aktiebolag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42661-2021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46250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45394</v>
      </c>
      <c r="E174" s="1" t="n">
        <v>46250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45160</v>
      </c>
      <c r="E175" s="1" t="n">
        <v>46250</v>
      </c>
      <c r="F175" t="inlineStr">
        <is>
          <t>VÄSTRA GÖTALANDS LÄN</t>
        </is>
      </c>
      <c r="G175" t="inlineStr">
        <is>
          <t>KARLSBORG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46250</v>
      </c>
      <c r="F176" t="inlineStr">
        <is>
          <t>VÄSTRA GÖTALANDS LÄN</t>
        </is>
      </c>
      <c r="G176" t="inlineStr">
        <is>
          <t>KARLSBORG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45078</v>
      </c>
      <c r="E177" s="1" t="n">
        <v>46250</v>
      </c>
      <c r="F177" t="inlineStr">
        <is>
          <t>VÄSTRA GÖTALANDS LÄN</t>
        </is>
      </c>
      <c r="G177" t="inlineStr">
        <is>
          <t>KARLSBORG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70783-2021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46250</v>
      </c>
      <c r="F178" t="inlineStr">
        <is>
          <t>VÄSTRA GÖTALANDS LÄN</t>
        </is>
      </c>
      <c r="G178" t="inlineStr">
        <is>
          <t>KARLSBORG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46250</v>
      </c>
      <c r="F179" t="inlineStr">
        <is>
          <t>VÄSTRA GÖTALANDS LÄN</t>
        </is>
      </c>
      <c r="G179" t="inlineStr">
        <is>
          <t>KARLSBORG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44944</v>
      </c>
      <c r="E180" s="1" t="n">
        <v>46250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6.4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45890</v>
      </c>
      <c r="E181" s="1" t="n">
        <v>46250</v>
      </c>
      <c r="F181" t="inlineStr">
        <is>
          <t>VÄSTRA GÖTALANDS LÄN</t>
        </is>
      </c>
      <c r="G181" t="inlineStr">
        <is>
          <t>KARLSBORG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13252-2024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45386</v>
      </c>
      <c r="E182" s="1" t="n">
        <v>46250</v>
      </c>
      <c r="F182" t="inlineStr">
        <is>
          <t>VÄSTRA GÖTALANDS LÄN</t>
        </is>
      </c>
      <c r="G182" t="inlineStr">
        <is>
          <t>KARLSBORG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45561</v>
      </c>
      <c r="E183" s="1" t="n">
        <v>46250</v>
      </c>
      <c r="F183" t="inlineStr">
        <is>
          <t>VÄSTRA GÖTALANDS LÄN</t>
        </is>
      </c>
      <c r="G183" t="inlineStr">
        <is>
          <t>KARLSBORG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46160</v>
      </c>
      <c r="E184" s="1" t="n">
        <v>46250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46250</v>
      </c>
      <c r="F185" t="inlineStr">
        <is>
          <t>VÄSTRA GÖTALANDS LÄN</t>
        </is>
      </c>
      <c r="G185" t="inlineStr">
        <is>
          <t>KARLSBORG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46160</v>
      </c>
      <c r="E186" s="1" t="n">
        <v>46250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45575</v>
      </c>
      <c r="E187" s="1" t="n">
        <v>46250</v>
      </c>
      <c r="F187" t="inlineStr">
        <is>
          <t>VÄSTRA GÖTALANDS LÄN</t>
        </is>
      </c>
      <c r="G187" t="inlineStr">
        <is>
          <t>KARLSBORG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57915-2024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45631</v>
      </c>
      <c r="E188" s="1" t="n">
        <v>46250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53898-2021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44469</v>
      </c>
      <c r="E189" s="1" t="n">
        <v>46250</v>
      </c>
      <c r="F189" t="inlineStr">
        <is>
          <t>VÄSTRA GÖTALANDS LÄN</t>
        </is>
      </c>
      <c r="G189" t="inlineStr">
        <is>
          <t>KARLSBORG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45224-2021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44439</v>
      </c>
      <c r="E190" s="1" t="n">
        <v>46250</v>
      </c>
      <c r="F190" t="inlineStr">
        <is>
          <t>VÄSTRA GÖTALANDS LÄN</t>
        </is>
      </c>
      <c r="G190" t="inlineStr">
        <is>
          <t>KARLSBORG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46210</v>
      </c>
      <c r="E191" s="1" t="n">
        <v>46250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45524</v>
      </c>
      <c r="E192" s="1" t="n">
        <v>46250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Aktiebolag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46250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Aktiebolag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46250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Övriga Aktiebolag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54416-2024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46250</v>
      </c>
      <c r="F195" t="inlineStr">
        <is>
          <t>VÄSTRA GÖTALANDS LÄN</t>
        </is>
      </c>
      <c r="G195" t="inlineStr">
        <is>
          <t>KARLSBORG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45786</v>
      </c>
      <c r="E196" s="1" t="n">
        <v>46250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30609-2026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46250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59887-2021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44494</v>
      </c>
      <c r="E198" s="1" t="n">
        <v>46250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statliga verk och myndigheter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44494</v>
      </c>
      <c r="E199" s="1" t="n">
        <v>46250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statliga verk och myndigheter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46250</v>
      </c>
      <c r="F200" t="inlineStr">
        <is>
          <t>VÄSTRA GÖTALANDS LÄN</t>
        </is>
      </c>
      <c r="G200" t="inlineStr">
        <is>
          <t>KARLSBORG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46250</v>
      </c>
      <c r="F201" t="inlineStr">
        <is>
          <t>VÄSTRA GÖTALANDS LÄN</t>
        </is>
      </c>
      <c r="G201" t="inlineStr">
        <is>
          <t>KARLSBORG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22761-2025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45789</v>
      </c>
      <c r="E202" s="1" t="n">
        <v>46250</v>
      </c>
      <c r="F202" t="inlineStr">
        <is>
          <t>VÄSTRA GÖTALANDS LÄN</t>
        </is>
      </c>
      <c r="G202" t="inlineStr">
        <is>
          <t>KARLSBORG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45721</v>
      </c>
      <c r="E203" s="1" t="n">
        <v>46250</v>
      </c>
      <c r="F203" t="inlineStr">
        <is>
          <t>VÄSTRA GÖTALANDS LÄN</t>
        </is>
      </c>
      <c r="G203" t="inlineStr">
        <is>
          <t>KARLSBORG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45680</v>
      </c>
      <c r="E204" s="1" t="n">
        <v>46250</v>
      </c>
      <c r="F204" t="inlineStr">
        <is>
          <t>VÄSTRA GÖTALANDS LÄN</t>
        </is>
      </c>
      <c r="G204" t="inlineStr">
        <is>
          <t>KARLSBORG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46171</v>
      </c>
      <c r="E205" s="1" t="n">
        <v>46250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24725-2026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46171</v>
      </c>
      <c r="E206" s="1" t="n">
        <v>46250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45527</v>
      </c>
      <c r="E207" s="1" t="n">
        <v>46250</v>
      </c>
      <c r="F207" t="inlineStr">
        <is>
          <t>VÄSTRA GÖTALANDS LÄN</t>
        </is>
      </c>
      <c r="G207" t="inlineStr">
        <is>
          <t>KARLSBORG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45630</v>
      </c>
      <c r="E208" s="1" t="n">
        <v>46250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Aktiebolag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69341-2021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46250</v>
      </c>
      <c r="F209" t="inlineStr">
        <is>
          <t>VÄSTRA GÖTALANDS LÄN</t>
        </is>
      </c>
      <c r="G209" t="inlineStr">
        <is>
          <t>KARLSBORG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45804</v>
      </c>
      <c r="E210" s="1" t="n">
        <v>46250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57913-2024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45631</v>
      </c>
      <c r="E211" s="1" t="n">
        <v>46250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45742</v>
      </c>
      <c r="E212" s="1" t="n">
        <v>46250</v>
      </c>
      <c r="F212" t="inlineStr">
        <is>
          <t>VÄSTRA GÖTALANDS LÄN</t>
        </is>
      </c>
      <c r="G212" t="inlineStr">
        <is>
          <t>KARLSBORG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46250</v>
      </c>
      <c r="F213" t="inlineStr">
        <is>
          <t>VÄSTRA GÖTALANDS LÄN</t>
        </is>
      </c>
      <c r="G213" t="inlineStr">
        <is>
          <t>KARLSBORG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46250</v>
      </c>
      <c r="F214" t="inlineStr">
        <is>
          <t>VÄSTRA GÖTALANDS LÄN</t>
        </is>
      </c>
      <c r="G214" t="inlineStr">
        <is>
          <t>KARLSBORG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23500-2023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45076</v>
      </c>
      <c r="E215" s="1" t="n">
        <v>46250</v>
      </c>
      <c r="F215" t="inlineStr">
        <is>
          <t>VÄSTRA GÖTALANDS LÄN</t>
        </is>
      </c>
      <c r="G215" t="inlineStr">
        <is>
          <t>KARLSBORG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45561</v>
      </c>
      <c r="E216" s="1" t="n">
        <v>46250</v>
      </c>
      <c r="F216" t="inlineStr">
        <is>
          <t>VÄSTRA GÖTALANDS LÄN</t>
        </is>
      </c>
      <c r="G216" t="inlineStr">
        <is>
          <t>KARLSBORG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45233</v>
      </c>
      <c r="E217" s="1" t="n">
        <v>46250</v>
      </c>
      <c r="F217" t="inlineStr">
        <is>
          <t>VÄSTRA GÖTALANDS LÄN</t>
        </is>
      </c>
      <c r="G217" t="inlineStr">
        <is>
          <t>KARLSBORG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45218</v>
      </c>
      <c r="E218" s="1" t="n">
        <v>46250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46230</v>
      </c>
      <c r="E219" s="1" t="n">
        <v>46250</v>
      </c>
      <c r="F219" t="inlineStr">
        <is>
          <t>VÄSTRA GÖTALANDS LÄN</t>
        </is>
      </c>
      <c r="G219" t="inlineStr">
        <is>
          <t>KARLSBORG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46250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46250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12.6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46188</v>
      </c>
      <c r="E222" s="1" t="n">
        <v>46250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46191</v>
      </c>
      <c r="E223" s="1" t="n">
        <v>46250</v>
      </c>
      <c r="F223" t="inlineStr">
        <is>
          <t>VÄSTRA GÖTALANDS LÄN</t>
        </is>
      </c>
      <c r="G223" t="inlineStr">
        <is>
          <t>KARLSBORG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46250</v>
      </c>
      <c r="F224" t="inlineStr">
        <is>
          <t>VÄSTRA GÖTALANDS LÄN</t>
        </is>
      </c>
      <c r="G224" t="inlineStr">
        <is>
          <t>KARLSBORG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31701-2025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45834</v>
      </c>
      <c r="E225" s="1" t="n">
        <v>46250</v>
      </c>
      <c r="F225" t="inlineStr">
        <is>
          <t>VÄSTRA GÖTALANDS LÄN</t>
        </is>
      </c>
      <c r="G225" t="inlineStr">
        <is>
          <t>KARLSBORG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32128-2025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45835</v>
      </c>
      <c r="E226" s="1" t="n">
        <v>46250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46250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Sveaskog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45716</v>
      </c>
      <c r="E228" s="1" t="n">
        <v>46250</v>
      </c>
      <c r="F228" t="inlineStr">
        <is>
          <t>VÄSTRA GÖTALANDS LÄN</t>
        </is>
      </c>
      <c r="G228" t="inlineStr">
        <is>
          <t>KARLSBORG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45265</v>
      </c>
      <c r="E229" s="1" t="n">
        <v>46250</v>
      </c>
      <c r="F229" t="inlineStr">
        <is>
          <t>VÄSTRA GÖTALANDS LÄN</t>
        </is>
      </c>
      <c r="G229" t="inlineStr">
        <is>
          <t>KARLSBORG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45862</v>
      </c>
      <c r="E230" s="1" t="n">
        <v>46250</v>
      </c>
      <c r="F230" t="inlineStr">
        <is>
          <t>VÄSTRA GÖTALANDS LÄN</t>
        </is>
      </c>
      <c r="G230" t="inlineStr">
        <is>
          <t>KARLSBORG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46206</v>
      </c>
      <c r="E231" s="1" t="n">
        <v>46250</v>
      </c>
      <c r="F231" t="inlineStr">
        <is>
          <t>VÄSTRA GÖTALANDS LÄN</t>
        </is>
      </c>
      <c r="G231" t="inlineStr">
        <is>
          <t>KARLSBORG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2395-2024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45468</v>
      </c>
      <c r="E232" s="1" t="n">
        <v>46250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Sveaskog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343-2026</t>
        </is>
      </c>
      <c r="B233" t="inlineStr">
        <is>
          <t>samrådsanmälan</t>
        </is>
      </c>
      <c r="C233" t="inlineStr">
        <is>
          <t>Skogsgödsling</t>
        </is>
      </c>
      <c r="D233" s="1" t="n">
        <v>46059</v>
      </c>
      <c r="E233" s="1" t="n">
        <v>46250</v>
      </c>
      <c r="F233" t="inlineStr">
        <is>
          <t>VÄSTRA GÖTALANDS LÄN</t>
        </is>
      </c>
      <c r="G233" t="inlineStr">
        <is>
          <t>KARLSBORG</t>
        </is>
      </c>
      <c r="I233" t="n">
        <v>25.7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2026-08-16T01:47:34Z</dcterms:created>
  <dcterms:modified xmlns:dcterms="http://purl.org/dc/terms/" xmlns:xsi="http://www.w3.org/2001/XMLSchema-instance" xsi:type="dcterms:W3CDTF">2026-08-16T01:47:34Z</dcterms:modified>
</cp:coreProperties>
</file>