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46254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46254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46254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46254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46254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46254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46254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46254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46254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46254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38204-2024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45545</v>
      </c>
      <c r="E12" s="1" t="n">
        <v>46254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Sveaskog</t>
        </is>
      </c>
      <c r="I12" t="n">
        <v>5.4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Kungsfågel</t>
        </is>
      </c>
      <c r="W12">
        <f>HYPERLINK("https://klasma.github.io/Logging_1446/artfynd/A 38204-2024 artfynd.xlsx", "A 38204-2024")</f>
        <v/>
      </c>
      <c r="X12">
        <f>HYPERLINK("https://klasma.github.io/Logging_1446/kartor/A 38204-2024 karta.png", "A 38204-2024")</f>
        <v/>
      </c>
      <c r="Y12">
        <f>HYPERLINK("https://klasma.github.io/Logging_1446/kartor_geotiff/A 38204-2024 georefererad karta.tif", "A 38204-2024")</f>
        <v/>
      </c>
      <c r="Z12">
        <f>HYPERLINK("https://klasma.github.io/Logging_1446/knärot/A 38204-2024 karta knärot.png", "A 38204-2024")</f>
        <v/>
      </c>
      <c r="AA12">
        <f>HYPERLINK("https://klasma.github.io/Logging_1446/klagomål/A 38204-2024 FSC-klagomål.docx", "A 38204-2024")</f>
        <v/>
      </c>
      <c r="AB12">
        <f>HYPERLINK("https://klasma.github.io/Logging_1446/klagomålsmail/A 38204-2024 FSC-klagomål mail.docx", "A 38204-2024")</f>
        <v/>
      </c>
      <c r="AC12">
        <f>HYPERLINK("https://klasma.github.io/Logging_1446/tillsyn/A 38204-2024 tillsynsbegäran.docx", "A 38204-2024")</f>
        <v/>
      </c>
      <c r="AD12">
        <f>HYPERLINK("https://klasma.github.io/Logging_1446/tillsynsmail/A 38204-2024 tillsynsbegäran mail.docx", "A 38204-2024")</f>
        <v/>
      </c>
    </row>
    <row r="13" ht="15" customHeight="1">
      <c r="A13" t="inlineStr">
        <is>
          <t>A 52381-2024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45609</v>
      </c>
      <c r="E13" s="1" t="n">
        <v>46254</v>
      </c>
      <c r="F13" t="inlineStr">
        <is>
          <t>VÄSTRA GÖTALANDS LÄN</t>
        </is>
      </c>
      <c r="G13" t="inlineStr">
        <is>
          <t>KARLSBORG</t>
        </is>
      </c>
      <c r="I13" t="n">
        <v>1.4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2</v>
      </c>
      <c r="V13" s="2" t="inlineStr">
        <is>
          <t>Knärot
Spillkråka</t>
        </is>
      </c>
      <c r="W13">
        <f>HYPERLINK("https://klasma.github.io/Logging_1446/artfynd/A 52381-2024 artfynd.xlsx", "A 52381-2024")</f>
        <v/>
      </c>
      <c r="X13">
        <f>HYPERLINK("https://klasma.github.io/Logging_1446/kartor/A 52381-2024 karta.png", "A 52381-2024")</f>
        <v/>
      </c>
      <c r="Y13">
        <f>HYPERLINK("https://klasma.github.io/Logging_1446/kartor_geotiff/A 52381-2024 georefererad karta.tif", "A 52381-2024")</f>
        <v/>
      </c>
      <c r="Z13">
        <f>HYPERLINK("https://klasma.github.io/Logging_1446/knärot/A 52381-2024 karta knärot.png", "A 52381-2024")</f>
        <v/>
      </c>
      <c r="AA13">
        <f>HYPERLINK("https://klasma.github.io/Logging_1446/klagomål/A 52381-2024 FSC-klagomål.docx", "A 52381-2024")</f>
        <v/>
      </c>
      <c r="AB13">
        <f>HYPERLINK("https://klasma.github.io/Logging_1446/klagomålsmail/A 52381-2024 FSC-klagomål mail.docx", "A 52381-2024")</f>
        <v/>
      </c>
      <c r="AC13">
        <f>HYPERLINK("https://klasma.github.io/Logging_1446/tillsyn/A 52381-2024 tillsynsbegäran.docx", "A 52381-2024")</f>
        <v/>
      </c>
      <c r="AD13">
        <f>HYPERLINK("https://klasma.github.io/Logging_1446/tillsynsmail/A 52381-2024 tillsynsbegäran mail.docx", "A 52381-2024")</f>
        <v/>
      </c>
      <c r="AE13">
        <f>HYPERLINK("https://klasma.github.io/Logging_1446/fåglar/A 52381-2024 prioriterade fågelarter.docx", "A 52381-2024")</f>
        <v/>
      </c>
    </row>
    <row r="14" ht="15" customHeight="1">
      <c r="A14" t="inlineStr">
        <is>
          <t>A 43626-2023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45184</v>
      </c>
      <c r="E14" s="1" t="n">
        <v>46254</v>
      </c>
      <c r="F14" t="inlineStr">
        <is>
          <t>VÄSTRA GÖTALANDS LÄN</t>
        </is>
      </c>
      <c r="G14" t="inlineStr">
        <is>
          <t>KARLSBORG</t>
        </is>
      </c>
      <c r="I14" t="n">
        <v>0.7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Dropptaggsvamp
Tallfingersvamp</t>
        </is>
      </c>
      <c r="W14">
        <f>HYPERLINK("https://klasma.github.io/Logging_1446/artfynd/A 43626-2023 artfynd.xlsx", "A 43626-2023")</f>
        <v/>
      </c>
      <c r="X14">
        <f>HYPERLINK("https://klasma.github.io/Logging_1446/kartor/A 43626-2023 karta.png", "A 43626-2023")</f>
        <v/>
      </c>
      <c r="Y14">
        <f>HYPERLINK("https://klasma.github.io/Logging_1446/kartor_geotiff/A 43626-2023 georefererad karta.tif", "A 43626-2023")</f>
        <v/>
      </c>
      <c r="AA14">
        <f>HYPERLINK("https://klasma.github.io/Logging_1446/klagomål/A 43626-2023 FSC-klagomål.docx", "A 43626-2023")</f>
        <v/>
      </c>
      <c r="AB14">
        <f>HYPERLINK("https://klasma.github.io/Logging_1446/klagomålsmail/A 43626-2023 FSC-klagomål mail.docx", "A 43626-2023")</f>
        <v/>
      </c>
      <c r="AC14">
        <f>HYPERLINK("https://klasma.github.io/Logging_1446/tillsyn/A 43626-2023 tillsynsbegäran.docx", "A 43626-2023")</f>
        <v/>
      </c>
      <c r="AD14">
        <f>HYPERLINK("https://klasma.github.io/Logging_1446/tillsynsmail/A 43626-2023 tillsynsbegäran mail.docx", "A 43626-2023")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46254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46254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23268-2022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44720</v>
      </c>
      <c r="E17" s="1" t="n">
        <v>46254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Vanlig snok</t>
        </is>
      </c>
      <c r="W17">
        <f>HYPERLINK("https://klasma.github.io/Logging_1446/artfynd/A 23268-2022 artfynd.xlsx", "A 23268-2022")</f>
        <v/>
      </c>
      <c r="X17">
        <f>HYPERLINK("https://klasma.github.io/Logging_1446/kartor/A 23268-2022 karta.png", "A 23268-2022")</f>
        <v/>
      </c>
      <c r="Y17">
        <f>HYPERLINK("https://klasma.github.io/Logging_1446/kartor_geotiff/A 23268-2022 georefererad karta.tif", "A 23268-2022")</f>
        <v/>
      </c>
      <c r="AA17">
        <f>HYPERLINK("https://klasma.github.io/Logging_1446/klagomål/A 23268-2022 FSC-klagomål.docx", "A 23268-2022")</f>
        <v/>
      </c>
      <c r="AB17">
        <f>HYPERLINK("https://klasma.github.io/Logging_1446/klagomålsmail/A 23268-2022 FSC-klagomål mail.docx", "A 23268-2022")</f>
        <v/>
      </c>
      <c r="AC17">
        <f>HYPERLINK("https://klasma.github.io/Logging_1446/tillsyn/A 23268-2022 tillsynsbegäran.docx", "A 23268-2022")</f>
        <v/>
      </c>
      <c r="AD17">
        <f>HYPERLINK("https://klasma.github.io/Logging_1446/tillsynsmail/A 23268-2022 tillsynsbegäran mail.docx", "A 23268-2022")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46254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46254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31801-2026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46230</v>
      </c>
      <c r="E20" s="1" t="n">
        <v>46254</v>
      </c>
      <c r="F20" t="inlineStr">
        <is>
          <t>VÄSTRA GÖTALANDS LÄN</t>
        </is>
      </c>
      <c r="G20" t="inlineStr">
        <is>
          <t>KARLSBORG</t>
        </is>
      </c>
      <c r="I20" t="n">
        <v>1.3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0</v>
      </c>
      <c r="V20" s="2" t="inlineStr">
        <is>
          <t>Knärot</t>
        </is>
      </c>
      <c r="W20">
        <f>HYPERLINK("https://klasma.github.io/Logging_1446/artfynd/A 31801-2026 artfynd.xlsx", "A 31801-2026")</f>
        <v/>
      </c>
      <c r="X20">
        <f>HYPERLINK("https://klasma.github.io/Logging_1446/kartor/A 31801-2026 karta.png", "A 31801-2026")</f>
        <v/>
      </c>
      <c r="Y20">
        <f>HYPERLINK("https://klasma.github.io/Logging_1446/kartor_geotiff/A 31801-2026 georefererad karta.tif", "A 31801-2026")</f>
        <v/>
      </c>
      <c r="Z20">
        <f>HYPERLINK("https://klasma.github.io/Logging_1446/knärot/A 31801-2026 karta knärot.png", "A 31801-2026")</f>
        <v/>
      </c>
      <c r="AA20">
        <f>HYPERLINK("https://klasma.github.io/Logging_1446/klagomål/A 31801-2026 FSC-klagomål.docx", "A 31801-2026")</f>
        <v/>
      </c>
      <c r="AB20">
        <f>HYPERLINK("https://klasma.github.io/Logging_1446/klagomålsmail/A 31801-2026 FSC-klagomål mail.docx", "A 31801-2026")</f>
        <v/>
      </c>
      <c r="AC20">
        <f>HYPERLINK("https://klasma.github.io/Logging_1446/tillsyn/A 31801-2026 tillsynsbegäran.docx", "A 31801-2026")</f>
        <v/>
      </c>
      <c r="AD20">
        <f>HYPERLINK("https://klasma.github.io/Logging_1446/tillsynsmail/A 31801-2026 tillsynsbegäran mail.docx", "A 31801-2026")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46254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29156-2026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46202</v>
      </c>
      <c r="E22" s="1" t="n">
        <v>46254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29156-2026 artfynd.xlsx", "A 29156-2026")</f>
        <v/>
      </c>
      <c r="X22">
        <f>HYPERLINK("https://klasma.github.io/Logging_1446/kartor/A 29156-2026 karta.png", "A 29156-2026")</f>
        <v/>
      </c>
      <c r="Y22">
        <f>HYPERLINK("https://klasma.github.io/Logging_1446/kartor_geotiff/A 29156-2026 georefererad karta.tif", "A 29156-2026")</f>
        <v/>
      </c>
      <c r="AA22">
        <f>HYPERLINK("https://klasma.github.io/Logging_1446/klagomål/A 29156-2026 FSC-klagomål.docx", "A 29156-2026")</f>
        <v/>
      </c>
      <c r="AB22">
        <f>HYPERLINK("https://klasma.github.io/Logging_1446/klagomålsmail/A 29156-2026 FSC-klagomål mail.docx", "A 29156-2026")</f>
        <v/>
      </c>
      <c r="AC22">
        <f>HYPERLINK("https://klasma.github.io/Logging_1446/tillsyn/A 29156-2026 tillsynsbegäran.docx", "A 29156-2026")</f>
        <v/>
      </c>
      <c r="AD22">
        <f>HYPERLINK("https://klasma.github.io/Logging_1446/tillsynsmail/A 29156-2026 tillsynsbegäran mail.docx", "A 29156-2026")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46254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46254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4448-2026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46045</v>
      </c>
      <c r="E25" s="1" t="n">
        <v>46254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Övriga Aktiebolag</t>
        </is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Svart trolldruva</t>
        </is>
      </c>
      <c r="W25">
        <f>HYPERLINK("https://klasma.github.io/Logging_1446/artfynd/A 4448-2026 artfynd.xlsx", "A 4448-2026")</f>
        <v/>
      </c>
      <c r="X25">
        <f>HYPERLINK("https://klasma.github.io/Logging_1446/kartor/A 4448-2026 karta.png", "A 4448-2026")</f>
        <v/>
      </c>
      <c r="Y25">
        <f>HYPERLINK("https://klasma.github.io/Logging_1446/kartor_geotiff/A 4448-2026 georefererad karta.tif", "A 4448-2026")</f>
        <v/>
      </c>
      <c r="AA25">
        <f>HYPERLINK("https://klasma.github.io/Logging_1446/klagomål/A 4448-2026 FSC-klagomål.docx", "A 4448-2026")</f>
        <v/>
      </c>
      <c r="AB25">
        <f>HYPERLINK("https://klasma.github.io/Logging_1446/klagomålsmail/A 4448-2026 FSC-klagomål mail.docx", "A 4448-2026")</f>
        <v/>
      </c>
      <c r="AC25">
        <f>HYPERLINK("https://klasma.github.io/Logging_1446/tillsyn/A 4448-2026 tillsynsbegäran.docx", "A 4448-2026")</f>
        <v/>
      </c>
      <c r="AD25">
        <f>HYPERLINK("https://klasma.github.io/Logging_1446/tillsynsmail/A 4448-2026 tillsynsbegäran mail.docx", "A 4448-2026")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46254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46254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46254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18567-2026 artfynd.xlsx", "A 18567-2026")</f>
        <v/>
      </c>
      <c r="X28">
        <f>HYPERLINK("https://klasma.github.io/Logging_1446/kartor/A 18567-2026 karta.png", "A 18567-2026")</f>
        <v/>
      </c>
      <c r="Y28">
        <f>HYPERLINK("https://klasma.github.io/Logging_1446/kartor_geotiff/A 18567-2026 georefererad karta.tif", "A 18567-2026")</f>
        <v/>
      </c>
      <c r="AA28">
        <f>HYPERLINK("https://klasma.github.io/Logging_1446/klagomål/A 18567-2026 FSC-klagomål.docx", "A 18567-2026")</f>
        <v/>
      </c>
      <c r="AB28">
        <f>HYPERLINK("https://klasma.github.io/Logging_1446/klagomålsmail/A 18567-2026 FSC-klagomål mail.docx", "A 18567-2026")</f>
        <v/>
      </c>
      <c r="AC28">
        <f>HYPERLINK("https://klasma.github.io/Logging_1446/tillsyn/A 18567-2026 tillsynsbegäran.docx", "A 18567-2026")</f>
        <v/>
      </c>
      <c r="AD28">
        <f>HYPERLINK("https://klasma.github.io/Logging_1446/tillsynsmail/A 18567-2026 tillsynsbegäran mail.docx", "A 18567-2026")</f>
        <v/>
      </c>
    </row>
    <row r="29" ht="15" customHeight="1">
      <c r="A29" t="inlineStr">
        <is>
          <t>A 29484-2025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45824</v>
      </c>
      <c r="E29" s="1" t="n">
        <v>46254</v>
      </c>
      <c r="F29" t="inlineStr">
        <is>
          <t>VÄSTRA GÖTALANDS LÄN</t>
        </is>
      </c>
      <c r="G29" t="inlineStr">
        <is>
          <t>KARLSBORG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Blåsippa</t>
        </is>
      </c>
      <c r="W29">
        <f>HYPERLINK("https://klasma.github.io/Logging_1446/artfynd/A 29484-2025 artfynd.xlsx", "A 29484-2025")</f>
        <v/>
      </c>
      <c r="X29">
        <f>HYPERLINK("https://klasma.github.io/Logging_1446/kartor/A 29484-2025 karta.png", "A 29484-2025")</f>
        <v/>
      </c>
      <c r="Y29">
        <f>HYPERLINK("https://klasma.github.io/Logging_1446/kartor_geotiff/A 29484-2025 georefererad karta.tif", "A 29484-2025")</f>
        <v/>
      </c>
      <c r="AA29">
        <f>HYPERLINK("https://klasma.github.io/Logging_1446/klagomål/A 29484-2025 FSC-klagomål.docx", "A 29484-2025")</f>
        <v/>
      </c>
      <c r="AB29">
        <f>HYPERLINK("https://klasma.github.io/Logging_1446/klagomålsmail/A 29484-2025 FSC-klagomål mail.docx", "A 29484-2025")</f>
        <v/>
      </c>
      <c r="AC29">
        <f>HYPERLINK("https://klasma.github.io/Logging_1446/tillsyn/A 29484-2025 tillsynsbegäran.docx", "A 29484-2025")</f>
        <v/>
      </c>
      <c r="AD29">
        <f>HYPERLINK("https://klasma.github.io/Logging_1446/tillsynsmail/A 29484-2025 tillsynsbegäran mail.docx", "A 29484-2025")</f>
        <v/>
      </c>
    </row>
    <row r="30" ht="15" customHeight="1">
      <c r="A30" t="inlineStr">
        <is>
          <t>A 8984-2025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46254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Övriga Aktiebolag</t>
        </is>
      </c>
      <c r="I30" t="n">
        <v>9.5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Tjäder</t>
        </is>
      </c>
      <c r="W30">
        <f>HYPERLINK("https://klasma.github.io/Logging_1446/artfynd/A 8984-2025 artfynd.xlsx", "A 8984-2025")</f>
        <v/>
      </c>
      <c r="X30">
        <f>HYPERLINK("https://klasma.github.io/Logging_1446/kartor/A 8984-2025 karta.png", "A 8984-2025")</f>
        <v/>
      </c>
      <c r="Y30">
        <f>HYPERLINK("https://klasma.github.io/Logging_1446/kartor_geotiff/A 8984-2025 georefererad karta.tif", "A 8984-2025")</f>
        <v/>
      </c>
      <c r="AA30">
        <f>HYPERLINK("https://klasma.github.io/Logging_1446/klagomål/A 8984-2025 FSC-klagomål.docx", "A 8984-2025")</f>
        <v/>
      </c>
      <c r="AB30">
        <f>HYPERLINK("https://klasma.github.io/Logging_1446/klagomålsmail/A 8984-2025 FSC-klagomål mail.docx", "A 8984-2025")</f>
        <v/>
      </c>
      <c r="AC30">
        <f>HYPERLINK("https://klasma.github.io/Logging_1446/tillsyn/A 8984-2025 tillsynsbegäran.docx", "A 8984-2025")</f>
        <v/>
      </c>
      <c r="AD30">
        <f>HYPERLINK("https://klasma.github.io/Logging_1446/tillsynsmail/A 8984-2025 tillsynsbegäran mail.docx", "A 8984-2025")</f>
        <v/>
      </c>
      <c r="AE30">
        <f>HYPERLINK("https://klasma.github.io/Logging_1446/fåglar/A 8984-2025 prioriterade fågelarter.docx", "A 8984-2025")</f>
        <v/>
      </c>
    </row>
    <row r="31" ht="15" customHeight="1">
      <c r="A31" t="inlineStr">
        <is>
          <t>A 28315-2025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45818</v>
      </c>
      <c r="E31" s="1" t="n">
        <v>46254</v>
      </c>
      <c r="F31" t="inlineStr">
        <is>
          <t>VÄSTRA GÖTALANDS LÄN</t>
        </is>
      </c>
      <c r="G31" t="inlineStr">
        <is>
          <t>KARLSBORG</t>
        </is>
      </c>
      <c r="I31" t="n">
        <v>2.3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Rostfläck</t>
        </is>
      </c>
      <c r="W31">
        <f>HYPERLINK("https://klasma.github.io/Logging_1446/artfynd/A 28315-2025 artfynd.xlsx", "A 28315-2025")</f>
        <v/>
      </c>
      <c r="X31">
        <f>HYPERLINK("https://klasma.github.io/Logging_1446/kartor/A 28315-2025 karta.png", "A 28315-2025")</f>
        <v/>
      </c>
      <c r="Y31">
        <f>HYPERLINK("https://klasma.github.io/Logging_1446/kartor_geotiff/A 28315-2025 georefererad karta.tif", "A 28315-2025")</f>
        <v/>
      </c>
      <c r="AA31">
        <f>HYPERLINK("https://klasma.github.io/Logging_1446/klagomål/A 28315-2025 FSC-klagomål.docx", "A 28315-2025")</f>
        <v/>
      </c>
      <c r="AB31">
        <f>HYPERLINK("https://klasma.github.io/Logging_1446/klagomålsmail/A 28315-2025 FSC-klagomål mail.docx", "A 28315-2025")</f>
        <v/>
      </c>
      <c r="AC31">
        <f>HYPERLINK("https://klasma.github.io/Logging_1446/tillsyn/A 28315-2025 tillsynsbegäran.docx", "A 28315-2025")</f>
        <v/>
      </c>
      <c r="AD31">
        <f>HYPERLINK("https://klasma.github.io/Logging_1446/tillsynsmail/A 28315-2025 tillsynsbegäran mail.docx", "A 28315-2025")</f>
        <v/>
      </c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46254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66556-2021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44519</v>
      </c>
      <c r="E33" s="1" t="n">
        <v>46254</v>
      </c>
      <c r="F33" t="inlineStr">
        <is>
          <t>VÄSTRA GÖTALANDS LÄN</t>
        </is>
      </c>
      <c r="G33" t="inlineStr">
        <is>
          <t>KARLSBORG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46254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46254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46254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46254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46254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46254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46254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46254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46254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46254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46254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46254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46254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23469-2024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45453</v>
      </c>
      <c r="E47" s="1" t="n">
        <v>46254</v>
      </c>
      <c r="F47" t="inlineStr">
        <is>
          <t>VÄSTRA GÖTALANDS LÄN</t>
        </is>
      </c>
      <c r="G47" t="inlineStr">
        <is>
          <t>KARLSBORG</t>
        </is>
      </c>
      <c r="I47" t="n">
        <v>8.300000000000001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5439-2022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44595</v>
      </c>
      <c r="E48" s="1" t="n">
        <v>46254</v>
      </c>
      <c r="F48" t="inlineStr">
        <is>
          <t>VÄSTRA GÖTALANDS LÄN</t>
        </is>
      </c>
      <c r="G48" t="inlineStr">
        <is>
          <t>KARLSBORG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45002</v>
      </c>
      <c r="E49" s="1" t="n">
        <v>46254</v>
      </c>
      <c r="F49" t="inlineStr">
        <is>
          <t>VÄSTRA GÖTALANDS LÄN</t>
        </is>
      </c>
      <c r="G49" t="inlineStr">
        <is>
          <t>KARLSBORG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34120-2024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46254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34123-2024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45524</v>
      </c>
      <c r="E51" s="1" t="n">
        <v>46254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38073-2023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45160</v>
      </c>
      <c r="E52" s="1" t="n">
        <v>46254</v>
      </c>
      <c r="F52" t="inlineStr">
        <is>
          <t>VÄSTRA GÖTALANDS LÄN</t>
        </is>
      </c>
      <c r="G52" t="inlineStr">
        <is>
          <t>KARLSBORG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70945-2021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46254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Övriga Aktiebolag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42757-2024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45566</v>
      </c>
      <c r="E54" s="1" t="n">
        <v>46254</v>
      </c>
      <c r="F54" t="inlineStr">
        <is>
          <t>VÄSTRA GÖTALANDS LÄN</t>
        </is>
      </c>
      <c r="G54" t="inlineStr">
        <is>
          <t>KARLSBORG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57454-2024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45630</v>
      </c>
      <c r="E55" s="1" t="n">
        <v>46254</v>
      </c>
      <c r="F55" t="inlineStr">
        <is>
          <t>VÄSTRA GÖTALANDS LÄN</t>
        </is>
      </c>
      <c r="G55" t="inlineStr">
        <is>
          <t>KARLSBORG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56541-2023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46254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Sveaskog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39285-2023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45166</v>
      </c>
      <c r="E57" s="1" t="n">
        <v>46254</v>
      </c>
      <c r="F57" t="inlineStr">
        <is>
          <t>VÄSTRA GÖTALANDS LÄN</t>
        </is>
      </c>
      <c r="G57" t="inlineStr">
        <is>
          <t>KARLSBORG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39287-2023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45166</v>
      </c>
      <c r="E58" s="1" t="n">
        <v>46254</v>
      </c>
      <c r="F58" t="inlineStr">
        <is>
          <t>VÄSTRA GÖTALANDS LÄN</t>
        </is>
      </c>
      <c r="G58" t="inlineStr">
        <is>
          <t>KARLSBORG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62304-2021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46254</v>
      </c>
      <c r="F59" t="inlineStr">
        <is>
          <t>VÄSTRA GÖTALANDS LÄN</t>
        </is>
      </c>
      <c r="G59" t="inlineStr">
        <is>
          <t>KARLSBORG</t>
        </is>
      </c>
      <c r="H59" t="inlineStr">
        <is>
          <t>Sveaskog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14514-2024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45394</v>
      </c>
      <c r="E60" s="1" t="n">
        <v>46254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25696-2023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46254</v>
      </c>
      <c r="F61" t="inlineStr">
        <is>
          <t>VÄSTRA GÖTALANDS LÄN</t>
        </is>
      </c>
      <c r="G61" t="inlineStr">
        <is>
          <t>KARLSBORG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28528-2024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45478</v>
      </c>
      <c r="E62" s="1" t="n">
        <v>46254</v>
      </c>
      <c r="F62" t="inlineStr">
        <is>
          <t>VÄSTRA GÖTALANDS LÄN</t>
        </is>
      </c>
      <c r="G62" t="inlineStr">
        <is>
          <t>KARLSBORG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44577-2023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45183</v>
      </c>
      <c r="E63" s="1" t="n">
        <v>46254</v>
      </c>
      <c r="F63" t="inlineStr">
        <is>
          <t>VÄSTRA GÖTALANDS LÄN</t>
        </is>
      </c>
      <c r="G63" t="inlineStr">
        <is>
          <t>KARLSBORG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46254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51111-2024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45603</v>
      </c>
      <c r="E65" s="1" t="n">
        <v>46254</v>
      </c>
      <c r="F65" t="inlineStr">
        <is>
          <t>VÄSTRA GÖTALANDS LÄN</t>
        </is>
      </c>
      <c r="G65" t="inlineStr">
        <is>
          <t>KARLSBORG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58127-2024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45632</v>
      </c>
      <c r="E66" s="1" t="n">
        <v>46254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Sveaskog</t>
        </is>
      </c>
      <c r="I66" t="n">
        <v>5.8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13077-2023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45002</v>
      </c>
      <c r="E67" s="1" t="n">
        <v>46254</v>
      </c>
      <c r="F67" t="inlineStr">
        <is>
          <t>VÄSTRA GÖTALANDS LÄN</t>
        </is>
      </c>
      <c r="G67" t="inlineStr">
        <is>
          <t>KARLSBORG</t>
        </is>
      </c>
      <c r="I67" t="n">
        <v>6.6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59887-2021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44494</v>
      </c>
      <c r="E68" s="1" t="n">
        <v>46254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Övriga statliga verk och myndigheter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46254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59845-2023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45257</v>
      </c>
      <c r="E70" s="1" t="n">
        <v>46254</v>
      </c>
      <c r="F70" t="inlineStr">
        <is>
          <t>VÄSTRA GÖTALANDS LÄN</t>
        </is>
      </c>
      <c r="G70" t="inlineStr">
        <is>
          <t>KARLSBORG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45742</v>
      </c>
      <c r="E71" s="1" t="n">
        <v>46254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70783-2021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44537</v>
      </c>
      <c r="E72" s="1" t="n">
        <v>46254</v>
      </c>
      <c r="F72" t="inlineStr">
        <is>
          <t>VÄSTRA GÖTALANDS LÄN</t>
        </is>
      </c>
      <c r="G72" t="inlineStr">
        <is>
          <t>KARLSBORG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57235-2022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44895</v>
      </c>
      <c r="E73" s="1" t="n">
        <v>46254</v>
      </c>
      <c r="F73" t="inlineStr">
        <is>
          <t>VÄSTRA GÖTALANDS LÄN</t>
        </is>
      </c>
      <c r="G73" t="inlineStr">
        <is>
          <t>KARLSBORG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44985-2024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45575</v>
      </c>
      <c r="E74" s="1" t="n">
        <v>46254</v>
      </c>
      <c r="F74" t="inlineStr">
        <is>
          <t>VÄSTRA GÖTALANDS LÄN</t>
        </is>
      </c>
      <c r="G74" t="inlineStr">
        <is>
          <t>KARLSBORG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15220-2023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46254</v>
      </c>
      <c r="F75" t="inlineStr">
        <is>
          <t>VÄSTRA GÖTALANDS LÄN</t>
        </is>
      </c>
      <c r="G75" t="inlineStr">
        <is>
          <t>KARLSBORG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46254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8052-2023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46254</v>
      </c>
      <c r="F77" t="inlineStr">
        <is>
          <t>VÄSTRA GÖTALANDS LÄN</t>
        </is>
      </c>
      <c r="G77" t="inlineStr">
        <is>
          <t>KARLSBORG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8053-2023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44974</v>
      </c>
      <c r="E78" s="1" t="n">
        <v>46254</v>
      </c>
      <c r="F78" t="inlineStr">
        <is>
          <t>VÄSTRA GÖTALANDS LÄN</t>
        </is>
      </c>
      <c r="G78" t="inlineStr">
        <is>
          <t>KARLSBORG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40129-2023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45169</v>
      </c>
      <c r="E79" s="1" t="n">
        <v>46254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Övriga Aktiebolag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43021-2021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44431</v>
      </c>
      <c r="E80" s="1" t="n">
        <v>46254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48175-2024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45589</v>
      </c>
      <c r="E81" s="1" t="n">
        <v>46254</v>
      </c>
      <c r="F81" t="inlineStr">
        <is>
          <t>VÄSTRA GÖTALANDS LÄN</t>
        </is>
      </c>
      <c r="G81" t="inlineStr">
        <is>
          <t>KARLSBORG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45394</v>
      </c>
      <c r="E82" s="1" t="n">
        <v>46254</v>
      </c>
      <c r="F82" t="inlineStr">
        <is>
          <t>VÄSTRA GÖTALANDS LÄN</t>
        </is>
      </c>
      <c r="G82" t="inlineStr">
        <is>
          <t>KARLSBORG</t>
        </is>
      </c>
      <c r="H82" t="inlineStr">
        <is>
          <t>Sveaskog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59401-2022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44906</v>
      </c>
      <c r="E83" s="1" t="n">
        <v>46254</v>
      </c>
      <c r="F83" t="inlineStr">
        <is>
          <t>VÄSTRA GÖTALANDS LÄN</t>
        </is>
      </c>
      <c r="G83" t="inlineStr">
        <is>
          <t>KARLSBORG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18623-2022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44687</v>
      </c>
      <c r="E84" s="1" t="n">
        <v>46254</v>
      </c>
      <c r="F84" t="inlineStr">
        <is>
          <t>VÄSTRA GÖTALANDS LÄN</t>
        </is>
      </c>
      <c r="G84" t="inlineStr">
        <is>
          <t>KARLSBORG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44944</v>
      </c>
      <c r="E85" s="1" t="n">
        <v>46254</v>
      </c>
      <c r="F85" t="inlineStr">
        <is>
          <t>VÄSTRA GÖTALANDS LÄN</t>
        </is>
      </c>
      <c r="G85" t="inlineStr">
        <is>
          <t>KARLSBORG</t>
        </is>
      </c>
      <c r="H85" t="inlineStr">
        <is>
          <t>Övriga Aktiebolag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44937</v>
      </c>
      <c r="E86" s="1" t="n">
        <v>46254</v>
      </c>
      <c r="F86" t="inlineStr">
        <is>
          <t>VÄSTRA GÖTALANDS LÄN</t>
        </is>
      </c>
      <c r="G86" t="inlineStr">
        <is>
          <t>KARLSBORG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45566</v>
      </c>
      <c r="E87" s="1" t="n">
        <v>46254</v>
      </c>
      <c r="F87" t="inlineStr">
        <is>
          <t>VÄSTRA GÖTALANDS LÄN</t>
        </is>
      </c>
      <c r="G87" t="inlineStr">
        <is>
          <t>KARLSBORG</t>
        </is>
      </c>
      <c r="I87" t="n">
        <v>5.9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53251-2024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45614</v>
      </c>
      <c r="E88" s="1" t="n">
        <v>46254</v>
      </c>
      <c r="F88" t="inlineStr">
        <is>
          <t>VÄSTRA GÖTALANDS LÄN</t>
        </is>
      </c>
      <c r="G88" t="inlineStr">
        <is>
          <t>KARLSBORG</t>
        </is>
      </c>
      <c r="I88" t="n">
        <v>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41684-2023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46254</v>
      </c>
      <c r="F89" t="inlineStr">
        <is>
          <t>VÄSTRA GÖTALANDS LÄN</t>
        </is>
      </c>
      <c r="G89" t="inlineStr">
        <is>
          <t>KARLSBORG</t>
        </is>
      </c>
      <c r="I89" t="n">
        <v>7.3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34314-2024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45524</v>
      </c>
      <c r="E90" s="1" t="n">
        <v>46254</v>
      </c>
      <c r="F90" t="inlineStr">
        <is>
          <t>VÄSTRA GÖTALANDS LÄN</t>
        </is>
      </c>
      <c r="G90" t="inlineStr">
        <is>
          <t>KARLSBORG</t>
        </is>
      </c>
      <c r="H90" t="inlineStr">
        <is>
          <t>Övriga Aktiebolag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44944</v>
      </c>
      <c r="E91" s="1" t="n">
        <v>46254</v>
      </c>
      <c r="F91" t="inlineStr">
        <is>
          <t>VÄSTRA GÖTALANDS LÄN</t>
        </is>
      </c>
      <c r="G91" t="inlineStr">
        <is>
          <t>KARLSBORG</t>
        </is>
      </c>
      <c r="H91" t="inlineStr">
        <is>
          <t>Övriga Aktiebolag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10828-2024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45369</v>
      </c>
      <c r="E92" s="1" t="n">
        <v>46254</v>
      </c>
      <c r="F92" t="inlineStr">
        <is>
          <t>VÄSTRA GÖTALANDS LÄN</t>
        </is>
      </c>
      <c r="G92" t="inlineStr">
        <is>
          <t>KARLSBORG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26914-2024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45470</v>
      </c>
      <c r="E93" s="1" t="n">
        <v>46254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7.1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33122-2022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44785</v>
      </c>
      <c r="E94" s="1" t="n">
        <v>46254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35441-2024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45531</v>
      </c>
      <c r="E95" s="1" t="n">
        <v>46254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9.800000000000001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34670-2022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44795</v>
      </c>
      <c r="E96" s="1" t="n">
        <v>46254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25999-2023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45090</v>
      </c>
      <c r="E97" s="1" t="n">
        <v>46254</v>
      </c>
      <c r="F97" t="inlineStr">
        <is>
          <t>VÄSTRA GÖTALANDS LÄN</t>
        </is>
      </c>
      <c r="G97" t="inlineStr">
        <is>
          <t>KARLSBORG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41937-2024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45561</v>
      </c>
      <c r="E98" s="1" t="n">
        <v>46254</v>
      </c>
      <c r="F98" t="inlineStr">
        <is>
          <t>VÄSTRA GÖTALANDS LÄN</t>
        </is>
      </c>
      <c r="G98" t="inlineStr">
        <is>
          <t>KARLSBORG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28460-2023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46254</v>
      </c>
      <c r="F99" t="inlineStr">
        <is>
          <t>VÄSTRA GÖTALANDS LÄN</t>
        </is>
      </c>
      <c r="G99" t="inlineStr">
        <is>
          <t>KARLSBORG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29490-2025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45824</v>
      </c>
      <c r="E100" s="1" t="n">
        <v>46254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Övriga Aktiebolag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24594-2022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44727</v>
      </c>
      <c r="E101" s="1" t="n">
        <v>46254</v>
      </c>
      <c r="F101" t="inlineStr">
        <is>
          <t>VÄSTRA GÖTALANDS LÄN</t>
        </is>
      </c>
      <c r="G101" t="inlineStr">
        <is>
          <t>KARLSBORG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54444-2023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46254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41350-2025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45899</v>
      </c>
      <c r="E103" s="1" t="n">
        <v>46254</v>
      </c>
      <c r="F103" t="inlineStr">
        <is>
          <t>VÄSTRA GÖTALANDS LÄN</t>
        </is>
      </c>
      <c r="G103" t="inlineStr">
        <is>
          <t>KARLSBORG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21014-2026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46143</v>
      </c>
      <c r="E104" s="1" t="n">
        <v>46254</v>
      </c>
      <c r="F104" t="inlineStr">
        <is>
          <t>VÄSTRA GÖTALANDS LÄN</t>
        </is>
      </c>
      <c r="G104" t="inlineStr">
        <is>
          <t>KARLSBORG</t>
        </is>
      </c>
      <c r="I104" t="n">
        <v>14.6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20940-2026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46142</v>
      </c>
      <c r="E105" s="1" t="n">
        <v>46254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Sveaskog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30136-2024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45489</v>
      </c>
      <c r="E106" s="1" t="n">
        <v>46254</v>
      </c>
      <c r="F106" t="inlineStr">
        <is>
          <t>VÄSTRA GÖTALANDS LÄN</t>
        </is>
      </c>
      <c r="G106" t="inlineStr">
        <is>
          <t>KARLSBORG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14738-2025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45742</v>
      </c>
      <c r="E107" s="1" t="n">
        <v>46254</v>
      </c>
      <c r="F107" t="inlineStr">
        <is>
          <t>VÄSTRA GÖTALANDS LÄN</t>
        </is>
      </c>
      <c r="G107" t="inlineStr">
        <is>
          <t>KARLSBORG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21988-2026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46254</v>
      </c>
      <c r="F108" t="inlineStr">
        <is>
          <t>VÄSTRA GÖTALANDS LÄN</t>
        </is>
      </c>
      <c r="G108" t="inlineStr">
        <is>
          <t>KARLSBORG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65313-2021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44515</v>
      </c>
      <c r="E109" s="1" t="n">
        <v>46254</v>
      </c>
      <c r="F109" t="inlineStr">
        <is>
          <t>VÄSTRA GÖTALANDS LÄN</t>
        </is>
      </c>
      <c r="G109" t="inlineStr">
        <is>
          <t>KARLSBORG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42757-2025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45908</v>
      </c>
      <c r="E110" s="1" t="n">
        <v>46254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Kyrkan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26017-2023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45090</v>
      </c>
      <c r="E111" s="1" t="n">
        <v>46254</v>
      </c>
      <c r="F111" t="inlineStr">
        <is>
          <t>VÄSTRA GÖTALANDS LÄN</t>
        </is>
      </c>
      <c r="G111" t="inlineStr">
        <is>
          <t>KARLSBORG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45218</v>
      </c>
      <c r="E112" s="1" t="n">
        <v>46254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39699-2025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45890</v>
      </c>
      <c r="E113" s="1" t="n">
        <v>46254</v>
      </c>
      <c r="F113" t="inlineStr">
        <is>
          <t>VÄSTRA GÖTALANDS LÄN</t>
        </is>
      </c>
      <c r="G113" t="inlineStr">
        <is>
          <t>KARLSBORG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10415-2025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46254</v>
      </c>
      <c r="F114" t="inlineStr">
        <is>
          <t>VÄSTRA GÖTALANDS LÄN</t>
        </is>
      </c>
      <c r="G114" t="inlineStr">
        <is>
          <t>KARLSBORG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57915-2024</t>
        </is>
      </c>
      <c r="B115" t="inlineStr">
        <is>
          <t>avverkningsanmälan</t>
        </is>
      </c>
      <c r="C115" t="inlineStr">
        <is>
          <t>Avverkning för att bevara och utveckla /försöksver</t>
        </is>
      </c>
      <c r="D115" s="1" t="n">
        <v>45631</v>
      </c>
      <c r="E115" s="1" t="n">
        <v>46254</v>
      </c>
      <c r="F115" t="inlineStr">
        <is>
          <t>VÄSTRA GÖTALANDS LÄN</t>
        </is>
      </c>
      <c r="G115" t="inlineStr">
        <is>
          <t>KARLSBORG</t>
        </is>
      </c>
      <c r="H115" t="inlineStr">
        <is>
          <t>Sveaskog</t>
        </is>
      </c>
      <c r="I115" t="n">
        <v>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41943-2024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45561</v>
      </c>
      <c r="E116" s="1" t="n">
        <v>46254</v>
      </c>
      <c r="F116" t="inlineStr">
        <is>
          <t>VÄSTRA GÖTALANDS LÄN</t>
        </is>
      </c>
      <c r="G116" t="inlineStr">
        <is>
          <t>KARLSBORG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44366-2025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45916</v>
      </c>
      <c r="E117" s="1" t="n">
        <v>46254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Kyrkan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45247-2025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45919</v>
      </c>
      <c r="E118" s="1" t="n">
        <v>46254</v>
      </c>
      <c r="F118" t="inlineStr">
        <is>
          <t>VÄSTRA GÖTALANDS LÄN</t>
        </is>
      </c>
      <c r="G118" t="inlineStr">
        <is>
          <t>KARLSBORG</t>
        </is>
      </c>
      <c r="I118" t="n">
        <v>5.1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45256-2025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45919</v>
      </c>
      <c r="E119" s="1" t="n">
        <v>46254</v>
      </c>
      <c r="F119" t="inlineStr">
        <is>
          <t>VÄSTRA GÖTALANDS LÄN</t>
        </is>
      </c>
      <c r="G119" t="inlineStr">
        <is>
          <t>KARLSBORG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13252-2024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46254</v>
      </c>
      <c r="F120" t="inlineStr">
        <is>
          <t>VÄSTRA GÖTALANDS LÄN</t>
        </is>
      </c>
      <c r="G120" t="inlineStr">
        <is>
          <t>KARLSBORG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59045-2023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45252</v>
      </c>
      <c r="E121" s="1" t="n">
        <v>46254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24541-2026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46170</v>
      </c>
      <c r="E122" s="1" t="n">
        <v>46254</v>
      </c>
      <c r="F122" t="inlineStr">
        <is>
          <t>VÄSTRA GÖTALANDS LÄN</t>
        </is>
      </c>
      <c r="G122" t="inlineStr">
        <is>
          <t>KARLSBORG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59399-2022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44906</v>
      </c>
      <c r="E123" s="1" t="n">
        <v>46254</v>
      </c>
      <c r="F123" t="inlineStr">
        <is>
          <t>VÄSTRA GÖTALANDS LÄN</t>
        </is>
      </c>
      <c r="G123" t="inlineStr">
        <is>
          <t>KARLSBORG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24724-2026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46171</v>
      </c>
      <c r="E124" s="1" t="n">
        <v>46254</v>
      </c>
      <c r="F124" t="inlineStr">
        <is>
          <t>VÄSTRA GÖTALANDS LÄN</t>
        </is>
      </c>
      <c r="G124" t="inlineStr">
        <is>
          <t>KARLSBORG</t>
        </is>
      </c>
      <c r="H124" t="inlineStr">
        <is>
          <t>Sveaskog</t>
        </is>
      </c>
      <c r="I124" t="n">
        <v>6.5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24725-2026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46171</v>
      </c>
      <c r="E125" s="1" t="n">
        <v>46254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Sveaskog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48888-2023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45209</v>
      </c>
      <c r="E126" s="1" t="n">
        <v>46254</v>
      </c>
      <c r="F126" t="inlineStr">
        <is>
          <t>VÄSTRA GÖTALANDS LÄN</t>
        </is>
      </c>
      <c r="G126" t="inlineStr">
        <is>
          <t>KARLSBORG</t>
        </is>
      </c>
      <c r="I126" t="n">
        <v>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47265-2025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45930</v>
      </c>
      <c r="E127" s="1" t="n">
        <v>46254</v>
      </c>
      <c r="F127" t="inlineStr">
        <is>
          <t>VÄSTRA GÖTALANDS LÄN</t>
        </is>
      </c>
      <c r="G127" t="inlineStr">
        <is>
          <t>KARLSBORG</t>
        </is>
      </c>
      <c r="I127" t="n">
        <v>4.8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47262-2025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45930</v>
      </c>
      <c r="E128" s="1" t="n">
        <v>46254</v>
      </c>
      <c r="F128" t="inlineStr">
        <is>
          <t>VÄSTRA GÖTALANDS LÄN</t>
        </is>
      </c>
      <c r="G128" t="inlineStr">
        <is>
          <t>KARLSBORG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48174-2024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45589</v>
      </c>
      <c r="E129" s="1" t="n">
        <v>46254</v>
      </c>
      <c r="F129" t="inlineStr">
        <is>
          <t>VÄSTRA GÖTALANDS LÄN</t>
        </is>
      </c>
      <c r="G129" t="inlineStr">
        <is>
          <t>KARLSBORG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44972</v>
      </c>
      <c r="E130" s="1" t="n">
        <v>46254</v>
      </c>
      <c r="F130" t="inlineStr">
        <is>
          <t>VÄSTRA GÖTALANDS LÄN</t>
        </is>
      </c>
      <c r="G130" t="inlineStr">
        <is>
          <t>KARLSBORG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48129-2025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45933</v>
      </c>
      <c r="E131" s="1" t="n">
        <v>46254</v>
      </c>
      <c r="F131" t="inlineStr">
        <is>
          <t>VÄSTRA GÖTALANDS LÄN</t>
        </is>
      </c>
      <c r="G131" t="inlineStr">
        <is>
          <t>KARLSBORG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23500-2023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45076</v>
      </c>
      <c r="E132" s="1" t="n">
        <v>46254</v>
      </c>
      <c r="F132" t="inlineStr">
        <is>
          <t>VÄSTRA GÖTALANDS LÄN</t>
        </is>
      </c>
      <c r="G132" t="inlineStr">
        <is>
          <t>KARLSBORG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61542-2023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45265</v>
      </c>
      <c r="E133" s="1" t="n">
        <v>46254</v>
      </c>
      <c r="F133" t="inlineStr">
        <is>
          <t>VÄSTRA GÖTALANDS LÄN</t>
        </is>
      </c>
      <c r="G133" t="inlineStr">
        <is>
          <t>KARLSBORG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25977-2026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46181</v>
      </c>
      <c r="E134" s="1" t="n">
        <v>46254</v>
      </c>
      <c r="F134" t="inlineStr">
        <is>
          <t>VÄSTRA GÖTALANDS LÄN</t>
        </is>
      </c>
      <c r="G134" t="inlineStr">
        <is>
          <t>KARLSBORG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49985-2025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45942</v>
      </c>
      <c r="E135" s="1" t="n">
        <v>46254</v>
      </c>
      <c r="F135" t="inlineStr">
        <is>
          <t>VÄSTRA GÖTALANDS LÄN</t>
        </is>
      </c>
      <c r="G135" t="inlineStr">
        <is>
          <t>KARLSBORG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42661-2021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44428</v>
      </c>
      <c r="E136" s="1" t="n">
        <v>46254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Kyrkan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27332-2026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46188</v>
      </c>
      <c r="E137" s="1" t="n">
        <v>46254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27349-2026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46188</v>
      </c>
      <c r="E138" s="1" t="n">
        <v>46254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Sveaskog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49866-2025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45940</v>
      </c>
      <c r="E139" s="1" t="n">
        <v>46254</v>
      </c>
      <c r="F139" t="inlineStr">
        <is>
          <t>VÄSTRA GÖTALANDS LÄN</t>
        </is>
      </c>
      <c r="G139" t="inlineStr">
        <is>
          <t>KARLSBORG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31798-2026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46230</v>
      </c>
      <c r="E140" s="1" t="n">
        <v>46254</v>
      </c>
      <c r="F140" t="inlineStr">
        <is>
          <t>VÄSTRA GÖTALANDS LÄN</t>
        </is>
      </c>
      <c r="G140" t="inlineStr">
        <is>
          <t>KARLSBORG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27333-2026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46188</v>
      </c>
      <c r="E141" s="1" t="n">
        <v>46254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27906-2026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46191</v>
      </c>
      <c r="E142" s="1" t="n">
        <v>46254</v>
      </c>
      <c r="F142" t="inlineStr">
        <is>
          <t>VÄSTRA GÖTALANDS LÄN</t>
        </is>
      </c>
      <c r="G142" t="inlineStr">
        <is>
          <t>KARLSBORG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58533-2023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45251</v>
      </c>
      <c r="E143" s="1" t="n">
        <v>46254</v>
      </c>
      <c r="F143" t="inlineStr">
        <is>
          <t>VÄSTRA GÖTALANDS LÄN</t>
        </is>
      </c>
      <c r="G143" t="inlineStr">
        <is>
          <t>KARLSBORG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44900</v>
      </c>
      <c r="E144" s="1" t="n">
        <v>46254</v>
      </c>
      <c r="F144" t="inlineStr">
        <is>
          <t>VÄSTRA GÖTALANDS LÄN</t>
        </is>
      </c>
      <c r="G144" t="inlineStr">
        <is>
          <t>KARLSBORG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37363-2022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44809</v>
      </c>
      <c r="E145" s="1" t="n">
        <v>46254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Sveaskog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29357-2024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45483</v>
      </c>
      <c r="E146" s="1" t="n">
        <v>46254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Sveaskog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46254</v>
      </c>
      <c r="F147" t="inlineStr">
        <is>
          <t>VÄSTRA GÖTALANDS LÄN</t>
        </is>
      </c>
      <c r="G147" t="inlineStr">
        <is>
          <t>KARLSBORG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53247-2023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45229</v>
      </c>
      <c r="E148" s="1" t="n">
        <v>46254</v>
      </c>
      <c r="F148" t="inlineStr">
        <is>
          <t>VÄSTRA GÖTALANDS LÄN</t>
        </is>
      </c>
      <c r="G148" t="inlineStr">
        <is>
          <t>KARLSBORG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412-2023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44929</v>
      </c>
      <c r="E149" s="1" t="n">
        <v>46254</v>
      </c>
      <c r="F149" t="inlineStr">
        <is>
          <t>VÄSTRA GÖTALANDS LÄN</t>
        </is>
      </c>
      <c r="G149" t="inlineStr">
        <is>
          <t>KARLSBORG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  <c r="X149">
        <f>HYPERLINK("https://klasma.github.io/Logging_1446/kartor/A 412-2023 karta.png", "A 412-2023")</f>
        <v/>
      </c>
      <c r="Y149">
        <f>HYPERLINK("https://klasma.github.io/Logging_1446/kartor_geotiff/A 412-2023 georefererad karta.tif", "A 412-2023")</f>
        <v/>
      </c>
      <c r="AA149">
        <f>HYPERLINK("https://klasma.github.io/Logging_1446/klagomål/A 412-2023 FSC-klagomål.docx", "A 412-2023")</f>
        <v/>
      </c>
      <c r="AB149">
        <f>HYPERLINK("https://klasma.github.io/Logging_1446/klagomålsmail/A 412-2023 FSC-klagomål mail.docx", "A 412-2023")</f>
        <v/>
      </c>
      <c r="AC149">
        <f>HYPERLINK("https://klasma.github.io/Logging_1446/tillsyn/A 412-2023 tillsynsbegäran.docx", "A 412-2023")</f>
        <v/>
      </c>
      <c r="AD149">
        <f>HYPERLINK("https://klasma.github.io/Logging_1446/tillsynsmail/A 412-2023 tillsynsbegäran mail.docx", "A 412-2023")</f>
        <v/>
      </c>
    </row>
    <row r="150" ht="15" customHeight="1">
      <c r="A150" t="inlineStr">
        <is>
          <t>A 29685-2022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44755</v>
      </c>
      <c r="E150" s="1" t="n">
        <v>46254</v>
      </c>
      <c r="F150" t="inlineStr">
        <is>
          <t>VÄSTRA GÖTALANDS LÄN</t>
        </is>
      </c>
      <c r="G150" t="inlineStr">
        <is>
          <t>KARLSBORG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56110-2025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45973</v>
      </c>
      <c r="E151" s="1" t="n">
        <v>46254</v>
      </c>
      <c r="F151" t="inlineStr">
        <is>
          <t>VÄSTRA GÖTALANDS LÄN</t>
        </is>
      </c>
      <c r="G151" t="inlineStr">
        <is>
          <t>KARLSBORG</t>
        </is>
      </c>
      <c r="I151" t="n">
        <v>6.6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56545-2023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45243</v>
      </c>
      <c r="E152" s="1" t="n">
        <v>46254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30262-2026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46206</v>
      </c>
      <c r="E153" s="1" t="n">
        <v>46254</v>
      </c>
      <c r="F153" t="inlineStr">
        <is>
          <t>VÄSTRA GÖTALANDS LÄN</t>
        </is>
      </c>
      <c r="G153" t="inlineStr">
        <is>
          <t>KARLSBORG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57581-2025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45980</v>
      </c>
      <c r="E154" s="1" t="n">
        <v>46254</v>
      </c>
      <c r="F154" t="inlineStr">
        <is>
          <t>VÄSTRA GÖTALANDS LÄN</t>
        </is>
      </c>
      <c r="G154" t="inlineStr">
        <is>
          <t>KARLSBORG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61211-2022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44908</v>
      </c>
      <c r="E155" s="1" t="n">
        <v>46254</v>
      </c>
      <c r="F155" t="inlineStr">
        <is>
          <t>VÄSTRA GÖTALANDS LÄN</t>
        </is>
      </c>
      <c r="G155" t="inlineStr">
        <is>
          <t>KARLSBORG</t>
        </is>
      </c>
      <c r="I155" t="n">
        <v>8.1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22890-2026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46160</v>
      </c>
      <c r="E156" s="1" t="n">
        <v>46254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30610-2026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46210</v>
      </c>
      <c r="E157" s="1" t="n">
        <v>46254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30609-2026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46210</v>
      </c>
      <c r="E158" s="1" t="n">
        <v>46254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57913-2024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45631</v>
      </c>
      <c r="E159" s="1" t="n">
        <v>46254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7977-2025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46254</v>
      </c>
      <c r="F160" t="inlineStr">
        <is>
          <t>VÄSTRA GÖTALANDS LÄN</t>
        </is>
      </c>
      <c r="G160" t="inlineStr">
        <is>
          <t>KARLSBORG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59111-2025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45988</v>
      </c>
      <c r="E161" s="1" t="n">
        <v>46254</v>
      </c>
      <c r="F161" t="inlineStr">
        <is>
          <t>VÄSTRA GÖTALANDS LÄN</t>
        </is>
      </c>
      <c r="G161" t="inlineStr">
        <is>
          <t>KARLSBORG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59697-2025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45992</v>
      </c>
      <c r="E162" s="1" t="n">
        <v>46254</v>
      </c>
      <c r="F162" t="inlineStr">
        <is>
          <t>VÄSTRA GÖTALANDS LÄN</t>
        </is>
      </c>
      <c r="G162" t="inlineStr">
        <is>
          <t>KARLSBORG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59047-2023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45252</v>
      </c>
      <c r="E163" s="1" t="n">
        <v>46254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7.4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58129-2024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45632</v>
      </c>
      <c r="E164" s="1" t="n">
        <v>46254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14522-2024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45394</v>
      </c>
      <c r="E165" s="1" t="n">
        <v>46254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62068-2025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46006</v>
      </c>
      <c r="E166" s="1" t="n">
        <v>46254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6.6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62072-2025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46006</v>
      </c>
      <c r="E167" s="1" t="n">
        <v>46254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Sveaskog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64011-2025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46021</v>
      </c>
      <c r="E168" s="1" t="n">
        <v>46254</v>
      </c>
      <c r="F168" t="inlineStr">
        <is>
          <t>VÄSTRA GÖTALANDS LÄN</t>
        </is>
      </c>
      <c r="G168" t="inlineStr">
        <is>
          <t>KARLSBORG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64012-2025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46021</v>
      </c>
      <c r="E169" s="1" t="n">
        <v>46254</v>
      </c>
      <c r="F169" t="inlineStr">
        <is>
          <t>VÄSTRA GÖTALANDS LÄN</t>
        </is>
      </c>
      <c r="G169" t="inlineStr">
        <is>
          <t>KARLSBORG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64025-2025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46021</v>
      </c>
      <c r="E170" s="1" t="n">
        <v>46254</v>
      </c>
      <c r="F170" t="inlineStr">
        <is>
          <t>VÄSTRA GÖTALANDS LÄN</t>
        </is>
      </c>
      <c r="G170" t="inlineStr">
        <is>
          <t>KARLSBORG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48884-2023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45209</v>
      </c>
      <c r="E171" s="1" t="n">
        <v>46254</v>
      </c>
      <c r="F171" t="inlineStr">
        <is>
          <t>VÄSTRA GÖTALANDS LÄN</t>
        </is>
      </c>
      <c r="G171" t="inlineStr">
        <is>
          <t>KARLSBORG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59890-2021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44494</v>
      </c>
      <c r="E172" s="1" t="n">
        <v>46254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statliga verk och myndigheter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59404-2022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44906</v>
      </c>
      <c r="E173" s="1" t="n">
        <v>46254</v>
      </c>
      <c r="F173" t="inlineStr">
        <is>
          <t>VÄSTRA GÖTALANDS LÄN</t>
        </is>
      </c>
      <c r="G173" t="inlineStr">
        <is>
          <t>KARLSBORG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4430-2026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46045</v>
      </c>
      <c r="E174" s="1" t="n">
        <v>46254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Aktiebolag</t>
        </is>
      </c>
      <c r="I174" t="n">
        <v>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46045</v>
      </c>
      <c r="E175" s="1" t="n">
        <v>46254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14.3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46045</v>
      </c>
      <c r="E176" s="1" t="n">
        <v>46254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69341-2021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44531</v>
      </c>
      <c r="E177" s="1" t="n">
        <v>46254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25697-2023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45089</v>
      </c>
      <c r="E178" s="1" t="n">
        <v>46254</v>
      </c>
      <c r="F178" t="inlineStr">
        <is>
          <t>VÄSTRA GÖTALANDS LÄN</t>
        </is>
      </c>
      <c r="G178" t="inlineStr">
        <is>
          <t>KARLSBORG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34125-2024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45524</v>
      </c>
      <c r="E179" s="1" t="n">
        <v>46254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Aktiebolag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46052</v>
      </c>
      <c r="E180" s="1" t="n">
        <v>46254</v>
      </c>
      <c r="F180" t="inlineStr">
        <is>
          <t>VÄSTRA GÖTALANDS LÄN</t>
        </is>
      </c>
      <c r="G180" t="inlineStr">
        <is>
          <t>KARLSBORG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6408-2026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46055</v>
      </c>
      <c r="E181" s="1" t="n">
        <v>46254</v>
      </c>
      <c r="F181" t="inlineStr">
        <is>
          <t>VÄSTRA GÖTALANDS LÄN</t>
        </is>
      </c>
      <c r="G181" t="inlineStr">
        <is>
          <t>KARLSBORG</t>
        </is>
      </c>
      <c r="I181" t="n">
        <v>7.3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15396-2024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45401</v>
      </c>
      <c r="E182" s="1" t="n">
        <v>46254</v>
      </c>
      <c r="F182" t="inlineStr">
        <is>
          <t>VÄSTRA GÖTALANDS LÄN</t>
        </is>
      </c>
      <c r="G182" t="inlineStr">
        <is>
          <t>KARLSBORG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63732-2025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46010</v>
      </c>
      <c r="E183" s="1" t="n">
        <v>46254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Övriga statliga verk och myndigheter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63731-2025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46010</v>
      </c>
      <c r="E184" s="1" t="n">
        <v>46254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Övriga statliga verk och myndigheter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63734-2025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46010</v>
      </c>
      <c r="E185" s="1" t="n">
        <v>46254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Övriga statliga verk och myndigheter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63733-2025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46010</v>
      </c>
      <c r="E186" s="1" t="n">
        <v>46254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statliga verk och myndigheter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7644-2026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46062</v>
      </c>
      <c r="E187" s="1" t="n">
        <v>46254</v>
      </c>
      <c r="F187" t="inlineStr">
        <is>
          <t>VÄSTRA GÖTALANDS LÄN</t>
        </is>
      </c>
      <c r="G187" t="inlineStr">
        <is>
          <t>KARLSBORG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9130-2026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46069</v>
      </c>
      <c r="E188" s="1" t="n">
        <v>46254</v>
      </c>
      <c r="F188" t="inlineStr">
        <is>
          <t>VÄSTRA GÖTALANDS LÄN</t>
        </is>
      </c>
      <c r="G188" t="inlineStr">
        <is>
          <t>KARLSBORG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46254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10907-2026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46079</v>
      </c>
      <c r="E190" s="1" t="n">
        <v>46254</v>
      </c>
      <c r="F190" t="inlineStr">
        <is>
          <t>VÄSTRA GÖTALANDS LÄN</t>
        </is>
      </c>
      <c r="G190" t="inlineStr">
        <is>
          <t>KARLSBORG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27823-2023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45098</v>
      </c>
      <c r="E191" s="1" t="n">
        <v>46254</v>
      </c>
      <c r="F191" t="inlineStr">
        <is>
          <t>VÄSTRA GÖTALANDS LÄN</t>
        </is>
      </c>
      <c r="G191" t="inlineStr">
        <is>
          <t>KARLSBORG</t>
        </is>
      </c>
      <c r="I191" t="n">
        <v>6.5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53898-2023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45231</v>
      </c>
      <c r="E192" s="1" t="n">
        <v>46254</v>
      </c>
      <c r="F192" t="inlineStr">
        <is>
          <t>VÄSTRA GÖTALANDS LÄN</t>
        </is>
      </c>
      <c r="G192" t="inlineStr">
        <is>
          <t>KARLSBORG</t>
        </is>
      </c>
      <c r="I192" t="n">
        <v>9.5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45019-2024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45575</v>
      </c>
      <c r="E193" s="1" t="n">
        <v>46254</v>
      </c>
      <c r="F193" t="inlineStr">
        <is>
          <t>VÄSTRA GÖTALANDS LÄN</t>
        </is>
      </c>
      <c r="G193" t="inlineStr">
        <is>
          <t>KARLSBORG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24008-2023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45078</v>
      </c>
      <c r="E194" s="1" t="n">
        <v>46254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42825-2024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45566</v>
      </c>
      <c r="E195" s="1" t="n">
        <v>46254</v>
      </c>
      <c r="F195" t="inlineStr">
        <is>
          <t>VÄSTRA GÖTALANDS LÄN</t>
        </is>
      </c>
      <c r="G195" t="inlineStr">
        <is>
          <t>KARLSBORG</t>
        </is>
      </c>
      <c r="I195" t="n">
        <v>4.8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58573-2023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45251</v>
      </c>
      <c r="E196" s="1" t="n">
        <v>46254</v>
      </c>
      <c r="F196" t="inlineStr">
        <is>
          <t>VÄSTRA GÖTALANDS LÄN</t>
        </is>
      </c>
      <c r="G196" t="inlineStr">
        <is>
          <t>KARLSBORG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37383-2022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44809</v>
      </c>
      <c r="E197" s="1" t="n">
        <v>46254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56495-2023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45243</v>
      </c>
      <c r="E198" s="1" t="n">
        <v>46254</v>
      </c>
      <c r="F198" t="inlineStr">
        <is>
          <t>VÄSTRA GÖTALANDS LÄN</t>
        </is>
      </c>
      <c r="G198" t="inlineStr">
        <is>
          <t>KARLSBORG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2100-2023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44939</v>
      </c>
      <c r="E199" s="1" t="n">
        <v>46254</v>
      </c>
      <c r="F199" t="inlineStr">
        <is>
          <t>VÄSTRA GÖTALANDS LÄN</t>
        </is>
      </c>
      <c r="G199" t="inlineStr">
        <is>
          <t>KARLSBORG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42598-2024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45565</v>
      </c>
      <c r="E200" s="1" t="n">
        <v>46254</v>
      </c>
      <c r="F200" t="inlineStr">
        <is>
          <t>VÄSTRA GÖTALANDS LÄN</t>
        </is>
      </c>
      <c r="G200" t="inlineStr">
        <is>
          <t>KARLSBORG</t>
        </is>
      </c>
      <c r="I200" t="n">
        <v>8.9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40128-2023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45169</v>
      </c>
      <c r="E201" s="1" t="n">
        <v>46254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18564-2026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46127</v>
      </c>
      <c r="E202" s="1" t="n">
        <v>46254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42724-2024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46254</v>
      </c>
      <c r="F203" t="inlineStr">
        <is>
          <t>VÄSTRA GÖTALANDS LÄN</t>
        </is>
      </c>
      <c r="G203" t="inlineStr">
        <is>
          <t>KARLSBORG</t>
        </is>
      </c>
      <c r="I203" t="n">
        <v>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15958-2022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44664</v>
      </c>
      <c r="E204" s="1" t="n">
        <v>46254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Aktiebolag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46254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4433-2026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46045</v>
      </c>
      <c r="E206" s="1" t="n">
        <v>46254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Övriga Aktiebolag</t>
        </is>
      </c>
      <c r="I206" t="n">
        <v>10.2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53898-2021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44469</v>
      </c>
      <c r="E207" s="1" t="n">
        <v>46254</v>
      </c>
      <c r="F207" t="inlineStr">
        <is>
          <t>VÄSTRA GÖTALANDS LÄN</t>
        </is>
      </c>
      <c r="G207" t="inlineStr">
        <is>
          <t>KARLSBORG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45224-2021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44439</v>
      </c>
      <c r="E208" s="1" t="n">
        <v>46254</v>
      </c>
      <c r="F208" t="inlineStr">
        <is>
          <t>VÄSTRA GÖTALANDS LÄN</t>
        </is>
      </c>
      <c r="G208" t="inlineStr">
        <is>
          <t>KARLSBORG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54416-2024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45617</v>
      </c>
      <c r="E209" s="1" t="n">
        <v>46254</v>
      </c>
      <c r="F209" t="inlineStr">
        <is>
          <t>VÄSTRA GÖTALANDS LÄN</t>
        </is>
      </c>
      <c r="G209" t="inlineStr">
        <is>
          <t>KARLSBORG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22435-2025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45786</v>
      </c>
      <c r="E210" s="1" t="n">
        <v>46254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22761-2025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45789</v>
      </c>
      <c r="E211" s="1" t="n">
        <v>46254</v>
      </c>
      <c r="F211" t="inlineStr">
        <is>
          <t>VÄSTRA GÖTALANDS LÄN</t>
        </is>
      </c>
      <c r="G211" t="inlineStr">
        <is>
          <t>KARLSBORG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10667-2025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45721</v>
      </c>
      <c r="E212" s="1" t="n">
        <v>46254</v>
      </c>
      <c r="F212" t="inlineStr">
        <is>
          <t>VÄSTRA GÖTALANDS LÄN</t>
        </is>
      </c>
      <c r="G212" t="inlineStr">
        <is>
          <t>KARLSBORG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17002-2025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45755</v>
      </c>
      <c r="E213" s="1" t="n">
        <v>46254</v>
      </c>
      <c r="F213" t="inlineStr">
        <is>
          <t>VÄSTRA GÖTALANDS LÄN</t>
        </is>
      </c>
      <c r="G213" t="inlineStr">
        <is>
          <t>KARLSBORG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48385-2025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45933</v>
      </c>
      <c r="E214" s="1" t="n">
        <v>46254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9.4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57727-2024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45630</v>
      </c>
      <c r="E215" s="1" t="n">
        <v>46254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Övriga Aktiebolag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45527</v>
      </c>
      <c r="E216" s="1" t="n">
        <v>46254</v>
      </c>
      <c r="F216" t="inlineStr">
        <is>
          <t>VÄSTRA GÖTALANDS LÄN</t>
        </is>
      </c>
      <c r="G216" t="inlineStr">
        <is>
          <t>KARLSBORG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46254</v>
      </c>
      <c r="F217" t="inlineStr">
        <is>
          <t>VÄSTRA GÖTALANDS LÄN</t>
        </is>
      </c>
      <c r="G217" t="inlineStr">
        <is>
          <t>KARLSBORG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25982-2025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45804</v>
      </c>
      <c r="E218" s="1" t="n">
        <v>46254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Övriga Aktiebolag</t>
        </is>
      </c>
      <c r="I218" t="n">
        <v>6.1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7978-2025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45707</v>
      </c>
      <c r="E219" s="1" t="n">
        <v>46254</v>
      </c>
      <c r="F219" t="inlineStr">
        <is>
          <t>VÄSTRA GÖTALANDS LÄN</t>
        </is>
      </c>
      <c r="G219" t="inlineStr">
        <is>
          <t>KARLSBORG</t>
        </is>
      </c>
      <c r="I219" t="n">
        <v>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31770-2025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45834</v>
      </c>
      <c r="E220" s="1" t="n">
        <v>46254</v>
      </c>
      <c r="F220" t="inlineStr">
        <is>
          <t>VÄSTRA GÖTALANDS LÄN</t>
        </is>
      </c>
      <c r="G220" t="inlineStr">
        <is>
          <t>KARLSBORG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32128-2025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45835</v>
      </c>
      <c r="E221" s="1" t="n">
        <v>46254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Sveaskog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31701-2025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45834</v>
      </c>
      <c r="E222" s="1" t="n">
        <v>46254</v>
      </c>
      <c r="F222" t="inlineStr">
        <is>
          <t>VÄSTRA GÖTALANDS LÄN</t>
        </is>
      </c>
      <c r="G222" t="inlineStr">
        <is>
          <t>KARLSBORG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9788-2025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45716</v>
      </c>
      <c r="E223" s="1" t="n">
        <v>46254</v>
      </c>
      <c r="F223" t="inlineStr">
        <is>
          <t>VÄSTRA GÖTALANDS LÄN</t>
        </is>
      </c>
      <c r="G223" t="inlineStr">
        <is>
          <t>KARLSBORG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61559-2023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45265</v>
      </c>
      <c r="E224" s="1" t="n">
        <v>46254</v>
      </c>
      <c r="F224" t="inlineStr">
        <is>
          <t>VÄSTRA GÖTALANDS LÄN</t>
        </is>
      </c>
      <c r="G224" t="inlineStr">
        <is>
          <t>KARLSBORG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35930-2025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45862</v>
      </c>
      <c r="E225" s="1" t="n">
        <v>46254</v>
      </c>
      <c r="F225" t="inlineStr">
        <is>
          <t>VÄSTRA GÖTALANDS LÄN</t>
        </is>
      </c>
      <c r="G225" t="inlineStr">
        <is>
          <t>KARLSBORG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38290-2025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46254</v>
      </c>
      <c r="F226" t="inlineStr">
        <is>
          <t>VÄSTRA GÖTALANDS LÄN</t>
        </is>
      </c>
      <c r="G226" t="inlineStr">
        <is>
          <t>KARLSBORG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S 2395-2024</t>
        </is>
      </c>
      <c r="B227" t="inlineStr">
        <is>
          <t>samrådsanmälan</t>
        </is>
      </c>
      <c r="C227" t="inlineStr">
        <is>
          <t>Annan skogsbruksåtgärd</t>
        </is>
      </c>
      <c r="D227" s="1" t="n">
        <v>45468</v>
      </c>
      <c r="E227" s="1" t="n">
        <v>46254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Sveaskog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>
      <c r="A228" t="inlineStr">
        <is>
          <t>S 343-2026</t>
        </is>
      </c>
      <c r="B228" t="inlineStr">
        <is>
          <t>samrådsanmälan</t>
        </is>
      </c>
      <c r="C228" t="inlineStr">
        <is>
          <t>Skogsgödsling</t>
        </is>
      </c>
      <c r="D228" s="1" t="n">
        <v>46059</v>
      </c>
      <c r="E228" s="1" t="n">
        <v>46254</v>
      </c>
      <c r="F228" t="inlineStr">
        <is>
          <t>VÄSTRA GÖTALANDS LÄN</t>
        </is>
      </c>
      <c r="G228" t="inlineStr">
        <is>
          <t>KARLSBORG</t>
        </is>
      </c>
      <c r="I228" t="n">
        <v>25.7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2026-08-20T01:50:05Z</dcterms:created>
  <dcterms:modified xmlns:dcterms="http://purl.org/dc/terms/" xmlns:xsi="http://www.w3.org/2001/XMLSchema-instance" xsi:type="dcterms:W3CDTF">2026-08-20T01:50:05Z</dcterms:modified>
</cp:coreProperties>
</file>