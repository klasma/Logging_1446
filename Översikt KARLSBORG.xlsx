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27701-2023</t>
        </is>
      </c>
      <c r="B2" s="1" t="n">
        <v>45098</v>
      </c>
      <c r="C2" s="1" t="n">
        <v>45644</v>
      </c>
      <c r="D2" t="inlineStr">
        <is>
          <t>VÄSTRA GÖTALANDS LÄN</t>
        </is>
      </c>
      <c r="E2" t="inlineStr">
        <is>
          <t>KARLSBORG</t>
        </is>
      </c>
      <c r="G2" t="n">
        <v>10.4</v>
      </c>
      <c r="H2" t="n">
        <v>0</v>
      </c>
      <c r="I2" t="n">
        <v>4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10</v>
      </c>
      <c r="R2" s="2" t="inlineStr">
        <is>
          <t>Lakritsmusseron
Orange taggsvamp
Skrovlig taggsvamp
Svart taggsvamp
Svartvit taggsvamp
Tallriska
Blomkålssvamp
Dropptaggsvamp
Skarp dropptaggsvamp
Zontaggsvamp</t>
        </is>
      </c>
      <c r="S2">
        <f>HYPERLINK("https://klasma.github.io/Logging_1446/artfynd/A 27701-2023 artfynd.xlsx", "A 27701-2023")</f>
        <v/>
      </c>
      <c r="T2">
        <f>HYPERLINK("https://klasma.github.io/Logging_1446/kartor/A 27701-2023 karta.png", "A 27701-2023")</f>
        <v/>
      </c>
      <c r="V2">
        <f>HYPERLINK("https://klasma.github.io/Logging_1446/klagomål/A 27701-2023 FSC-klagomål.docx", "A 27701-2023")</f>
        <v/>
      </c>
      <c r="W2">
        <f>HYPERLINK("https://klasma.github.io/Logging_1446/klagomålsmail/A 27701-2023 FSC-klagomål mail.docx", "A 27701-2023")</f>
        <v/>
      </c>
      <c r="X2">
        <f>HYPERLINK("https://klasma.github.io/Logging_1446/tillsyn/A 27701-2023 tillsynsbegäran.docx", "A 27701-2023")</f>
        <v/>
      </c>
      <c r="Y2">
        <f>HYPERLINK("https://klasma.github.io/Logging_1446/tillsynsmail/A 27701-2023 tillsynsbegäran mail.docx", "A 27701-2023")</f>
        <v/>
      </c>
    </row>
    <row r="3" ht="15" customHeight="1">
      <c r="A3" t="inlineStr">
        <is>
          <t>A 412-2023</t>
        </is>
      </c>
      <c r="B3" s="1" t="n">
        <v>44929</v>
      </c>
      <c r="C3" s="1" t="n">
        <v>45644</v>
      </c>
      <c r="D3" t="inlineStr">
        <is>
          <t>VÄSTRA GÖTALANDS LÄN</t>
        </is>
      </c>
      <c r="E3" t="inlineStr">
        <is>
          <t>KARLSBORG</t>
        </is>
      </c>
      <c r="G3" t="n">
        <v>9.9</v>
      </c>
      <c r="H3" t="n">
        <v>0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Lakritsmusseron
Dofttaggsvamp
Motaggsvamp
Dropptaggsvamp
Zontaggsvamp</t>
        </is>
      </c>
      <c r="S3">
        <f>HYPERLINK("https://klasma.github.io/Logging_1446/artfynd/A 412-2023 artfynd.xlsx", "A 412-2023")</f>
        <v/>
      </c>
      <c r="T3">
        <f>HYPERLINK("https://klasma.github.io/Logging_1446/kartor/A 412-2023 karta.png", "A 412-2023")</f>
        <v/>
      </c>
      <c r="V3">
        <f>HYPERLINK("https://klasma.github.io/Logging_1446/klagomål/A 412-2023 FSC-klagomål.docx", "A 412-2023")</f>
        <v/>
      </c>
      <c r="W3">
        <f>HYPERLINK("https://klasma.github.io/Logging_1446/klagomålsmail/A 412-2023 FSC-klagomål mail.docx", "A 412-2023")</f>
        <v/>
      </c>
      <c r="X3">
        <f>HYPERLINK("https://klasma.github.io/Logging_1446/tillsyn/A 412-2023 tillsynsbegäran.docx", "A 412-2023")</f>
        <v/>
      </c>
      <c r="Y3">
        <f>HYPERLINK("https://klasma.github.io/Logging_1446/tillsynsmail/A 412-2023 tillsynsbegäran mail.docx", "A 412-2023")</f>
        <v/>
      </c>
    </row>
    <row r="4" ht="15" customHeight="1">
      <c r="A4" t="inlineStr">
        <is>
          <t>A 27703-2023</t>
        </is>
      </c>
      <c r="B4" s="1" t="n">
        <v>45098</v>
      </c>
      <c r="C4" s="1" t="n">
        <v>45644</v>
      </c>
      <c r="D4" t="inlineStr">
        <is>
          <t>VÄSTRA GÖTALANDS LÄN</t>
        </is>
      </c>
      <c r="E4" t="inlineStr">
        <is>
          <t>KARLSBORG</t>
        </is>
      </c>
      <c r="G4" t="n">
        <v>2.8</v>
      </c>
      <c r="H4" t="n">
        <v>0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Blå taggsvamp
Motaggsvamp
Svart taggsvamp
Tallriska
Dropptaggsvamp</t>
        </is>
      </c>
      <c r="S4">
        <f>HYPERLINK("https://klasma.github.io/Logging_1446/artfynd/A 27703-2023 artfynd.xlsx", "A 27703-2023")</f>
        <v/>
      </c>
      <c r="T4">
        <f>HYPERLINK("https://klasma.github.io/Logging_1446/kartor/A 27703-2023 karta.png", "A 27703-2023")</f>
        <v/>
      </c>
      <c r="V4">
        <f>HYPERLINK("https://klasma.github.io/Logging_1446/klagomål/A 27703-2023 FSC-klagomål.docx", "A 27703-2023")</f>
        <v/>
      </c>
      <c r="W4">
        <f>HYPERLINK("https://klasma.github.io/Logging_1446/klagomålsmail/A 27703-2023 FSC-klagomål mail.docx", "A 27703-2023")</f>
        <v/>
      </c>
      <c r="X4">
        <f>HYPERLINK("https://klasma.github.io/Logging_1446/tillsyn/A 27703-2023 tillsynsbegäran.docx", "A 27703-2023")</f>
        <v/>
      </c>
      <c r="Y4">
        <f>HYPERLINK("https://klasma.github.io/Logging_1446/tillsynsmail/A 27703-2023 tillsynsbegäran mail.docx", "A 27703-2023")</f>
        <v/>
      </c>
    </row>
    <row r="5" ht="15" customHeight="1">
      <c r="A5" t="inlineStr">
        <is>
          <t>A 44500-2019</t>
        </is>
      </c>
      <c r="B5" s="1" t="n">
        <v>43711</v>
      </c>
      <c r="C5" s="1" t="n">
        <v>45644</v>
      </c>
      <c r="D5" t="inlineStr">
        <is>
          <t>VÄSTRA GÖTALANDS LÄN</t>
        </is>
      </c>
      <c r="E5" t="inlineStr">
        <is>
          <t>KARLSBORG</t>
        </is>
      </c>
      <c r="G5" t="n">
        <v>3.3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Knärot
Tallticka
Tretåig hackspett
Mattlummer</t>
        </is>
      </c>
      <c r="S5">
        <f>HYPERLINK("https://klasma.github.io/Logging_1446/artfynd/A 44500-2019 artfynd.xlsx", "A 44500-2019")</f>
        <v/>
      </c>
      <c r="T5">
        <f>HYPERLINK("https://klasma.github.io/Logging_1446/kartor/A 44500-2019 karta.png", "A 44500-2019")</f>
        <v/>
      </c>
      <c r="U5">
        <f>HYPERLINK("https://klasma.github.io/Logging_1446/knärot/A 44500-2019 karta knärot.png", "A 44500-2019")</f>
        <v/>
      </c>
      <c r="V5">
        <f>HYPERLINK("https://klasma.github.io/Logging_1446/klagomål/A 44500-2019 FSC-klagomål.docx", "A 44500-2019")</f>
        <v/>
      </c>
      <c r="W5">
        <f>HYPERLINK("https://klasma.github.io/Logging_1446/klagomålsmail/A 44500-2019 FSC-klagomål mail.docx", "A 44500-2019")</f>
        <v/>
      </c>
      <c r="X5">
        <f>HYPERLINK("https://klasma.github.io/Logging_1446/tillsyn/A 44500-2019 tillsynsbegäran.docx", "A 44500-2019")</f>
        <v/>
      </c>
      <c r="Y5">
        <f>HYPERLINK("https://klasma.github.io/Logging_1446/tillsynsmail/A 44500-2019 tillsynsbegäran mail.docx", "A 44500-2019")</f>
        <v/>
      </c>
      <c r="Z5">
        <f>HYPERLINK("https://klasma.github.io/Logging_1446/fåglar/A 44500-2019 prioriterade fågelarter.docx", "A 44500-2019")</f>
        <v/>
      </c>
    </row>
    <row r="6" ht="15" customHeight="1">
      <c r="A6" t="inlineStr">
        <is>
          <t>A 65473-2019</t>
        </is>
      </c>
      <c r="B6" s="1" t="n">
        <v>43803</v>
      </c>
      <c r="C6" s="1" t="n">
        <v>45644</v>
      </c>
      <c r="D6" t="inlineStr">
        <is>
          <t>VÄSTRA GÖTALANDS LÄN</t>
        </is>
      </c>
      <c r="E6" t="inlineStr">
        <is>
          <t>KARLSBORG</t>
        </is>
      </c>
      <c r="G6" t="n">
        <v>4.3</v>
      </c>
      <c r="H6" t="n">
        <v>0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Lakritsmusseron
Motaggsvamp
Skrovlig taggsvamp
Dropptaggsvamp</t>
        </is>
      </c>
      <c r="S6">
        <f>HYPERLINK("https://klasma.github.io/Logging_1446/artfynd/A 65473-2019 artfynd.xlsx", "A 65473-2019")</f>
        <v/>
      </c>
      <c r="T6">
        <f>HYPERLINK("https://klasma.github.io/Logging_1446/kartor/A 65473-2019 karta.png", "A 65473-2019")</f>
        <v/>
      </c>
      <c r="V6">
        <f>HYPERLINK("https://klasma.github.io/Logging_1446/klagomål/A 65473-2019 FSC-klagomål.docx", "A 65473-2019")</f>
        <v/>
      </c>
      <c r="W6">
        <f>HYPERLINK("https://klasma.github.io/Logging_1446/klagomålsmail/A 65473-2019 FSC-klagomål mail.docx", "A 65473-2019")</f>
        <v/>
      </c>
      <c r="X6">
        <f>HYPERLINK("https://klasma.github.io/Logging_1446/tillsyn/A 65473-2019 tillsynsbegäran.docx", "A 65473-2019")</f>
        <v/>
      </c>
      <c r="Y6">
        <f>HYPERLINK("https://klasma.github.io/Logging_1446/tillsynsmail/A 65473-2019 tillsynsbegäran mail.docx", "A 65473-2019")</f>
        <v/>
      </c>
    </row>
    <row r="7" ht="15" customHeight="1">
      <c r="A7" t="inlineStr">
        <is>
          <t>A 65650-2019</t>
        </is>
      </c>
      <c r="B7" s="1" t="n">
        <v>43804</v>
      </c>
      <c r="C7" s="1" t="n">
        <v>45644</v>
      </c>
      <c r="D7" t="inlineStr">
        <is>
          <t>VÄSTRA GÖTALANDS LÄN</t>
        </is>
      </c>
      <c r="E7" t="inlineStr">
        <is>
          <t>KARLSBORG</t>
        </is>
      </c>
      <c r="G7" t="n">
        <v>11.9</v>
      </c>
      <c r="H7" t="n">
        <v>1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Dofttaggsvamp
Svart taggsvamp
Dropptaggsvamp
Vanlig padda</t>
        </is>
      </c>
      <c r="S7">
        <f>HYPERLINK("https://klasma.github.io/Logging_1446/artfynd/A 65650-2019 artfynd.xlsx", "A 65650-2019")</f>
        <v/>
      </c>
      <c r="T7">
        <f>HYPERLINK("https://klasma.github.io/Logging_1446/kartor/A 65650-2019 karta.png", "A 65650-2019")</f>
        <v/>
      </c>
      <c r="V7">
        <f>HYPERLINK("https://klasma.github.io/Logging_1446/klagomål/A 65650-2019 FSC-klagomål.docx", "A 65650-2019")</f>
        <v/>
      </c>
      <c r="W7">
        <f>HYPERLINK("https://klasma.github.io/Logging_1446/klagomålsmail/A 65650-2019 FSC-klagomål mail.docx", "A 65650-2019")</f>
        <v/>
      </c>
      <c r="X7">
        <f>HYPERLINK("https://klasma.github.io/Logging_1446/tillsyn/A 65650-2019 tillsynsbegäran.docx", "A 65650-2019")</f>
        <v/>
      </c>
      <c r="Y7">
        <f>HYPERLINK("https://klasma.github.io/Logging_1446/tillsynsmail/A 65650-2019 tillsynsbegäran mail.docx", "A 65650-2019")</f>
        <v/>
      </c>
    </row>
    <row r="8" ht="15" customHeight="1">
      <c r="A8" t="inlineStr">
        <is>
          <t>A 41180-2020</t>
        </is>
      </c>
      <c r="B8" s="1" t="n">
        <v>44069</v>
      </c>
      <c r="C8" s="1" t="n">
        <v>45644</v>
      </c>
      <c r="D8" t="inlineStr">
        <is>
          <t>VÄSTRA GÖTALANDS LÄN</t>
        </is>
      </c>
      <c r="E8" t="inlineStr">
        <is>
          <t>KARLSBORG</t>
        </is>
      </c>
      <c r="G8" t="n">
        <v>14.4</v>
      </c>
      <c r="H8" t="n">
        <v>1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Skogsklocka
Slåtterfibbla
Vårärt
Blåsippa</t>
        </is>
      </c>
      <c r="S8">
        <f>HYPERLINK("https://klasma.github.io/Logging_1446/artfynd/A 41180-2020 artfynd.xlsx", "A 41180-2020")</f>
        <v/>
      </c>
      <c r="T8">
        <f>HYPERLINK("https://klasma.github.io/Logging_1446/kartor/A 41180-2020 karta.png", "A 41180-2020")</f>
        <v/>
      </c>
      <c r="V8">
        <f>HYPERLINK("https://klasma.github.io/Logging_1446/klagomål/A 41180-2020 FSC-klagomål.docx", "A 41180-2020")</f>
        <v/>
      </c>
      <c r="W8">
        <f>HYPERLINK("https://klasma.github.io/Logging_1446/klagomålsmail/A 41180-2020 FSC-klagomål mail.docx", "A 41180-2020")</f>
        <v/>
      </c>
      <c r="X8">
        <f>HYPERLINK("https://klasma.github.io/Logging_1446/tillsyn/A 41180-2020 tillsynsbegäran.docx", "A 41180-2020")</f>
        <v/>
      </c>
      <c r="Y8">
        <f>HYPERLINK("https://klasma.github.io/Logging_1446/tillsynsmail/A 41180-2020 tillsynsbegäran mail.docx", "A 41180-2020")</f>
        <v/>
      </c>
    </row>
    <row r="9" ht="15" customHeight="1">
      <c r="A9" t="inlineStr">
        <is>
          <t>A 13359-2024</t>
        </is>
      </c>
      <c r="B9" s="1" t="n">
        <v>45387</v>
      </c>
      <c r="C9" s="1" t="n">
        <v>45644</v>
      </c>
      <c r="D9" t="inlineStr">
        <is>
          <t>VÄSTRA GÖTALANDS LÄN</t>
        </is>
      </c>
      <c r="E9" t="inlineStr">
        <is>
          <t>KARLSBORG</t>
        </is>
      </c>
      <c r="F9" t="inlineStr">
        <is>
          <t>Övriga Aktiebolag</t>
        </is>
      </c>
      <c r="G9" t="n">
        <v>12.4</v>
      </c>
      <c r="H9" t="n">
        <v>3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Spillkråka
Grönpyrola
Tjäder</t>
        </is>
      </c>
      <c r="S9">
        <f>HYPERLINK("https://klasma.github.io/Logging_1446/artfynd/A 13359-2024 artfynd.xlsx", "A 13359-2024")</f>
        <v/>
      </c>
      <c r="T9">
        <f>HYPERLINK("https://klasma.github.io/Logging_1446/kartor/A 13359-2024 karta.png", "A 13359-2024")</f>
        <v/>
      </c>
      <c r="U9">
        <f>HYPERLINK("https://klasma.github.io/Logging_1446/knärot/A 13359-2024 karta knärot.png", "A 13359-2024")</f>
        <v/>
      </c>
      <c r="V9">
        <f>HYPERLINK("https://klasma.github.io/Logging_1446/klagomål/A 13359-2024 FSC-klagomål.docx", "A 13359-2024")</f>
        <v/>
      </c>
      <c r="W9">
        <f>HYPERLINK("https://klasma.github.io/Logging_1446/klagomålsmail/A 13359-2024 FSC-klagomål mail.docx", "A 13359-2024")</f>
        <v/>
      </c>
      <c r="X9">
        <f>HYPERLINK("https://klasma.github.io/Logging_1446/tillsyn/A 13359-2024 tillsynsbegäran.docx", "A 13359-2024")</f>
        <v/>
      </c>
      <c r="Y9">
        <f>HYPERLINK("https://klasma.github.io/Logging_1446/tillsynsmail/A 13359-2024 tillsynsbegäran mail.docx", "A 13359-2024")</f>
        <v/>
      </c>
      <c r="Z9">
        <f>HYPERLINK("https://klasma.github.io/Logging_1446/fåglar/A 13359-2024 prioriterade fågelarter.docx", "A 13359-2024")</f>
        <v/>
      </c>
    </row>
    <row r="10" ht="15" customHeight="1">
      <c r="A10" t="inlineStr">
        <is>
          <t>A 43626-2023</t>
        </is>
      </c>
      <c r="B10" s="1" t="n">
        <v>45184</v>
      </c>
      <c r="C10" s="1" t="n">
        <v>45644</v>
      </c>
      <c r="D10" t="inlineStr">
        <is>
          <t>VÄSTRA GÖTALANDS LÄN</t>
        </is>
      </c>
      <c r="E10" t="inlineStr">
        <is>
          <t>KARLSBORG</t>
        </is>
      </c>
      <c r="G10" t="n">
        <v>0.7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Dropptaggsvamp
Tallfingersvamp</t>
        </is>
      </c>
      <c r="S10">
        <f>HYPERLINK("https://klasma.github.io/Logging_1446/artfynd/A 43626-2023 artfynd.xlsx", "A 43626-2023")</f>
        <v/>
      </c>
      <c r="T10">
        <f>HYPERLINK("https://klasma.github.io/Logging_1446/kartor/A 43626-2023 karta.png", "A 43626-2023")</f>
        <v/>
      </c>
      <c r="V10">
        <f>HYPERLINK("https://klasma.github.io/Logging_1446/klagomål/A 43626-2023 FSC-klagomål.docx", "A 43626-2023")</f>
        <v/>
      </c>
      <c r="W10">
        <f>HYPERLINK("https://klasma.github.io/Logging_1446/klagomålsmail/A 43626-2023 FSC-klagomål mail.docx", "A 43626-2023")</f>
        <v/>
      </c>
      <c r="X10">
        <f>HYPERLINK("https://klasma.github.io/Logging_1446/tillsyn/A 43626-2023 tillsynsbegäran.docx", "A 43626-2023")</f>
        <v/>
      </c>
      <c r="Y10">
        <f>HYPERLINK("https://klasma.github.io/Logging_1446/tillsynsmail/A 43626-2023 tillsynsbegäran mail.docx", "A 43626-2023")</f>
        <v/>
      </c>
    </row>
    <row r="11" ht="15" customHeight="1">
      <c r="A11" t="inlineStr">
        <is>
          <t>A 63587-2023</t>
        </is>
      </c>
      <c r="B11" s="1" t="n">
        <v>45275</v>
      </c>
      <c r="C11" s="1" t="n">
        <v>45644</v>
      </c>
      <c r="D11" t="inlineStr">
        <is>
          <t>VÄSTRA GÖTALANDS LÄN</t>
        </is>
      </c>
      <c r="E11" t="inlineStr">
        <is>
          <t>KARLSBORG</t>
        </is>
      </c>
      <c r="G11" t="n">
        <v>8.1</v>
      </c>
      <c r="H11" t="n">
        <v>2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Plattlummer
Mattlummer</t>
        </is>
      </c>
      <c r="S11">
        <f>HYPERLINK("https://klasma.github.io/Logging_1446/artfynd/A 63587-2023 artfynd.xlsx", "A 63587-2023")</f>
        <v/>
      </c>
      <c r="T11">
        <f>HYPERLINK("https://klasma.github.io/Logging_1446/kartor/A 63587-2023 karta.png", "A 63587-2023")</f>
        <v/>
      </c>
      <c r="V11">
        <f>HYPERLINK("https://klasma.github.io/Logging_1446/klagomål/A 63587-2023 FSC-klagomål.docx", "A 63587-2023")</f>
        <v/>
      </c>
      <c r="W11">
        <f>HYPERLINK("https://klasma.github.io/Logging_1446/klagomålsmail/A 63587-2023 FSC-klagomål mail.docx", "A 63587-2023")</f>
        <v/>
      </c>
      <c r="X11">
        <f>HYPERLINK("https://klasma.github.io/Logging_1446/tillsyn/A 63587-2023 tillsynsbegäran.docx", "A 63587-2023")</f>
        <v/>
      </c>
      <c r="Y11">
        <f>HYPERLINK("https://klasma.github.io/Logging_1446/tillsynsmail/A 63587-2023 tillsynsbegäran mail.docx", "A 63587-2023")</f>
        <v/>
      </c>
    </row>
    <row r="12" ht="15" customHeight="1">
      <c r="A12" t="inlineStr">
        <is>
          <t>A 13365-2024</t>
        </is>
      </c>
      <c r="B12" s="1" t="n">
        <v>45387</v>
      </c>
      <c r="C12" s="1" t="n">
        <v>45644</v>
      </c>
      <c r="D12" t="inlineStr">
        <is>
          <t>VÄSTRA GÖTALANDS LÄN</t>
        </is>
      </c>
      <c r="E12" t="inlineStr">
        <is>
          <t>KARLSBORG</t>
        </is>
      </c>
      <c r="F12" t="inlineStr">
        <is>
          <t>Övriga Aktiebolag</t>
        </is>
      </c>
      <c r="G12" t="n">
        <v>2.5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Grönpyrola
Tjäder</t>
        </is>
      </c>
      <c r="S12">
        <f>HYPERLINK("https://klasma.github.io/Logging_1446/artfynd/A 13365-2024 artfynd.xlsx", "A 13365-2024")</f>
        <v/>
      </c>
      <c r="T12">
        <f>HYPERLINK("https://klasma.github.io/Logging_1446/kartor/A 13365-2024 karta.png", "A 13365-2024")</f>
        <v/>
      </c>
      <c r="V12">
        <f>HYPERLINK("https://klasma.github.io/Logging_1446/klagomål/A 13365-2024 FSC-klagomål.docx", "A 13365-2024")</f>
        <v/>
      </c>
      <c r="W12">
        <f>HYPERLINK("https://klasma.github.io/Logging_1446/klagomålsmail/A 13365-2024 FSC-klagomål mail.docx", "A 13365-2024")</f>
        <v/>
      </c>
      <c r="X12">
        <f>HYPERLINK("https://klasma.github.io/Logging_1446/tillsyn/A 13365-2024 tillsynsbegäran.docx", "A 13365-2024")</f>
        <v/>
      </c>
      <c r="Y12">
        <f>HYPERLINK("https://klasma.github.io/Logging_1446/tillsynsmail/A 13365-2024 tillsynsbegäran mail.docx", "A 13365-2024")</f>
        <v/>
      </c>
      <c r="Z12">
        <f>HYPERLINK("https://klasma.github.io/Logging_1446/fåglar/A 13365-2024 prioriterade fågelarter.docx", "A 13365-2024")</f>
        <v/>
      </c>
    </row>
    <row r="13" ht="15" customHeight="1">
      <c r="A13" t="inlineStr">
        <is>
          <t>A 38204-2024</t>
        </is>
      </c>
      <c r="B13" s="1" t="n">
        <v>45545</v>
      </c>
      <c r="C13" s="1" t="n">
        <v>45644</v>
      </c>
      <c r="D13" t="inlineStr">
        <is>
          <t>VÄSTRA GÖTALANDS LÄN</t>
        </is>
      </c>
      <c r="E13" t="inlineStr">
        <is>
          <t>KARLSBORG</t>
        </is>
      </c>
      <c r="F13" t="inlineStr">
        <is>
          <t>Sveaskog</t>
        </is>
      </c>
      <c r="G13" t="n">
        <v>5.4</v>
      </c>
      <c r="H13" t="n">
        <v>2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Kungsfågel</t>
        </is>
      </c>
      <c r="S13">
        <f>HYPERLINK("https://klasma.github.io/Logging_1446/artfynd/A 38204-2024 artfynd.xlsx", "A 38204-2024")</f>
        <v/>
      </c>
      <c r="T13">
        <f>HYPERLINK("https://klasma.github.io/Logging_1446/kartor/A 38204-2024 karta.png", "A 38204-2024")</f>
        <v/>
      </c>
      <c r="U13">
        <f>HYPERLINK("https://klasma.github.io/Logging_1446/knärot/A 38204-2024 karta knärot.png", "A 38204-2024")</f>
        <v/>
      </c>
      <c r="V13">
        <f>HYPERLINK("https://klasma.github.io/Logging_1446/klagomål/A 38204-2024 FSC-klagomål.docx", "A 38204-2024")</f>
        <v/>
      </c>
      <c r="W13">
        <f>HYPERLINK("https://klasma.github.io/Logging_1446/klagomålsmail/A 38204-2024 FSC-klagomål mail.docx", "A 38204-2024")</f>
        <v/>
      </c>
      <c r="X13">
        <f>HYPERLINK("https://klasma.github.io/Logging_1446/tillsyn/A 38204-2024 tillsynsbegäran.docx", "A 38204-2024")</f>
        <v/>
      </c>
      <c r="Y13">
        <f>HYPERLINK("https://klasma.github.io/Logging_1446/tillsynsmail/A 38204-2024 tillsynsbegäran mail.docx", "A 38204-2024")</f>
        <v/>
      </c>
      <c r="Z13">
        <f>HYPERLINK("https://klasma.github.io/Logging_1446/fåglar/A 38204-2024 prioriterade fågelarter.docx", "A 38204-2024")</f>
        <v/>
      </c>
    </row>
    <row r="14" ht="15" customHeight="1">
      <c r="A14" t="inlineStr">
        <is>
          <t>A 67760-2019</t>
        </is>
      </c>
      <c r="B14" s="1" t="n">
        <v>43810</v>
      </c>
      <c r="C14" s="1" t="n">
        <v>45644</v>
      </c>
      <c r="D14" t="inlineStr">
        <is>
          <t>VÄSTRA GÖTALANDS LÄN</t>
        </is>
      </c>
      <c r="E14" t="inlineStr">
        <is>
          <t>KARLSBORG</t>
        </is>
      </c>
      <c r="G14" t="n">
        <v>6.4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Trana</t>
        </is>
      </c>
      <c r="S14">
        <f>HYPERLINK("https://klasma.github.io/Logging_1446/artfynd/A 67760-2019 artfynd.xlsx", "A 67760-2019")</f>
        <v/>
      </c>
      <c r="T14">
        <f>HYPERLINK("https://klasma.github.io/Logging_1446/kartor/A 67760-2019 karta.png", "A 67760-2019")</f>
        <v/>
      </c>
      <c r="V14">
        <f>HYPERLINK("https://klasma.github.io/Logging_1446/klagomål/A 67760-2019 FSC-klagomål.docx", "A 67760-2019")</f>
        <v/>
      </c>
      <c r="W14">
        <f>HYPERLINK("https://klasma.github.io/Logging_1446/klagomålsmail/A 67760-2019 FSC-klagomål mail.docx", "A 67760-2019")</f>
        <v/>
      </c>
      <c r="X14">
        <f>HYPERLINK("https://klasma.github.io/Logging_1446/tillsyn/A 67760-2019 tillsynsbegäran.docx", "A 67760-2019")</f>
        <v/>
      </c>
      <c r="Y14">
        <f>HYPERLINK("https://klasma.github.io/Logging_1446/tillsynsmail/A 67760-2019 tillsynsbegäran mail.docx", "A 67760-2019")</f>
        <v/>
      </c>
      <c r="Z14">
        <f>HYPERLINK("https://klasma.github.io/Logging_1446/fåglar/A 67760-2019 prioriterade fågelarter.docx", "A 67760-2019")</f>
        <v/>
      </c>
    </row>
    <row r="15" ht="15" customHeight="1">
      <c r="A15" t="inlineStr">
        <is>
          <t>A 23973-2023</t>
        </is>
      </c>
      <c r="B15" s="1" t="n">
        <v>45075</v>
      </c>
      <c r="C15" s="1" t="n">
        <v>45644</v>
      </c>
      <c r="D15" t="inlineStr">
        <is>
          <t>VÄSTRA GÖTALANDS LÄN</t>
        </is>
      </c>
      <c r="E15" t="inlineStr">
        <is>
          <t>KARLSBORG</t>
        </is>
      </c>
      <c r="G15" t="n">
        <v>2.2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Orre</t>
        </is>
      </c>
      <c r="S15">
        <f>HYPERLINK("https://klasma.github.io/Logging_1446/artfynd/A 23973-2023 artfynd.xlsx", "A 23973-2023")</f>
        <v/>
      </c>
      <c r="T15">
        <f>HYPERLINK("https://klasma.github.io/Logging_1446/kartor/A 23973-2023 karta.png", "A 23973-2023")</f>
        <v/>
      </c>
      <c r="V15">
        <f>HYPERLINK("https://klasma.github.io/Logging_1446/klagomål/A 23973-2023 FSC-klagomål.docx", "A 23973-2023")</f>
        <v/>
      </c>
      <c r="W15">
        <f>HYPERLINK("https://klasma.github.io/Logging_1446/klagomålsmail/A 23973-2023 FSC-klagomål mail.docx", "A 23973-2023")</f>
        <v/>
      </c>
      <c r="X15">
        <f>HYPERLINK("https://klasma.github.io/Logging_1446/tillsyn/A 23973-2023 tillsynsbegäran.docx", "A 23973-2023")</f>
        <v/>
      </c>
      <c r="Y15">
        <f>HYPERLINK("https://klasma.github.io/Logging_1446/tillsynsmail/A 23973-2023 tillsynsbegäran mail.docx", "A 23973-2023")</f>
        <v/>
      </c>
      <c r="Z15">
        <f>HYPERLINK("https://klasma.github.io/Logging_1446/fåglar/A 23973-2023 prioriterade fågelarter.docx", "A 23973-2023")</f>
        <v/>
      </c>
    </row>
    <row r="16" ht="15" customHeight="1">
      <c r="A16" t="inlineStr">
        <is>
          <t>A 27702-2023</t>
        </is>
      </c>
      <c r="B16" s="1" t="n">
        <v>45098</v>
      </c>
      <c r="C16" s="1" t="n">
        <v>45644</v>
      </c>
      <c r="D16" t="inlineStr">
        <is>
          <t>VÄSTRA GÖTALANDS LÄN</t>
        </is>
      </c>
      <c r="E16" t="inlineStr">
        <is>
          <t>KARLSBORG</t>
        </is>
      </c>
      <c r="G16" t="n">
        <v>4.9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Tallriska</t>
        </is>
      </c>
      <c r="S16">
        <f>HYPERLINK("https://klasma.github.io/Logging_1446/artfynd/A 27702-2023 artfynd.xlsx", "A 27702-2023")</f>
        <v/>
      </c>
      <c r="T16">
        <f>HYPERLINK("https://klasma.github.io/Logging_1446/kartor/A 27702-2023 karta.png", "A 27702-2023")</f>
        <v/>
      </c>
      <c r="V16">
        <f>HYPERLINK("https://klasma.github.io/Logging_1446/klagomål/A 27702-2023 FSC-klagomål.docx", "A 27702-2023")</f>
        <v/>
      </c>
      <c r="W16">
        <f>HYPERLINK("https://klasma.github.io/Logging_1446/klagomålsmail/A 27702-2023 FSC-klagomål mail.docx", "A 27702-2023")</f>
        <v/>
      </c>
      <c r="X16">
        <f>HYPERLINK("https://klasma.github.io/Logging_1446/tillsyn/A 27702-2023 tillsynsbegäran.docx", "A 27702-2023")</f>
        <v/>
      </c>
      <c r="Y16">
        <f>HYPERLINK("https://klasma.github.io/Logging_1446/tillsynsmail/A 27702-2023 tillsynsbegäran mail.docx", "A 27702-2023")</f>
        <v/>
      </c>
    </row>
    <row r="17" ht="15" customHeight="1">
      <c r="A17" t="inlineStr">
        <is>
          <t>A 51531-2023</t>
        </is>
      </c>
      <c r="B17" s="1" t="n">
        <v>45222</v>
      </c>
      <c r="C17" s="1" t="n">
        <v>45644</v>
      </c>
      <c r="D17" t="inlineStr">
        <is>
          <t>VÄSTRA GÖTALANDS LÄN</t>
        </is>
      </c>
      <c r="E17" t="inlineStr">
        <is>
          <t>KARLSBORG</t>
        </is>
      </c>
      <c r="F17" t="inlineStr">
        <is>
          <t>Kommuner</t>
        </is>
      </c>
      <c r="G17" t="n">
        <v>11.2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HYPERLINK("https://klasma.github.io/Logging_1446/artfynd/A 51531-2023 artfynd.xlsx", "A 51531-2023")</f>
        <v/>
      </c>
      <c r="T17">
        <f>HYPERLINK("https://klasma.github.io/Logging_1446/kartor/A 51531-2023 karta.png", "A 51531-2023")</f>
        <v/>
      </c>
      <c r="V17">
        <f>HYPERLINK("https://klasma.github.io/Logging_1446/klagomål/A 51531-2023 FSC-klagomål.docx", "A 51531-2023")</f>
        <v/>
      </c>
      <c r="W17">
        <f>HYPERLINK("https://klasma.github.io/Logging_1446/klagomålsmail/A 51531-2023 FSC-klagomål mail.docx", "A 51531-2023")</f>
        <v/>
      </c>
      <c r="X17">
        <f>HYPERLINK("https://klasma.github.io/Logging_1446/tillsyn/A 51531-2023 tillsynsbegäran.docx", "A 51531-2023")</f>
        <v/>
      </c>
      <c r="Y17">
        <f>HYPERLINK("https://klasma.github.io/Logging_1446/tillsynsmail/A 51531-2023 tillsynsbegäran mail.docx", "A 51531-2023")</f>
        <v/>
      </c>
    </row>
    <row r="18" ht="15" customHeight="1">
      <c r="A18" t="inlineStr">
        <is>
          <t>A 13639-2024</t>
        </is>
      </c>
      <c r="B18" s="1" t="n">
        <v>45390</v>
      </c>
      <c r="C18" s="1" t="n">
        <v>45644</v>
      </c>
      <c r="D18" t="inlineStr">
        <is>
          <t>VÄSTRA GÖTALANDS LÄN</t>
        </is>
      </c>
      <c r="E18" t="inlineStr">
        <is>
          <t>KARLSBORG</t>
        </is>
      </c>
      <c r="F18" t="inlineStr">
        <is>
          <t>Övriga Aktiebolag</t>
        </is>
      </c>
      <c r="G18" t="n">
        <v>6.5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Nattviol</t>
        </is>
      </c>
      <c r="S18">
        <f>HYPERLINK("https://klasma.github.io/Logging_1446/artfynd/A 13639-2024 artfynd.xlsx", "A 13639-2024")</f>
        <v/>
      </c>
      <c r="T18">
        <f>HYPERLINK("https://klasma.github.io/Logging_1446/kartor/A 13639-2024 karta.png", "A 13639-2024")</f>
        <v/>
      </c>
      <c r="V18">
        <f>HYPERLINK("https://klasma.github.io/Logging_1446/klagomål/A 13639-2024 FSC-klagomål.docx", "A 13639-2024")</f>
        <v/>
      </c>
      <c r="W18">
        <f>HYPERLINK("https://klasma.github.io/Logging_1446/klagomålsmail/A 13639-2024 FSC-klagomål mail.docx", "A 13639-2024")</f>
        <v/>
      </c>
      <c r="X18">
        <f>HYPERLINK("https://klasma.github.io/Logging_1446/tillsyn/A 13639-2024 tillsynsbegäran.docx", "A 13639-2024")</f>
        <v/>
      </c>
      <c r="Y18">
        <f>HYPERLINK("https://klasma.github.io/Logging_1446/tillsynsmail/A 13639-2024 tillsynsbegäran mail.docx", "A 13639-2024")</f>
        <v/>
      </c>
    </row>
    <row r="19" ht="15" customHeight="1">
      <c r="A19" t="inlineStr">
        <is>
          <t>A 13652-2024</t>
        </is>
      </c>
      <c r="B19" s="1" t="n">
        <v>45390</v>
      </c>
      <c r="C19" s="1" t="n">
        <v>45644</v>
      </c>
      <c r="D19" t="inlineStr">
        <is>
          <t>VÄSTRA GÖTALANDS LÄN</t>
        </is>
      </c>
      <c r="E19" t="inlineStr">
        <is>
          <t>KARLSBORG</t>
        </is>
      </c>
      <c r="F19" t="inlineStr">
        <is>
          <t>Övriga Aktiebolag</t>
        </is>
      </c>
      <c r="G19" t="n">
        <v>1.8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Grönvit nattviol</t>
        </is>
      </c>
      <c r="S19">
        <f>HYPERLINK("https://klasma.github.io/Logging_1446/artfynd/A 13652-2024 artfynd.xlsx", "A 13652-2024")</f>
        <v/>
      </c>
      <c r="T19">
        <f>HYPERLINK("https://klasma.github.io/Logging_1446/kartor/A 13652-2024 karta.png", "A 13652-2024")</f>
        <v/>
      </c>
      <c r="V19">
        <f>HYPERLINK("https://klasma.github.io/Logging_1446/klagomål/A 13652-2024 FSC-klagomål.docx", "A 13652-2024")</f>
        <v/>
      </c>
      <c r="W19">
        <f>HYPERLINK("https://klasma.github.io/Logging_1446/klagomålsmail/A 13652-2024 FSC-klagomål mail.docx", "A 13652-2024")</f>
        <v/>
      </c>
      <c r="X19">
        <f>HYPERLINK("https://klasma.github.io/Logging_1446/tillsyn/A 13652-2024 tillsynsbegäran.docx", "A 13652-2024")</f>
        <v/>
      </c>
      <c r="Y19">
        <f>HYPERLINK("https://klasma.github.io/Logging_1446/tillsynsmail/A 13652-2024 tillsynsbegäran mail.docx", "A 13652-2024")</f>
        <v/>
      </c>
    </row>
    <row r="20" ht="15" customHeight="1">
      <c r="A20" t="inlineStr">
        <is>
          <t>A 17920-2019</t>
        </is>
      </c>
      <c r="B20" s="1" t="n">
        <v>43557</v>
      </c>
      <c r="C20" s="1" t="n">
        <v>45644</v>
      </c>
      <c r="D20" t="inlineStr">
        <is>
          <t>VÄSTRA GÖTALANDS LÄN</t>
        </is>
      </c>
      <c r="E20" t="inlineStr">
        <is>
          <t>KARLSBORG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20557-2019</t>
        </is>
      </c>
      <c r="B21" s="1" t="n">
        <v>43572</v>
      </c>
      <c r="C21" s="1" t="n">
        <v>45644</v>
      </c>
      <c r="D21" t="inlineStr">
        <is>
          <t>VÄSTRA GÖTALANDS LÄN</t>
        </is>
      </c>
      <c r="E21" t="inlineStr">
        <is>
          <t>KARLSBORG</t>
        </is>
      </c>
      <c r="G21" t="n">
        <v>10.1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20622-2019</t>
        </is>
      </c>
      <c r="B22" s="1" t="n">
        <v>43572</v>
      </c>
      <c r="C22" s="1" t="n">
        <v>45644</v>
      </c>
      <c r="D22" t="inlineStr">
        <is>
          <t>VÄSTRA GÖTALANDS LÄN</t>
        </is>
      </c>
      <c r="E22" t="inlineStr">
        <is>
          <t>KARLSBORG</t>
        </is>
      </c>
      <c r="G22" t="n">
        <v>14.5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21845-2019</t>
        </is>
      </c>
      <c r="B23" s="1" t="n">
        <v>43584</v>
      </c>
      <c r="C23" s="1" t="n">
        <v>45644</v>
      </c>
      <c r="D23" t="inlineStr">
        <is>
          <t>VÄSTRA GÖTALANDS LÄN</t>
        </is>
      </c>
      <c r="E23" t="inlineStr">
        <is>
          <t>KARLSBORG</t>
        </is>
      </c>
      <c r="F23" t="inlineStr">
        <is>
          <t>Sveaskog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22784-2019</t>
        </is>
      </c>
      <c r="B24" s="1" t="n">
        <v>43589</v>
      </c>
      <c r="C24" s="1" t="n">
        <v>45644</v>
      </c>
      <c r="D24" t="inlineStr">
        <is>
          <t>VÄSTRA GÖTALANDS LÄN</t>
        </is>
      </c>
      <c r="E24" t="inlineStr">
        <is>
          <t>KARLSBORG</t>
        </is>
      </c>
      <c r="F24" t="inlineStr">
        <is>
          <t>Sveaskog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22786-2019</t>
        </is>
      </c>
      <c r="B25" s="1" t="n">
        <v>43589</v>
      </c>
      <c r="C25" s="1" t="n">
        <v>45644</v>
      </c>
      <c r="D25" t="inlineStr">
        <is>
          <t>VÄSTRA GÖTALANDS LÄN</t>
        </is>
      </c>
      <c r="E25" t="inlineStr">
        <is>
          <t>KARLSBORG</t>
        </is>
      </c>
      <c r="F25" t="inlineStr">
        <is>
          <t>Sveaskog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26143-2019</t>
        </is>
      </c>
      <c r="B26" s="1" t="n">
        <v>43609</v>
      </c>
      <c r="C26" s="1" t="n">
        <v>45644</v>
      </c>
      <c r="D26" t="inlineStr">
        <is>
          <t>VÄSTRA GÖTALANDS LÄN</t>
        </is>
      </c>
      <c r="E26" t="inlineStr">
        <is>
          <t>KARLSBORG</t>
        </is>
      </c>
      <c r="F26" t="inlineStr">
        <is>
          <t>Övriga statliga verk och myndigheter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28033-2019</t>
        </is>
      </c>
      <c r="B27" s="1" t="n">
        <v>43613</v>
      </c>
      <c r="C27" s="1" t="n">
        <v>45644</v>
      </c>
      <c r="D27" t="inlineStr">
        <is>
          <t>VÄSTRA GÖTALANDS LÄN</t>
        </is>
      </c>
      <c r="E27" t="inlineStr">
        <is>
          <t>KARLSBORG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27996-2019</t>
        </is>
      </c>
      <c r="B28" s="1" t="n">
        <v>43621</v>
      </c>
      <c r="C28" s="1" t="n">
        <v>45644</v>
      </c>
      <c r="D28" t="inlineStr">
        <is>
          <t>VÄSTRA GÖTALANDS LÄN</t>
        </is>
      </c>
      <c r="E28" t="inlineStr">
        <is>
          <t>KARLSBORG</t>
        </is>
      </c>
      <c r="F28" t="inlineStr">
        <is>
          <t>Sveaskog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28084-2019</t>
        </is>
      </c>
      <c r="B29" s="1" t="n">
        <v>43621</v>
      </c>
      <c r="C29" s="1" t="n">
        <v>45644</v>
      </c>
      <c r="D29" t="inlineStr">
        <is>
          <t>VÄSTRA GÖTALANDS LÄN</t>
        </is>
      </c>
      <c r="E29" t="inlineStr">
        <is>
          <t>KARLSBORG</t>
        </is>
      </c>
      <c r="F29" t="inlineStr">
        <is>
          <t>Sveaskog</t>
        </is>
      </c>
      <c r="G29" t="n">
        <v>3.7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28054-2019</t>
        </is>
      </c>
      <c r="B30" s="1" t="n">
        <v>43621</v>
      </c>
      <c r="C30" s="1" t="n">
        <v>45644</v>
      </c>
      <c r="D30" t="inlineStr">
        <is>
          <t>VÄSTRA GÖTALANDS LÄN</t>
        </is>
      </c>
      <c r="E30" t="inlineStr">
        <is>
          <t>KARLSBORG</t>
        </is>
      </c>
      <c r="F30" t="inlineStr">
        <is>
          <t>Sveaskog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28080-2019</t>
        </is>
      </c>
      <c r="B31" s="1" t="n">
        <v>43621</v>
      </c>
      <c r="C31" s="1" t="n">
        <v>45644</v>
      </c>
      <c r="D31" t="inlineStr">
        <is>
          <t>VÄSTRA GÖTALANDS LÄN</t>
        </is>
      </c>
      <c r="E31" t="inlineStr">
        <is>
          <t>KARLSBORG</t>
        </is>
      </c>
      <c r="F31" t="inlineStr">
        <is>
          <t>Sveaskog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28087-2019</t>
        </is>
      </c>
      <c r="B32" s="1" t="n">
        <v>43621</v>
      </c>
      <c r="C32" s="1" t="n">
        <v>45644</v>
      </c>
      <c r="D32" t="inlineStr">
        <is>
          <t>VÄSTRA GÖTALANDS LÄN</t>
        </is>
      </c>
      <c r="E32" t="inlineStr">
        <is>
          <t>KARLSBORG</t>
        </is>
      </c>
      <c r="F32" t="inlineStr">
        <is>
          <t>Sveaskog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27997-2019</t>
        </is>
      </c>
      <c r="B33" s="1" t="n">
        <v>43621</v>
      </c>
      <c r="C33" s="1" t="n">
        <v>45644</v>
      </c>
      <c r="D33" t="inlineStr">
        <is>
          <t>VÄSTRA GÖTALANDS LÄN</t>
        </is>
      </c>
      <c r="E33" t="inlineStr">
        <is>
          <t>KARLSBORG</t>
        </is>
      </c>
      <c r="F33" t="inlineStr">
        <is>
          <t>Sveaskog</t>
        </is>
      </c>
      <c r="G33" t="n">
        <v>11.9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29556-2019</t>
        </is>
      </c>
      <c r="B34" s="1" t="n">
        <v>43630</v>
      </c>
      <c r="C34" s="1" t="n">
        <v>45644</v>
      </c>
      <c r="D34" t="inlineStr">
        <is>
          <t>VÄSTRA GÖTALANDS LÄN</t>
        </is>
      </c>
      <c r="E34" t="inlineStr">
        <is>
          <t>KARLSBORG</t>
        </is>
      </c>
      <c r="F34" t="inlineStr">
        <is>
          <t>Övriga Aktiebolag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29584-2019</t>
        </is>
      </c>
      <c r="B35" s="1" t="n">
        <v>43630</v>
      </c>
      <c r="C35" s="1" t="n">
        <v>45644</v>
      </c>
      <c r="D35" t="inlineStr">
        <is>
          <t>VÄSTRA GÖTALANDS LÄN</t>
        </is>
      </c>
      <c r="E35" t="inlineStr">
        <is>
          <t>KARLSBORG</t>
        </is>
      </c>
      <c r="F35" t="inlineStr">
        <is>
          <t>Övriga Aktiebolag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29571-2019</t>
        </is>
      </c>
      <c r="B36" s="1" t="n">
        <v>43630</v>
      </c>
      <c r="C36" s="1" t="n">
        <v>45644</v>
      </c>
      <c r="D36" t="inlineStr">
        <is>
          <t>VÄSTRA GÖTALANDS LÄN</t>
        </is>
      </c>
      <c r="E36" t="inlineStr">
        <is>
          <t>KARLSBORG</t>
        </is>
      </c>
      <c r="F36" t="inlineStr">
        <is>
          <t>Övriga Aktiebolag</t>
        </is>
      </c>
      <c r="G36" t="n">
        <v>4.8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29617-2019</t>
        </is>
      </c>
      <c r="B37" s="1" t="n">
        <v>43630</v>
      </c>
      <c r="C37" s="1" t="n">
        <v>45644</v>
      </c>
      <c r="D37" t="inlineStr">
        <is>
          <t>VÄSTRA GÖTALANDS LÄN</t>
        </is>
      </c>
      <c r="E37" t="inlineStr">
        <is>
          <t>KARLSBORG</t>
        </is>
      </c>
      <c r="F37" t="inlineStr">
        <is>
          <t>Övriga Aktiebolag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30210-2019</t>
        </is>
      </c>
      <c r="B38" s="1" t="n">
        <v>43634</v>
      </c>
      <c r="C38" s="1" t="n">
        <v>45644</v>
      </c>
      <c r="D38" t="inlineStr">
        <is>
          <t>VÄSTRA GÖTALANDS LÄN</t>
        </is>
      </c>
      <c r="E38" t="inlineStr">
        <is>
          <t>KARLSBORG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30320-2019</t>
        </is>
      </c>
      <c r="B39" s="1" t="n">
        <v>43634</v>
      </c>
      <c r="C39" s="1" t="n">
        <v>45644</v>
      </c>
      <c r="D39" t="inlineStr">
        <is>
          <t>VÄSTRA GÖTALANDS LÄN</t>
        </is>
      </c>
      <c r="E39" t="inlineStr">
        <is>
          <t>KARLSBORG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30318-2019</t>
        </is>
      </c>
      <c r="B40" s="1" t="n">
        <v>43634</v>
      </c>
      <c r="C40" s="1" t="n">
        <v>45644</v>
      </c>
      <c r="D40" t="inlineStr">
        <is>
          <t>VÄSTRA GÖTALANDS LÄN</t>
        </is>
      </c>
      <c r="E40" t="inlineStr">
        <is>
          <t>KARLSBORG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30311-2019</t>
        </is>
      </c>
      <c r="B41" s="1" t="n">
        <v>43634</v>
      </c>
      <c r="C41" s="1" t="n">
        <v>45644</v>
      </c>
      <c r="D41" t="inlineStr">
        <is>
          <t>VÄSTRA GÖTALANDS LÄN</t>
        </is>
      </c>
      <c r="E41" t="inlineStr">
        <is>
          <t>KARLSBORG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30675-2019</t>
        </is>
      </c>
      <c r="B42" s="1" t="n">
        <v>43635</v>
      </c>
      <c r="C42" s="1" t="n">
        <v>45644</v>
      </c>
      <c r="D42" t="inlineStr">
        <is>
          <t>VÄSTRA GÖTALANDS LÄN</t>
        </is>
      </c>
      <c r="E42" t="inlineStr">
        <is>
          <t>KARLSBORG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33149-2019</t>
        </is>
      </c>
      <c r="B43" s="1" t="n">
        <v>43644</v>
      </c>
      <c r="C43" s="1" t="n">
        <v>45644</v>
      </c>
      <c r="D43" t="inlineStr">
        <is>
          <t>VÄSTRA GÖTALANDS LÄN</t>
        </is>
      </c>
      <c r="E43" t="inlineStr">
        <is>
          <t>KARLSBORG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37949-2019</t>
        </is>
      </c>
      <c r="B44" s="1" t="n">
        <v>43683</v>
      </c>
      <c r="C44" s="1" t="n">
        <v>45644</v>
      </c>
      <c r="D44" t="inlineStr">
        <is>
          <t>VÄSTRA GÖTALANDS LÄN</t>
        </is>
      </c>
      <c r="E44" t="inlineStr">
        <is>
          <t>KARLSBORG</t>
        </is>
      </c>
      <c r="F44" t="inlineStr">
        <is>
          <t>Sveaskog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37942-2019</t>
        </is>
      </c>
      <c r="B45" s="1" t="n">
        <v>43683</v>
      </c>
      <c r="C45" s="1" t="n">
        <v>45644</v>
      </c>
      <c r="D45" t="inlineStr">
        <is>
          <t>VÄSTRA GÖTALANDS LÄN</t>
        </is>
      </c>
      <c r="E45" t="inlineStr">
        <is>
          <t>KARLSBORG</t>
        </is>
      </c>
      <c r="F45" t="inlineStr">
        <is>
          <t>Sveaskog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37941-2019</t>
        </is>
      </c>
      <c r="B46" s="1" t="n">
        <v>43683</v>
      </c>
      <c r="C46" s="1" t="n">
        <v>45644</v>
      </c>
      <c r="D46" t="inlineStr">
        <is>
          <t>VÄSTRA GÖTALANDS LÄN</t>
        </is>
      </c>
      <c r="E46" t="inlineStr">
        <is>
          <t>KARLSBORG</t>
        </is>
      </c>
      <c r="F46" t="inlineStr">
        <is>
          <t>Sveaskog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38503-2019</t>
        </is>
      </c>
      <c r="B47" s="1" t="n">
        <v>43685</v>
      </c>
      <c r="C47" s="1" t="n">
        <v>45644</v>
      </c>
      <c r="D47" t="inlineStr">
        <is>
          <t>VÄSTRA GÖTALANDS LÄN</t>
        </is>
      </c>
      <c r="E47" t="inlineStr">
        <is>
          <t>KARLSBORG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38536-2019</t>
        </is>
      </c>
      <c r="B48" s="1" t="n">
        <v>43685</v>
      </c>
      <c r="C48" s="1" t="n">
        <v>45644</v>
      </c>
      <c r="D48" t="inlineStr">
        <is>
          <t>VÄSTRA GÖTALANDS LÄN</t>
        </is>
      </c>
      <c r="E48" t="inlineStr">
        <is>
          <t>KARLSBORG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38496-2019</t>
        </is>
      </c>
      <c r="B49" s="1" t="n">
        <v>43685</v>
      </c>
      <c r="C49" s="1" t="n">
        <v>45644</v>
      </c>
      <c r="D49" t="inlineStr">
        <is>
          <t>VÄSTRA GÖTALANDS LÄN</t>
        </is>
      </c>
      <c r="E49" t="inlineStr">
        <is>
          <t>KARLSBORG</t>
        </is>
      </c>
      <c r="G49" t="n">
        <v>5.7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38501-2019</t>
        </is>
      </c>
      <c r="B50" s="1" t="n">
        <v>43685</v>
      </c>
      <c r="C50" s="1" t="n">
        <v>45644</v>
      </c>
      <c r="D50" t="inlineStr">
        <is>
          <t>VÄSTRA GÖTALANDS LÄN</t>
        </is>
      </c>
      <c r="E50" t="inlineStr">
        <is>
          <t>KARLSBORG</t>
        </is>
      </c>
      <c r="G50" t="n">
        <v>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39975-2019</t>
        </is>
      </c>
      <c r="B51" s="1" t="n">
        <v>43692</v>
      </c>
      <c r="C51" s="1" t="n">
        <v>45644</v>
      </c>
      <c r="D51" t="inlineStr">
        <is>
          <t>VÄSTRA GÖTALANDS LÄN</t>
        </is>
      </c>
      <c r="E51" t="inlineStr">
        <is>
          <t>KARLSBORG</t>
        </is>
      </c>
      <c r="F51" t="inlineStr">
        <is>
          <t>Sveaskog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42176-2019</t>
        </is>
      </c>
      <c r="B52" s="1" t="n">
        <v>43703</v>
      </c>
      <c r="C52" s="1" t="n">
        <v>45644</v>
      </c>
      <c r="D52" t="inlineStr">
        <is>
          <t>VÄSTRA GÖTALANDS LÄN</t>
        </is>
      </c>
      <c r="E52" t="inlineStr">
        <is>
          <t>KARLSBORG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42964-2019</t>
        </is>
      </c>
      <c r="B53" s="1" t="n">
        <v>43705</v>
      </c>
      <c r="C53" s="1" t="n">
        <v>45644</v>
      </c>
      <c r="D53" t="inlineStr">
        <is>
          <t>VÄSTRA GÖTALANDS LÄN</t>
        </is>
      </c>
      <c r="E53" t="inlineStr">
        <is>
          <t>KARLSBORG</t>
        </is>
      </c>
      <c r="F53" t="inlineStr">
        <is>
          <t>Övriga statliga verk och myndigheter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42965-2019</t>
        </is>
      </c>
      <c r="B54" s="1" t="n">
        <v>43705</v>
      </c>
      <c r="C54" s="1" t="n">
        <v>45644</v>
      </c>
      <c r="D54" t="inlineStr">
        <is>
          <t>VÄSTRA GÖTALANDS LÄN</t>
        </is>
      </c>
      <c r="E54" t="inlineStr">
        <is>
          <t>KARLSBORG</t>
        </is>
      </c>
      <c r="F54" t="inlineStr">
        <is>
          <t>Övriga statliga verk och myndigheter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45366-2019</t>
        </is>
      </c>
      <c r="B55" s="1" t="n">
        <v>43714</v>
      </c>
      <c r="C55" s="1" t="n">
        <v>45644</v>
      </c>
      <c r="D55" t="inlineStr">
        <is>
          <t>VÄSTRA GÖTALANDS LÄN</t>
        </is>
      </c>
      <c r="E55" t="inlineStr">
        <is>
          <t>KARLSBORG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47577-2019</t>
        </is>
      </c>
      <c r="B56" s="1" t="n">
        <v>43724</v>
      </c>
      <c r="C56" s="1" t="n">
        <v>45644</v>
      </c>
      <c r="D56" t="inlineStr">
        <is>
          <t>VÄSTRA GÖTALANDS LÄN</t>
        </is>
      </c>
      <c r="E56" t="inlineStr">
        <is>
          <t>KARLSBORG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49773-2019</t>
        </is>
      </c>
      <c r="B57" s="1" t="n">
        <v>43733</v>
      </c>
      <c r="C57" s="1" t="n">
        <v>45644</v>
      </c>
      <c r="D57" t="inlineStr">
        <is>
          <t>VÄSTRA GÖTALANDS LÄN</t>
        </is>
      </c>
      <c r="E57" t="inlineStr">
        <is>
          <t>KARLSBORG</t>
        </is>
      </c>
      <c r="F57" t="inlineStr">
        <is>
          <t>Sveaskog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51447-2019</t>
        </is>
      </c>
      <c r="B58" s="1" t="n">
        <v>43740</v>
      </c>
      <c r="C58" s="1" t="n">
        <v>45644</v>
      </c>
      <c r="D58" t="inlineStr">
        <is>
          <t>VÄSTRA GÖTALANDS LÄN</t>
        </is>
      </c>
      <c r="E58" t="inlineStr">
        <is>
          <t>KARLSBORG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54647-2019</t>
        </is>
      </c>
      <c r="B59" s="1" t="n">
        <v>43748</v>
      </c>
      <c r="C59" s="1" t="n">
        <v>45644</v>
      </c>
      <c r="D59" t="inlineStr">
        <is>
          <t>VÄSTRA GÖTALANDS LÄN</t>
        </is>
      </c>
      <c r="E59" t="inlineStr">
        <is>
          <t>KARLSBORG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58065-2019</t>
        </is>
      </c>
      <c r="B60" s="1" t="n">
        <v>43762</v>
      </c>
      <c r="C60" s="1" t="n">
        <v>45644</v>
      </c>
      <c r="D60" t="inlineStr">
        <is>
          <t>VÄSTRA GÖTALANDS LÄN</t>
        </is>
      </c>
      <c r="E60" t="inlineStr">
        <is>
          <t>KARLSBORG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56294-2019</t>
        </is>
      </c>
      <c r="B61" s="1" t="n">
        <v>43762</v>
      </c>
      <c r="C61" s="1" t="n">
        <v>45644</v>
      </c>
      <c r="D61" t="inlineStr">
        <is>
          <t>VÄSTRA GÖTALANDS LÄN</t>
        </is>
      </c>
      <c r="E61" t="inlineStr">
        <is>
          <t>KARLSBORG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58069-2019</t>
        </is>
      </c>
      <c r="B62" s="1" t="n">
        <v>43762</v>
      </c>
      <c r="C62" s="1" t="n">
        <v>45644</v>
      </c>
      <c r="D62" t="inlineStr">
        <is>
          <t>VÄSTRA GÖTALANDS LÄN</t>
        </is>
      </c>
      <c r="E62" t="inlineStr">
        <is>
          <t>KARLSBORG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60779-2019</t>
        </is>
      </c>
      <c r="B63" s="1" t="n">
        <v>43781</v>
      </c>
      <c r="C63" s="1" t="n">
        <v>45644</v>
      </c>
      <c r="D63" t="inlineStr">
        <is>
          <t>VÄSTRA GÖTALANDS LÄN</t>
        </is>
      </c>
      <c r="E63" t="inlineStr">
        <is>
          <t>KARLSBORG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61846-2019</t>
        </is>
      </c>
      <c r="B64" s="1" t="n">
        <v>43786</v>
      </c>
      <c r="C64" s="1" t="n">
        <v>45644</v>
      </c>
      <c r="D64" t="inlineStr">
        <is>
          <t>VÄSTRA GÖTALANDS LÄN</t>
        </is>
      </c>
      <c r="E64" t="inlineStr">
        <is>
          <t>KARLSBORG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63364-2019</t>
        </is>
      </c>
      <c r="B65" s="1" t="n">
        <v>43794</v>
      </c>
      <c r="C65" s="1" t="n">
        <v>45644</v>
      </c>
      <c r="D65" t="inlineStr">
        <is>
          <t>VÄSTRA GÖTALANDS LÄN</t>
        </is>
      </c>
      <c r="E65" t="inlineStr">
        <is>
          <t>KARLSBORG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63363-2019</t>
        </is>
      </c>
      <c r="B66" s="1" t="n">
        <v>43794</v>
      </c>
      <c r="C66" s="1" t="n">
        <v>45644</v>
      </c>
      <c r="D66" t="inlineStr">
        <is>
          <t>VÄSTRA GÖTALANDS LÄN</t>
        </is>
      </c>
      <c r="E66" t="inlineStr">
        <is>
          <t>KARLSBORG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63365-2019</t>
        </is>
      </c>
      <c r="B67" s="1" t="n">
        <v>43794</v>
      </c>
      <c r="C67" s="1" t="n">
        <v>45644</v>
      </c>
      <c r="D67" t="inlineStr">
        <is>
          <t>VÄSTRA GÖTALANDS LÄN</t>
        </is>
      </c>
      <c r="E67" t="inlineStr">
        <is>
          <t>KARLSBORG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63367-2019</t>
        </is>
      </c>
      <c r="B68" s="1" t="n">
        <v>43794</v>
      </c>
      <c r="C68" s="1" t="n">
        <v>45644</v>
      </c>
      <c r="D68" t="inlineStr">
        <is>
          <t>VÄSTRA GÖTALANDS LÄN</t>
        </is>
      </c>
      <c r="E68" t="inlineStr">
        <is>
          <t>KARLSBORG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64108-2019</t>
        </is>
      </c>
      <c r="B69" s="1" t="n">
        <v>43796</v>
      </c>
      <c r="C69" s="1" t="n">
        <v>45644</v>
      </c>
      <c r="D69" t="inlineStr">
        <is>
          <t>VÄSTRA GÖTALANDS LÄN</t>
        </is>
      </c>
      <c r="E69" t="inlineStr">
        <is>
          <t>KARLSBORG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65610-2019</t>
        </is>
      </c>
      <c r="B70" s="1" t="n">
        <v>43804</v>
      </c>
      <c r="C70" s="1" t="n">
        <v>45644</v>
      </c>
      <c r="D70" t="inlineStr">
        <is>
          <t>VÄSTRA GÖTALANDS LÄN</t>
        </is>
      </c>
      <c r="E70" t="inlineStr">
        <is>
          <t>KARLSBORG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65600-2019</t>
        </is>
      </c>
      <c r="B71" s="1" t="n">
        <v>43804</v>
      </c>
      <c r="C71" s="1" t="n">
        <v>45644</v>
      </c>
      <c r="D71" t="inlineStr">
        <is>
          <t>VÄSTRA GÖTALANDS LÄN</t>
        </is>
      </c>
      <c r="E71" t="inlineStr">
        <is>
          <t>KARLSBORG</t>
        </is>
      </c>
      <c r="G71" t="n">
        <v>9.4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65616-2019</t>
        </is>
      </c>
      <c r="B72" s="1" t="n">
        <v>43804</v>
      </c>
      <c r="C72" s="1" t="n">
        <v>45644</v>
      </c>
      <c r="D72" t="inlineStr">
        <is>
          <t>VÄSTRA GÖTALANDS LÄN</t>
        </is>
      </c>
      <c r="E72" t="inlineStr">
        <is>
          <t>KARLSBORG</t>
        </is>
      </c>
      <c r="G72" t="n">
        <v>3.6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65617-2019</t>
        </is>
      </c>
      <c r="B73" s="1" t="n">
        <v>43804</v>
      </c>
      <c r="C73" s="1" t="n">
        <v>45644</v>
      </c>
      <c r="D73" t="inlineStr">
        <is>
          <t>VÄSTRA GÖTALANDS LÄN</t>
        </is>
      </c>
      <c r="E73" t="inlineStr">
        <is>
          <t>KARLSBORG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67771-2019</t>
        </is>
      </c>
      <c r="B74" s="1" t="n">
        <v>43815</v>
      </c>
      <c r="C74" s="1" t="n">
        <v>45644</v>
      </c>
      <c r="D74" t="inlineStr">
        <is>
          <t>VÄSTRA GÖTALANDS LÄN</t>
        </is>
      </c>
      <c r="E74" t="inlineStr">
        <is>
          <t>KARLSBORG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67767-2019</t>
        </is>
      </c>
      <c r="B75" s="1" t="n">
        <v>43815</v>
      </c>
      <c r="C75" s="1" t="n">
        <v>45644</v>
      </c>
      <c r="D75" t="inlineStr">
        <is>
          <t>VÄSTRA GÖTALANDS LÄN</t>
        </is>
      </c>
      <c r="E75" t="inlineStr">
        <is>
          <t>KARLSBORG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1950-2020</t>
        </is>
      </c>
      <c r="B76" s="1" t="n">
        <v>43838</v>
      </c>
      <c r="C76" s="1" t="n">
        <v>45644</v>
      </c>
      <c r="D76" t="inlineStr">
        <is>
          <t>VÄSTRA GÖTALANDS LÄN</t>
        </is>
      </c>
      <c r="E76" t="inlineStr">
        <is>
          <t>KARLSBORG</t>
        </is>
      </c>
      <c r="G76" t="n">
        <v>22.8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3650-2020</t>
        </is>
      </c>
      <c r="B77" s="1" t="n">
        <v>43853</v>
      </c>
      <c r="C77" s="1" t="n">
        <v>45644</v>
      </c>
      <c r="D77" t="inlineStr">
        <is>
          <t>VÄSTRA GÖTALANDS LÄN</t>
        </is>
      </c>
      <c r="E77" t="inlineStr">
        <is>
          <t>KARLSBORG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6596-2020</t>
        </is>
      </c>
      <c r="B78" s="1" t="n">
        <v>43865</v>
      </c>
      <c r="C78" s="1" t="n">
        <v>45644</v>
      </c>
      <c r="D78" t="inlineStr">
        <is>
          <t>VÄSTRA GÖTALANDS LÄN</t>
        </is>
      </c>
      <c r="E78" t="inlineStr">
        <is>
          <t>KARLSBORG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8021-2020</t>
        </is>
      </c>
      <c r="B79" s="1" t="n">
        <v>43873</v>
      </c>
      <c r="C79" s="1" t="n">
        <v>45644</v>
      </c>
      <c r="D79" t="inlineStr">
        <is>
          <t>VÄSTRA GÖTALANDS LÄN</t>
        </is>
      </c>
      <c r="E79" t="inlineStr">
        <is>
          <t>KARLSBORG</t>
        </is>
      </c>
      <c r="F79" t="inlineStr">
        <is>
          <t>Övriga Aktiebolag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8018-2020</t>
        </is>
      </c>
      <c r="B80" s="1" t="n">
        <v>43873</v>
      </c>
      <c r="C80" s="1" t="n">
        <v>45644</v>
      </c>
      <c r="D80" t="inlineStr">
        <is>
          <t>VÄSTRA GÖTALANDS LÄN</t>
        </is>
      </c>
      <c r="E80" t="inlineStr">
        <is>
          <t>KARLSBORG</t>
        </is>
      </c>
      <c r="F80" t="inlineStr">
        <is>
          <t>Övriga Aktiebolag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8161-2020</t>
        </is>
      </c>
      <c r="B81" s="1" t="n">
        <v>43874</v>
      </c>
      <c r="C81" s="1" t="n">
        <v>45644</v>
      </c>
      <c r="D81" t="inlineStr">
        <is>
          <t>VÄSTRA GÖTALANDS LÄN</t>
        </is>
      </c>
      <c r="E81" t="inlineStr">
        <is>
          <t>KARLSBORG</t>
        </is>
      </c>
      <c r="F81" t="inlineStr">
        <is>
          <t>Övriga Aktiebolag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8069-2020</t>
        </is>
      </c>
      <c r="B82" s="1" t="n">
        <v>43874</v>
      </c>
      <c r="C82" s="1" t="n">
        <v>45644</v>
      </c>
      <c r="D82" t="inlineStr">
        <is>
          <t>VÄSTRA GÖTALANDS LÄN</t>
        </is>
      </c>
      <c r="E82" t="inlineStr">
        <is>
          <t>KARLSBORG</t>
        </is>
      </c>
      <c r="F82" t="inlineStr">
        <is>
          <t>Övriga Aktiebolag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8167-2020</t>
        </is>
      </c>
      <c r="B83" s="1" t="n">
        <v>43874</v>
      </c>
      <c r="C83" s="1" t="n">
        <v>45644</v>
      </c>
      <c r="D83" t="inlineStr">
        <is>
          <t>VÄSTRA GÖTALANDS LÄN</t>
        </is>
      </c>
      <c r="E83" t="inlineStr">
        <is>
          <t>KARLSBORG</t>
        </is>
      </c>
      <c r="F83" t="inlineStr">
        <is>
          <t>Övriga Aktiebolag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8172-2020</t>
        </is>
      </c>
      <c r="B84" s="1" t="n">
        <v>43874</v>
      </c>
      <c r="C84" s="1" t="n">
        <v>45644</v>
      </c>
      <c r="D84" t="inlineStr">
        <is>
          <t>VÄSTRA GÖTALANDS LÄN</t>
        </is>
      </c>
      <c r="E84" t="inlineStr">
        <is>
          <t>KARLSBORG</t>
        </is>
      </c>
      <c r="F84" t="inlineStr">
        <is>
          <t>Övriga Aktiebolag</t>
        </is>
      </c>
      <c r="G84" t="n">
        <v>12.5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8155-2020</t>
        </is>
      </c>
      <c r="B85" s="1" t="n">
        <v>43874</v>
      </c>
      <c r="C85" s="1" t="n">
        <v>45644</v>
      </c>
      <c r="D85" t="inlineStr">
        <is>
          <t>VÄSTRA GÖTALANDS LÄN</t>
        </is>
      </c>
      <c r="E85" t="inlineStr">
        <is>
          <t>KARLSBORG</t>
        </is>
      </c>
      <c r="F85" t="inlineStr">
        <is>
          <t>Övriga Aktiebolag</t>
        </is>
      </c>
      <c r="G85" t="n">
        <v>12.8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14666-2020</t>
        </is>
      </c>
      <c r="B86" s="1" t="n">
        <v>43902</v>
      </c>
      <c r="C86" s="1" t="n">
        <v>45644</v>
      </c>
      <c r="D86" t="inlineStr">
        <is>
          <t>VÄSTRA GÖTALANDS LÄN</t>
        </is>
      </c>
      <c r="E86" t="inlineStr">
        <is>
          <t>KARLSBORG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14784-2020</t>
        </is>
      </c>
      <c r="B87" s="1" t="n">
        <v>43909</v>
      </c>
      <c r="C87" s="1" t="n">
        <v>45644</v>
      </c>
      <c r="D87" t="inlineStr">
        <is>
          <t>VÄSTRA GÖTALANDS LÄN</t>
        </is>
      </c>
      <c r="E87" t="inlineStr">
        <is>
          <t>KARLSBORG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14808-2020</t>
        </is>
      </c>
      <c r="B88" s="1" t="n">
        <v>43909</v>
      </c>
      <c r="C88" s="1" t="n">
        <v>45644</v>
      </c>
      <c r="D88" t="inlineStr">
        <is>
          <t>VÄSTRA GÖTALANDS LÄN</t>
        </is>
      </c>
      <c r="E88" t="inlineStr">
        <is>
          <t>KARLSBORG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19012-2020</t>
        </is>
      </c>
      <c r="B89" s="1" t="n">
        <v>43936</v>
      </c>
      <c r="C89" s="1" t="n">
        <v>45644</v>
      </c>
      <c r="D89" t="inlineStr">
        <is>
          <t>VÄSTRA GÖTALANDS LÄN</t>
        </is>
      </c>
      <c r="E89" t="inlineStr">
        <is>
          <t>KARLSBORG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21147-2020</t>
        </is>
      </c>
      <c r="B90" s="1" t="n">
        <v>43951</v>
      </c>
      <c r="C90" s="1" t="n">
        <v>45644</v>
      </c>
      <c r="D90" t="inlineStr">
        <is>
          <t>VÄSTRA GÖTALANDS LÄN</t>
        </is>
      </c>
      <c r="E90" t="inlineStr">
        <is>
          <t>KARLSBORG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21719-2020</t>
        </is>
      </c>
      <c r="B91" s="1" t="n">
        <v>43957</v>
      </c>
      <c r="C91" s="1" t="n">
        <v>45644</v>
      </c>
      <c r="D91" t="inlineStr">
        <is>
          <t>VÄSTRA GÖTALANDS LÄN</t>
        </is>
      </c>
      <c r="E91" t="inlineStr">
        <is>
          <t>KARLSBORG</t>
        </is>
      </c>
      <c r="G91" t="n">
        <v>9.9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24106-2020</t>
        </is>
      </c>
      <c r="B92" s="1" t="n">
        <v>43973</v>
      </c>
      <c r="C92" s="1" t="n">
        <v>45644</v>
      </c>
      <c r="D92" t="inlineStr">
        <is>
          <t>VÄSTRA GÖTALANDS LÄN</t>
        </is>
      </c>
      <c r="E92" t="inlineStr">
        <is>
          <t>KARLSBORG</t>
        </is>
      </c>
      <c r="F92" t="inlineStr">
        <is>
          <t>Sveaskog</t>
        </is>
      </c>
      <c r="G92" t="n">
        <v>5.4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24109-2020</t>
        </is>
      </c>
      <c r="B93" s="1" t="n">
        <v>43973</v>
      </c>
      <c r="C93" s="1" t="n">
        <v>45644</v>
      </c>
      <c r="D93" t="inlineStr">
        <is>
          <t>VÄSTRA GÖTALANDS LÄN</t>
        </is>
      </c>
      <c r="E93" t="inlineStr">
        <is>
          <t>KARLSBORG</t>
        </is>
      </c>
      <c r="F93" t="inlineStr">
        <is>
          <t>Sveaskog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24110-2020</t>
        </is>
      </c>
      <c r="B94" s="1" t="n">
        <v>43973</v>
      </c>
      <c r="C94" s="1" t="n">
        <v>45644</v>
      </c>
      <c r="D94" t="inlineStr">
        <is>
          <t>VÄSTRA GÖTALANDS LÄN</t>
        </is>
      </c>
      <c r="E94" t="inlineStr">
        <is>
          <t>KARLSBORG</t>
        </is>
      </c>
      <c r="F94" t="inlineStr">
        <is>
          <t>Sveaskog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24841-2020</t>
        </is>
      </c>
      <c r="B95" s="1" t="n">
        <v>43978</v>
      </c>
      <c r="C95" s="1" t="n">
        <v>45644</v>
      </c>
      <c r="D95" t="inlineStr">
        <is>
          <t>VÄSTRA GÖTALANDS LÄN</t>
        </is>
      </c>
      <c r="E95" t="inlineStr">
        <is>
          <t>KARLSBORG</t>
        </is>
      </c>
      <c r="F95" t="inlineStr">
        <is>
          <t>Sveaskog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25740-2020</t>
        </is>
      </c>
      <c r="B96" s="1" t="n">
        <v>43984</v>
      </c>
      <c r="C96" s="1" t="n">
        <v>45644</v>
      </c>
      <c r="D96" t="inlineStr">
        <is>
          <t>VÄSTRA GÖTALANDS LÄN</t>
        </is>
      </c>
      <c r="E96" t="inlineStr">
        <is>
          <t>KARLSBORG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26753-2020</t>
        </is>
      </c>
      <c r="B97" s="1" t="n">
        <v>43990</v>
      </c>
      <c r="C97" s="1" t="n">
        <v>45644</v>
      </c>
      <c r="D97" t="inlineStr">
        <is>
          <t>VÄSTRA GÖTALANDS LÄN</t>
        </is>
      </c>
      <c r="E97" t="inlineStr">
        <is>
          <t>KARLSBORG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34624-2020</t>
        </is>
      </c>
      <c r="B98" s="1" t="n">
        <v>44034</v>
      </c>
      <c r="C98" s="1" t="n">
        <v>45644</v>
      </c>
      <c r="D98" t="inlineStr">
        <is>
          <t>VÄSTRA GÖTALANDS LÄN</t>
        </is>
      </c>
      <c r="E98" t="inlineStr">
        <is>
          <t>KARLSBORG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41215-2020</t>
        </is>
      </c>
      <c r="B99" s="1" t="n">
        <v>44069</v>
      </c>
      <c r="C99" s="1" t="n">
        <v>45644</v>
      </c>
      <c r="D99" t="inlineStr">
        <is>
          <t>VÄSTRA GÖTALANDS LÄN</t>
        </is>
      </c>
      <c r="E99" t="inlineStr">
        <is>
          <t>KARLSBORG</t>
        </is>
      </c>
      <c r="G99" t="n">
        <v>6.7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41385-2020</t>
        </is>
      </c>
      <c r="B100" s="1" t="n">
        <v>44072</v>
      </c>
      <c r="C100" s="1" t="n">
        <v>45644</v>
      </c>
      <c r="D100" t="inlineStr">
        <is>
          <t>VÄSTRA GÖTALANDS LÄN</t>
        </is>
      </c>
      <c r="E100" t="inlineStr">
        <is>
          <t>KARLSBORG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45472-2020</t>
        </is>
      </c>
      <c r="B101" s="1" t="n">
        <v>44089</v>
      </c>
      <c r="C101" s="1" t="n">
        <v>45644</v>
      </c>
      <c r="D101" t="inlineStr">
        <is>
          <t>VÄSTRA GÖTALANDS LÄN</t>
        </is>
      </c>
      <c r="E101" t="inlineStr">
        <is>
          <t>KARLSBORG</t>
        </is>
      </c>
      <c r="F101" t="inlineStr">
        <is>
          <t>Övriga Aktiebolag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45475-2020</t>
        </is>
      </c>
      <c r="B102" s="1" t="n">
        <v>44089</v>
      </c>
      <c r="C102" s="1" t="n">
        <v>45644</v>
      </c>
      <c r="D102" t="inlineStr">
        <is>
          <t>VÄSTRA GÖTALANDS LÄN</t>
        </is>
      </c>
      <c r="E102" t="inlineStr">
        <is>
          <t>KARLSBORG</t>
        </is>
      </c>
      <c r="F102" t="inlineStr">
        <is>
          <t>Övriga Aktiebolag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49416-2020</t>
        </is>
      </c>
      <c r="B103" s="1" t="n">
        <v>44105</v>
      </c>
      <c r="C103" s="1" t="n">
        <v>45644</v>
      </c>
      <c r="D103" t="inlineStr">
        <is>
          <t>VÄSTRA GÖTALANDS LÄN</t>
        </is>
      </c>
      <c r="E103" t="inlineStr">
        <is>
          <t>KARLSBORG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51253-2020</t>
        </is>
      </c>
      <c r="B104" s="1" t="n">
        <v>44112</v>
      </c>
      <c r="C104" s="1" t="n">
        <v>45644</v>
      </c>
      <c r="D104" t="inlineStr">
        <is>
          <t>VÄSTRA GÖTALANDS LÄN</t>
        </is>
      </c>
      <c r="E104" t="inlineStr">
        <is>
          <t>KARLSBORG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52353-2020</t>
        </is>
      </c>
      <c r="B105" s="1" t="n">
        <v>44118</v>
      </c>
      <c r="C105" s="1" t="n">
        <v>45644</v>
      </c>
      <c r="D105" t="inlineStr">
        <is>
          <t>VÄSTRA GÖTALANDS LÄN</t>
        </is>
      </c>
      <c r="E105" t="inlineStr">
        <is>
          <t>KARLSBORG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58167-2020</t>
        </is>
      </c>
      <c r="B106" s="1" t="n">
        <v>44144</v>
      </c>
      <c r="C106" s="1" t="n">
        <v>45644</v>
      </c>
      <c r="D106" t="inlineStr">
        <is>
          <t>VÄSTRA GÖTALANDS LÄN</t>
        </is>
      </c>
      <c r="E106" t="inlineStr">
        <is>
          <t>KARLSBORG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58181-2020</t>
        </is>
      </c>
      <c r="B107" s="1" t="n">
        <v>44144</v>
      </c>
      <c r="C107" s="1" t="n">
        <v>45644</v>
      </c>
      <c r="D107" t="inlineStr">
        <is>
          <t>VÄSTRA GÖTALANDS LÄN</t>
        </is>
      </c>
      <c r="E107" t="inlineStr">
        <is>
          <t>KARLSBORG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66530-2020</t>
        </is>
      </c>
      <c r="B108" s="1" t="n">
        <v>44179</v>
      </c>
      <c r="C108" s="1" t="n">
        <v>45644</v>
      </c>
      <c r="D108" t="inlineStr">
        <is>
          <t>VÄSTRA GÖTALANDS LÄN</t>
        </is>
      </c>
      <c r="E108" t="inlineStr">
        <is>
          <t>KARLSBORG</t>
        </is>
      </c>
      <c r="F108" t="inlineStr">
        <is>
          <t>Övriga Aktiebolag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67443-2020</t>
        </is>
      </c>
      <c r="B109" s="1" t="n">
        <v>44181</v>
      </c>
      <c r="C109" s="1" t="n">
        <v>45644</v>
      </c>
      <c r="D109" t="inlineStr">
        <is>
          <t>VÄSTRA GÖTALANDS LÄN</t>
        </is>
      </c>
      <c r="E109" t="inlineStr">
        <is>
          <t>KARLSBORG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67554-2020</t>
        </is>
      </c>
      <c r="B110" s="1" t="n">
        <v>44181</v>
      </c>
      <c r="C110" s="1" t="n">
        <v>45644</v>
      </c>
      <c r="D110" t="inlineStr">
        <is>
          <t>VÄSTRA GÖTALANDS LÄN</t>
        </is>
      </c>
      <c r="E110" t="inlineStr">
        <is>
          <t>KARLSBORG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67970-2020</t>
        </is>
      </c>
      <c r="B111" s="1" t="n">
        <v>44182</v>
      </c>
      <c r="C111" s="1" t="n">
        <v>45644</v>
      </c>
      <c r="D111" t="inlineStr">
        <is>
          <t>VÄSTRA GÖTALANDS LÄN</t>
        </is>
      </c>
      <c r="E111" t="inlineStr">
        <is>
          <t>KARLSBORG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69483-2020</t>
        </is>
      </c>
      <c r="B112" s="1" t="n">
        <v>44194</v>
      </c>
      <c r="C112" s="1" t="n">
        <v>45644</v>
      </c>
      <c r="D112" t="inlineStr">
        <is>
          <t>VÄSTRA GÖTALANDS LÄN</t>
        </is>
      </c>
      <c r="E112" t="inlineStr">
        <is>
          <t>KARLSBORG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30-2021</t>
        </is>
      </c>
      <c r="B113" s="1" t="n">
        <v>44198</v>
      </c>
      <c r="C113" s="1" t="n">
        <v>45644</v>
      </c>
      <c r="D113" t="inlineStr">
        <is>
          <t>VÄSTRA GÖTALANDS LÄN</t>
        </is>
      </c>
      <c r="E113" t="inlineStr">
        <is>
          <t>KARLSBORG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1519-2021</t>
        </is>
      </c>
      <c r="B114" s="1" t="n">
        <v>44209</v>
      </c>
      <c r="C114" s="1" t="n">
        <v>45644</v>
      </c>
      <c r="D114" t="inlineStr">
        <is>
          <t>VÄSTRA GÖTALANDS LÄN</t>
        </is>
      </c>
      <c r="E114" t="inlineStr">
        <is>
          <t>KARLSBORG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3294-2021</t>
        </is>
      </c>
      <c r="B115" s="1" t="n">
        <v>44217</v>
      </c>
      <c r="C115" s="1" t="n">
        <v>45644</v>
      </c>
      <c r="D115" t="inlineStr">
        <is>
          <t>VÄSTRA GÖTALANDS LÄN</t>
        </is>
      </c>
      <c r="E115" t="inlineStr">
        <is>
          <t>KARLSBORG</t>
        </is>
      </c>
      <c r="F115" t="inlineStr">
        <is>
          <t>Övriga Aktiebolag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3708-2021</t>
        </is>
      </c>
      <c r="B116" s="1" t="n">
        <v>44221</v>
      </c>
      <c r="C116" s="1" t="n">
        <v>45644</v>
      </c>
      <c r="D116" t="inlineStr">
        <is>
          <t>VÄSTRA GÖTALANDS LÄN</t>
        </is>
      </c>
      <c r="E116" t="inlineStr">
        <is>
          <t>KARLSBORG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4092-2021</t>
        </is>
      </c>
      <c r="B117" s="1" t="n">
        <v>44222</v>
      </c>
      <c r="C117" s="1" t="n">
        <v>45644</v>
      </c>
      <c r="D117" t="inlineStr">
        <is>
          <t>VÄSTRA GÖTALANDS LÄN</t>
        </is>
      </c>
      <c r="E117" t="inlineStr">
        <is>
          <t>KARLSBORG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4780-2021</t>
        </is>
      </c>
      <c r="B118" s="1" t="n">
        <v>44225</v>
      </c>
      <c r="C118" s="1" t="n">
        <v>45644</v>
      </c>
      <c r="D118" t="inlineStr">
        <is>
          <t>VÄSTRA GÖTALANDS LÄN</t>
        </is>
      </c>
      <c r="E118" t="inlineStr">
        <is>
          <t>KARLSBORG</t>
        </is>
      </c>
      <c r="G118" t="n">
        <v>5.6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9191-2021</t>
        </is>
      </c>
      <c r="B119" s="1" t="n">
        <v>44250</v>
      </c>
      <c r="C119" s="1" t="n">
        <v>45644</v>
      </c>
      <c r="D119" t="inlineStr">
        <is>
          <t>VÄSTRA GÖTALANDS LÄN</t>
        </is>
      </c>
      <c r="E119" t="inlineStr">
        <is>
          <t>KARLSBORG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12206-2021</t>
        </is>
      </c>
      <c r="B120" s="1" t="n">
        <v>44266</v>
      </c>
      <c r="C120" s="1" t="n">
        <v>45644</v>
      </c>
      <c r="D120" t="inlineStr">
        <is>
          <t>VÄSTRA GÖTALANDS LÄN</t>
        </is>
      </c>
      <c r="E120" t="inlineStr">
        <is>
          <t>KARLSBORG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12208-2021</t>
        </is>
      </c>
      <c r="B121" s="1" t="n">
        <v>44266</v>
      </c>
      <c r="C121" s="1" t="n">
        <v>45644</v>
      </c>
      <c r="D121" t="inlineStr">
        <is>
          <t>VÄSTRA GÖTALANDS LÄN</t>
        </is>
      </c>
      <c r="E121" t="inlineStr">
        <is>
          <t>KARLSBORG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12204-2021</t>
        </is>
      </c>
      <c r="B122" s="1" t="n">
        <v>44266</v>
      </c>
      <c r="C122" s="1" t="n">
        <v>45644</v>
      </c>
      <c r="D122" t="inlineStr">
        <is>
          <t>VÄSTRA GÖTALANDS LÄN</t>
        </is>
      </c>
      <c r="E122" t="inlineStr">
        <is>
          <t>KARLSBORG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12219-2021</t>
        </is>
      </c>
      <c r="B123" s="1" t="n">
        <v>44266</v>
      </c>
      <c r="C123" s="1" t="n">
        <v>45644</v>
      </c>
      <c r="D123" t="inlineStr">
        <is>
          <t>VÄSTRA GÖTALANDS LÄN</t>
        </is>
      </c>
      <c r="E123" t="inlineStr">
        <is>
          <t>KARLSBORG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15620-2021</t>
        </is>
      </c>
      <c r="B124" s="1" t="n">
        <v>44285</v>
      </c>
      <c r="C124" s="1" t="n">
        <v>45644</v>
      </c>
      <c r="D124" t="inlineStr">
        <is>
          <t>VÄSTRA GÖTALANDS LÄN</t>
        </is>
      </c>
      <c r="E124" t="inlineStr">
        <is>
          <t>KARLSBORG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16179-2021</t>
        </is>
      </c>
      <c r="B125" s="1" t="n">
        <v>44292</v>
      </c>
      <c r="C125" s="1" t="n">
        <v>45644</v>
      </c>
      <c r="D125" t="inlineStr">
        <is>
          <t>VÄSTRA GÖTALANDS LÄN</t>
        </is>
      </c>
      <c r="E125" t="inlineStr">
        <is>
          <t>KARLSBORG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16796-2021</t>
        </is>
      </c>
      <c r="B126" s="1" t="n">
        <v>44295</v>
      </c>
      <c r="C126" s="1" t="n">
        <v>45644</v>
      </c>
      <c r="D126" t="inlineStr">
        <is>
          <t>VÄSTRA GÖTALANDS LÄN</t>
        </is>
      </c>
      <c r="E126" t="inlineStr">
        <is>
          <t>KARLSBORG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19739-2021</t>
        </is>
      </c>
      <c r="B127" s="1" t="n">
        <v>44313</v>
      </c>
      <c r="C127" s="1" t="n">
        <v>45644</v>
      </c>
      <c r="D127" t="inlineStr">
        <is>
          <t>VÄSTRA GÖTALANDS LÄN</t>
        </is>
      </c>
      <c r="E127" t="inlineStr">
        <is>
          <t>KARLSBORG</t>
        </is>
      </c>
      <c r="F127" t="inlineStr">
        <is>
          <t>Sveaskog</t>
        </is>
      </c>
      <c r="G127" t="n">
        <v>4.4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20372-2021</t>
        </is>
      </c>
      <c r="B128" s="1" t="n">
        <v>44315</v>
      </c>
      <c r="C128" s="1" t="n">
        <v>45644</v>
      </c>
      <c r="D128" t="inlineStr">
        <is>
          <t>VÄSTRA GÖTALANDS LÄN</t>
        </is>
      </c>
      <c r="E128" t="inlineStr">
        <is>
          <t>KARLSBORG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20455-2021</t>
        </is>
      </c>
      <c r="B129" s="1" t="n">
        <v>44315</v>
      </c>
      <c r="C129" s="1" t="n">
        <v>45644</v>
      </c>
      <c r="D129" t="inlineStr">
        <is>
          <t>VÄSTRA GÖTALANDS LÄN</t>
        </is>
      </c>
      <c r="E129" t="inlineStr">
        <is>
          <t>KARLSBORG</t>
        </is>
      </c>
      <c r="F129" t="inlineStr">
        <is>
          <t>Övriga Aktiebolag</t>
        </is>
      </c>
      <c r="G129" t="n">
        <v>7.6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20467-2021</t>
        </is>
      </c>
      <c r="B130" s="1" t="n">
        <v>44315</v>
      </c>
      <c r="C130" s="1" t="n">
        <v>45644</v>
      </c>
      <c r="D130" t="inlineStr">
        <is>
          <t>VÄSTRA GÖTALANDS LÄN</t>
        </is>
      </c>
      <c r="E130" t="inlineStr">
        <is>
          <t>KARLSBORG</t>
        </is>
      </c>
      <c r="F130" t="inlineStr">
        <is>
          <t>Övriga Aktiebolag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21978-2021</t>
        </is>
      </c>
      <c r="B131" s="1" t="n">
        <v>44323</v>
      </c>
      <c r="C131" s="1" t="n">
        <v>45644</v>
      </c>
      <c r="D131" t="inlineStr">
        <is>
          <t>VÄSTRA GÖTALANDS LÄN</t>
        </is>
      </c>
      <c r="E131" t="inlineStr">
        <is>
          <t>KARLSBORG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25782-2021</t>
        </is>
      </c>
      <c r="B132" s="1" t="n">
        <v>44343</v>
      </c>
      <c r="C132" s="1" t="n">
        <v>45644</v>
      </c>
      <c r="D132" t="inlineStr">
        <is>
          <t>VÄSTRA GÖTALANDS LÄN</t>
        </is>
      </c>
      <c r="E132" t="inlineStr">
        <is>
          <t>KARLSBORG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26467-2021</t>
        </is>
      </c>
      <c r="B133" s="1" t="n">
        <v>44348</v>
      </c>
      <c r="C133" s="1" t="n">
        <v>45644</v>
      </c>
      <c r="D133" t="inlineStr">
        <is>
          <t>VÄSTRA GÖTALANDS LÄN</t>
        </is>
      </c>
      <c r="E133" t="inlineStr">
        <is>
          <t>KARLSBORG</t>
        </is>
      </c>
      <c r="F133" t="inlineStr">
        <is>
          <t>Kommuner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29386-2021</t>
        </is>
      </c>
      <c r="B134" s="1" t="n">
        <v>44361</v>
      </c>
      <c r="C134" s="1" t="n">
        <v>45644</v>
      </c>
      <c r="D134" t="inlineStr">
        <is>
          <t>VÄSTRA GÖTALANDS LÄN</t>
        </is>
      </c>
      <c r="E134" t="inlineStr">
        <is>
          <t>KARLSBORG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32314-2021</t>
        </is>
      </c>
      <c r="B135" s="1" t="n">
        <v>44371</v>
      </c>
      <c r="C135" s="1" t="n">
        <v>45644</v>
      </c>
      <c r="D135" t="inlineStr">
        <is>
          <t>VÄSTRA GÖTALANDS LÄN</t>
        </is>
      </c>
      <c r="E135" t="inlineStr">
        <is>
          <t>KARLSBORG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32737-2021</t>
        </is>
      </c>
      <c r="B136" s="1" t="n">
        <v>44375</v>
      </c>
      <c r="C136" s="1" t="n">
        <v>45644</v>
      </c>
      <c r="D136" t="inlineStr">
        <is>
          <t>VÄSTRA GÖTALANDS LÄN</t>
        </is>
      </c>
      <c r="E136" t="inlineStr">
        <is>
          <t>KARLSBORG</t>
        </is>
      </c>
      <c r="G136" t="n">
        <v>7.4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41954-2021</t>
        </is>
      </c>
      <c r="B137" s="1" t="n">
        <v>44426</v>
      </c>
      <c r="C137" s="1" t="n">
        <v>45644</v>
      </c>
      <c r="D137" t="inlineStr">
        <is>
          <t>VÄSTRA GÖTALANDS LÄN</t>
        </is>
      </c>
      <c r="E137" t="inlineStr">
        <is>
          <t>KARLSBORG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42501-2021</t>
        </is>
      </c>
      <c r="B138" s="1" t="n">
        <v>44427</v>
      </c>
      <c r="C138" s="1" t="n">
        <v>45644</v>
      </c>
      <c r="D138" t="inlineStr">
        <is>
          <t>VÄSTRA GÖTALANDS LÄN</t>
        </is>
      </c>
      <c r="E138" t="inlineStr">
        <is>
          <t>KARLSBORG</t>
        </is>
      </c>
      <c r="F138" t="inlineStr">
        <is>
          <t>Övriga Aktiebolag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42661-2021</t>
        </is>
      </c>
      <c r="B139" s="1" t="n">
        <v>44428</v>
      </c>
      <c r="C139" s="1" t="n">
        <v>45644</v>
      </c>
      <c r="D139" t="inlineStr">
        <is>
          <t>VÄSTRA GÖTALANDS LÄN</t>
        </is>
      </c>
      <c r="E139" t="inlineStr">
        <is>
          <t>KARLSBORG</t>
        </is>
      </c>
      <c r="F139" t="inlineStr">
        <is>
          <t>Kyrkan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43021-2021</t>
        </is>
      </c>
      <c r="B140" s="1" t="n">
        <v>44431</v>
      </c>
      <c r="C140" s="1" t="n">
        <v>45644</v>
      </c>
      <c r="D140" t="inlineStr">
        <is>
          <t>VÄSTRA GÖTALANDS LÄN</t>
        </is>
      </c>
      <c r="E140" t="inlineStr">
        <is>
          <t>KARLSBORG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45224-2021</t>
        </is>
      </c>
      <c r="B141" s="1" t="n">
        <v>44439</v>
      </c>
      <c r="C141" s="1" t="n">
        <v>45644</v>
      </c>
      <c r="D141" t="inlineStr">
        <is>
          <t>VÄSTRA GÖTALANDS LÄN</t>
        </is>
      </c>
      <c r="E141" t="inlineStr">
        <is>
          <t>KARLSBORG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47692-2021</t>
        </is>
      </c>
      <c r="B142" s="1" t="n">
        <v>44448</v>
      </c>
      <c r="C142" s="1" t="n">
        <v>45644</v>
      </c>
      <c r="D142" t="inlineStr">
        <is>
          <t>VÄSTRA GÖTALANDS LÄN</t>
        </is>
      </c>
      <c r="E142" t="inlineStr">
        <is>
          <t>KARLSBORG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47698-2021</t>
        </is>
      </c>
      <c r="B143" s="1" t="n">
        <v>44448</v>
      </c>
      <c r="C143" s="1" t="n">
        <v>45644</v>
      </c>
      <c r="D143" t="inlineStr">
        <is>
          <t>VÄSTRA GÖTALANDS LÄN</t>
        </is>
      </c>
      <c r="E143" t="inlineStr">
        <is>
          <t>KARLSBORG</t>
        </is>
      </c>
      <c r="G143" t="n">
        <v>9.699999999999999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47703-2021</t>
        </is>
      </c>
      <c r="B144" s="1" t="n">
        <v>44448</v>
      </c>
      <c r="C144" s="1" t="n">
        <v>45644</v>
      </c>
      <c r="D144" t="inlineStr">
        <is>
          <t>VÄSTRA GÖTALANDS LÄN</t>
        </is>
      </c>
      <c r="E144" t="inlineStr">
        <is>
          <t>KARLSBORG</t>
        </is>
      </c>
      <c r="G144" t="n">
        <v>12.9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53700-2021</t>
        </is>
      </c>
      <c r="B145" s="1" t="n">
        <v>44469</v>
      </c>
      <c r="C145" s="1" t="n">
        <v>45644</v>
      </c>
      <c r="D145" t="inlineStr">
        <is>
          <t>VÄSTRA GÖTALANDS LÄN</t>
        </is>
      </c>
      <c r="E145" t="inlineStr">
        <is>
          <t>KARLSBORG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53898-2021</t>
        </is>
      </c>
      <c r="B146" s="1" t="n">
        <v>44469</v>
      </c>
      <c r="C146" s="1" t="n">
        <v>45644</v>
      </c>
      <c r="D146" t="inlineStr">
        <is>
          <t>VÄSTRA GÖTALANDS LÄN</t>
        </is>
      </c>
      <c r="E146" t="inlineStr">
        <is>
          <t>KARLSBORG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55831-2021</t>
        </is>
      </c>
      <c r="B147" s="1" t="n">
        <v>44476</v>
      </c>
      <c r="C147" s="1" t="n">
        <v>45644</v>
      </c>
      <c r="D147" t="inlineStr">
        <is>
          <t>VÄSTRA GÖTALANDS LÄN</t>
        </is>
      </c>
      <c r="E147" t="inlineStr">
        <is>
          <t>KARLSBORG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59248-2021</t>
        </is>
      </c>
      <c r="B148" s="1" t="n">
        <v>44490</v>
      </c>
      <c r="C148" s="1" t="n">
        <v>45644</v>
      </c>
      <c r="D148" t="inlineStr">
        <is>
          <t>VÄSTRA GÖTALANDS LÄN</t>
        </is>
      </c>
      <c r="E148" t="inlineStr">
        <is>
          <t>KARLSBORG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59712-2021</t>
        </is>
      </c>
      <c r="B149" s="1" t="n">
        <v>44494</v>
      </c>
      <c r="C149" s="1" t="n">
        <v>45644</v>
      </c>
      <c r="D149" t="inlineStr">
        <is>
          <t>VÄSTRA GÖTALANDS LÄN</t>
        </is>
      </c>
      <c r="E149" t="inlineStr">
        <is>
          <t>KARLSBORG</t>
        </is>
      </c>
      <c r="F149" t="inlineStr">
        <is>
          <t>Sveaskog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59877-2021</t>
        </is>
      </c>
      <c r="B150" s="1" t="n">
        <v>44494</v>
      </c>
      <c r="C150" s="1" t="n">
        <v>45644</v>
      </c>
      <c r="D150" t="inlineStr">
        <is>
          <t>VÄSTRA GÖTALANDS LÄN</t>
        </is>
      </c>
      <c r="E150" t="inlineStr">
        <is>
          <t>KARLSBORG</t>
        </is>
      </c>
      <c r="F150" t="inlineStr">
        <is>
          <t>Övriga statliga verk och myndigheter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59883-2021</t>
        </is>
      </c>
      <c r="B151" s="1" t="n">
        <v>44494</v>
      </c>
      <c r="C151" s="1" t="n">
        <v>45644</v>
      </c>
      <c r="D151" t="inlineStr">
        <is>
          <t>VÄSTRA GÖTALANDS LÄN</t>
        </is>
      </c>
      <c r="E151" t="inlineStr">
        <is>
          <t>KARLSBORG</t>
        </is>
      </c>
      <c r="F151" t="inlineStr">
        <is>
          <t>Övriga statliga verk och myndigheter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59890-2021</t>
        </is>
      </c>
      <c r="B152" s="1" t="n">
        <v>44494</v>
      </c>
      <c r="C152" s="1" t="n">
        <v>45644</v>
      </c>
      <c r="D152" t="inlineStr">
        <is>
          <t>VÄSTRA GÖTALANDS LÄN</t>
        </is>
      </c>
      <c r="E152" t="inlineStr">
        <is>
          <t>KARLSBORG</t>
        </is>
      </c>
      <c r="F152" t="inlineStr">
        <is>
          <t>Övriga statliga verk och myndigheter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59884-2021</t>
        </is>
      </c>
      <c r="B153" s="1" t="n">
        <v>44494</v>
      </c>
      <c r="C153" s="1" t="n">
        <v>45644</v>
      </c>
      <c r="D153" t="inlineStr">
        <is>
          <t>VÄSTRA GÖTALANDS LÄN</t>
        </is>
      </c>
      <c r="E153" t="inlineStr">
        <is>
          <t>KARLSBORG</t>
        </is>
      </c>
      <c r="F153" t="inlineStr">
        <is>
          <t>Övriga statliga verk och myndigheter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59887-2021</t>
        </is>
      </c>
      <c r="B154" s="1" t="n">
        <v>44494</v>
      </c>
      <c r="C154" s="1" t="n">
        <v>45644</v>
      </c>
      <c r="D154" t="inlineStr">
        <is>
          <t>VÄSTRA GÖTALANDS LÄN</t>
        </is>
      </c>
      <c r="E154" t="inlineStr">
        <is>
          <t>KARLSBORG</t>
        </is>
      </c>
      <c r="F154" t="inlineStr">
        <is>
          <t>Övriga statliga verk och myndigheter</t>
        </is>
      </c>
      <c r="G154" t="n">
        <v>4.4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61223-2021</t>
        </is>
      </c>
      <c r="B155" s="1" t="n">
        <v>44496</v>
      </c>
      <c r="C155" s="1" t="n">
        <v>45644</v>
      </c>
      <c r="D155" t="inlineStr">
        <is>
          <t>VÄSTRA GÖTALANDS LÄN</t>
        </is>
      </c>
      <c r="E155" t="inlineStr">
        <is>
          <t>KARLSBORG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62301-2021</t>
        </is>
      </c>
      <c r="B156" s="1" t="n">
        <v>44503</v>
      </c>
      <c r="C156" s="1" t="n">
        <v>45644</v>
      </c>
      <c r="D156" t="inlineStr">
        <is>
          <t>VÄSTRA GÖTALANDS LÄN</t>
        </is>
      </c>
      <c r="E156" t="inlineStr">
        <is>
          <t>KARLSBORG</t>
        </is>
      </c>
      <c r="F156" t="inlineStr">
        <is>
          <t>Sveaskog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62307-2021</t>
        </is>
      </c>
      <c r="B157" s="1" t="n">
        <v>44503</v>
      </c>
      <c r="C157" s="1" t="n">
        <v>45644</v>
      </c>
      <c r="D157" t="inlineStr">
        <is>
          <t>VÄSTRA GÖTALANDS LÄN</t>
        </is>
      </c>
      <c r="E157" t="inlineStr">
        <is>
          <t>KARLSBORG</t>
        </is>
      </c>
      <c r="F157" t="inlineStr">
        <is>
          <t>Sveaskog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62304-2021</t>
        </is>
      </c>
      <c r="B158" s="1" t="n">
        <v>44503</v>
      </c>
      <c r="C158" s="1" t="n">
        <v>45644</v>
      </c>
      <c r="D158" t="inlineStr">
        <is>
          <t>VÄSTRA GÖTALANDS LÄN</t>
        </is>
      </c>
      <c r="E158" t="inlineStr">
        <is>
          <t>KARLSBORG</t>
        </is>
      </c>
      <c r="F158" t="inlineStr">
        <is>
          <t>Sveaskog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65313-2021</t>
        </is>
      </c>
      <c r="B159" s="1" t="n">
        <v>44515</v>
      </c>
      <c r="C159" s="1" t="n">
        <v>45644</v>
      </c>
      <c r="D159" t="inlineStr">
        <is>
          <t>VÄSTRA GÖTALANDS LÄN</t>
        </is>
      </c>
      <c r="E159" t="inlineStr">
        <is>
          <t>KARLSBORG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66556-2021</t>
        </is>
      </c>
      <c r="B160" s="1" t="n">
        <v>44519</v>
      </c>
      <c r="C160" s="1" t="n">
        <v>45644</v>
      </c>
      <c r="D160" t="inlineStr">
        <is>
          <t>VÄSTRA GÖTALANDS LÄN</t>
        </is>
      </c>
      <c r="E160" t="inlineStr">
        <is>
          <t>KARLSBORG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68802-2021</t>
        </is>
      </c>
      <c r="B161" s="1" t="n">
        <v>44529</v>
      </c>
      <c r="C161" s="1" t="n">
        <v>45644</v>
      </c>
      <c r="D161" t="inlineStr">
        <is>
          <t>VÄSTRA GÖTALANDS LÄN</t>
        </is>
      </c>
      <c r="E161" t="inlineStr">
        <is>
          <t>KARLSBORG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69341-2021</t>
        </is>
      </c>
      <c r="B162" s="1" t="n">
        <v>44531</v>
      </c>
      <c r="C162" s="1" t="n">
        <v>45644</v>
      </c>
      <c r="D162" t="inlineStr">
        <is>
          <t>VÄSTRA GÖTALANDS LÄN</t>
        </is>
      </c>
      <c r="E162" t="inlineStr">
        <is>
          <t>KARLSBORG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70447-2021</t>
        </is>
      </c>
      <c r="B163" s="1" t="n">
        <v>44536</v>
      </c>
      <c r="C163" s="1" t="n">
        <v>45644</v>
      </c>
      <c r="D163" t="inlineStr">
        <is>
          <t>VÄSTRA GÖTALANDS LÄN</t>
        </is>
      </c>
      <c r="E163" t="inlineStr">
        <is>
          <t>KARLSBORG</t>
        </is>
      </c>
      <c r="F163" t="inlineStr">
        <is>
          <t>Övriga Aktiebolag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70450-2021</t>
        </is>
      </c>
      <c r="B164" s="1" t="n">
        <v>44536</v>
      </c>
      <c r="C164" s="1" t="n">
        <v>45644</v>
      </c>
      <c r="D164" t="inlineStr">
        <is>
          <t>VÄSTRA GÖTALANDS LÄN</t>
        </is>
      </c>
      <c r="E164" t="inlineStr">
        <is>
          <t>KARLSBORG</t>
        </is>
      </c>
      <c r="F164" t="inlineStr">
        <is>
          <t>Övriga Aktiebolag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70418-2021</t>
        </is>
      </c>
      <c r="B165" s="1" t="n">
        <v>44536</v>
      </c>
      <c r="C165" s="1" t="n">
        <v>45644</v>
      </c>
      <c r="D165" t="inlineStr">
        <is>
          <t>VÄSTRA GÖTALANDS LÄN</t>
        </is>
      </c>
      <c r="E165" t="inlineStr">
        <is>
          <t>KARLSBORG</t>
        </is>
      </c>
      <c r="F165" t="inlineStr">
        <is>
          <t>Övriga Aktiebolag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70783-2021</t>
        </is>
      </c>
      <c r="B166" s="1" t="n">
        <v>44537</v>
      </c>
      <c r="C166" s="1" t="n">
        <v>45644</v>
      </c>
      <c r="D166" t="inlineStr">
        <is>
          <t>VÄSTRA GÖTALANDS LÄN</t>
        </is>
      </c>
      <c r="E166" t="inlineStr">
        <is>
          <t>KARLSBORG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70939-2021</t>
        </is>
      </c>
      <c r="B167" s="1" t="n">
        <v>44538</v>
      </c>
      <c r="C167" s="1" t="n">
        <v>45644</v>
      </c>
      <c r="D167" t="inlineStr">
        <is>
          <t>VÄSTRA GÖTALANDS LÄN</t>
        </is>
      </c>
      <c r="E167" t="inlineStr">
        <is>
          <t>KARLSBORG</t>
        </is>
      </c>
      <c r="F167" t="inlineStr">
        <is>
          <t>Övriga Aktiebolag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70936-2021</t>
        </is>
      </c>
      <c r="B168" s="1" t="n">
        <v>44538</v>
      </c>
      <c r="C168" s="1" t="n">
        <v>45644</v>
      </c>
      <c r="D168" t="inlineStr">
        <is>
          <t>VÄSTRA GÖTALANDS LÄN</t>
        </is>
      </c>
      <c r="E168" t="inlineStr">
        <is>
          <t>KARLSBORG</t>
        </is>
      </c>
      <c r="F168" t="inlineStr">
        <is>
          <t>Övriga Aktiebolag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70949-2021</t>
        </is>
      </c>
      <c r="B169" s="1" t="n">
        <v>44538</v>
      </c>
      <c r="C169" s="1" t="n">
        <v>45644</v>
      </c>
      <c r="D169" t="inlineStr">
        <is>
          <t>VÄSTRA GÖTALANDS LÄN</t>
        </is>
      </c>
      <c r="E169" t="inlineStr">
        <is>
          <t>KARLSBORG</t>
        </is>
      </c>
      <c r="F169" t="inlineStr">
        <is>
          <t>Övriga Aktiebolag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70945-2021</t>
        </is>
      </c>
      <c r="B170" s="1" t="n">
        <v>44538</v>
      </c>
      <c r="C170" s="1" t="n">
        <v>45644</v>
      </c>
      <c r="D170" t="inlineStr">
        <is>
          <t>VÄSTRA GÖTALANDS LÄN</t>
        </is>
      </c>
      <c r="E170" t="inlineStr">
        <is>
          <t>KARLSBORG</t>
        </is>
      </c>
      <c r="F170" t="inlineStr">
        <is>
          <t>Övriga Aktiebolag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3290-2022</t>
        </is>
      </c>
      <c r="B171" s="1" t="n">
        <v>44584</v>
      </c>
      <c r="C171" s="1" t="n">
        <v>45644</v>
      </c>
      <c r="D171" t="inlineStr">
        <is>
          <t>VÄSTRA GÖTALANDS LÄN</t>
        </is>
      </c>
      <c r="E171" t="inlineStr">
        <is>
          <t>KARLSBORG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4348-2022</t>
        </is>
      </c>
      <c r="B172" s="1" t="n">
        <v>44589</v>
      </c>
      <c r="C172" s="1" t="n">
        <v>45644</v>
      </c>
      <c r="D172" t="inlineStr">
        <is>
          <t>VÄSTRA GÖTALANDS LÄN</t>
        </is>
      </c>
      <c r="E172" t="inlineStr">
        <is>
          <t>KARLSBORG</t>
        </is>
      </c>
      <c r="F172" t="inlineStr">
        <is>
          <t>Kommuner</t>
        </is>
      </c>
      <c r="G172" t="n">
        <v>6.7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5402-2022</t>
        </is>
      </c>
      <c r="B173" s="1" t="n">
        <v>44595</v>
      </c>
      <c r="C173" s="1" t="n">
        <v>45644</v>
      </c>
      <c r="D173" t="inlineStr">
        <is>
          <t>VÄSTRA GÖTALANDS LÄN</t>
        </is>
      </c>
      <c r="E173" t="inlineStr">
        <is>
          <t>KARLSBORG</t>
        </is>
      </c>
      <c r="F173" t="inlineStr">
        <is>
          <t>Övriga Aktiebolag</t>
        </is>
      </c>
      <c r="G173" t="n">
        <v>5.6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6068-2022</t>
        </is>
      </c>
      <c r="B174" s="1" t="n">
        <v>44599</v>
      </c>
      <c r="C174" s="1" t="n">
        <v>45644</v>
      </c>
      <c r="D174" t="inlineStr">
        <is>
          <t>VÄSTRA GÖTALANDS LÄN</t>
        </is>
      </c>
      <c r="E174" t="inlineStr">
        <is>
          <t>KARLSBORG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8827-2022</t>
        </is>
      </c>
      <c r="B175" s="1" t="n">
        <v>44614</v>
      </c>
      <c r="C175" s="1" t="n">
        <v>45644</v>
      </c>
      <c r="D175" t="inlineStr">
        <is>
          <t>VÄSTRA GÖTALANDS LÄN</t>
        </is>
      </c>
      <c r="E175" t="inlineStr">
        <is>
          <t>KARLSBORG</t>
        </is>
      </c>
      <c r="F175" t="inlineStr">
        <is>
          <t>Kyrkan</t>
        </is>
      </c>
      <c r="G175" t="n">
        <v>13.2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15958-2022</t>
        </is>
      </c>
      <c r="B176" s="1" t="n">
        <v>44664</v>
      </c>
      <c r="C176" s="1" t="n">
        <v>45644</v>
      </c>
      <c r="D176" t="inlineStr">
        <is>
          <t>VÄSTRA GÖTALANDS LÄN</t>
        </is>
      </c>
      <c r="E176" t="inlineStr">
        <is>
          <t>KARLSBORG</t>
        </is>
      </c>
      <c r="F176" t="inlineStr">
        <is>
          <t>Övriga Aktiebolag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16736-2022</t>
        </is>
      </c>
      <c r="B177" s="1" t="n">
        <v>44673</v>
      </c>
      <c r="C177" s="1" t="n">
        <v>45644</v>
      </c>
      <c r="D177" t="inlineStr">
        <is>
          <t>VÄSTRA GÖTALANDS LÄN</t>
        </is>
      </c>
      <c r="E177" t="inlineStr">
        <is>
          <t>KARLSBORG</t>
        </is>
      </c>
      <c r="F177" t="inlineStr">
        <is>
          <t>Övriga statliga verk och myndigheter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18625-2022</t>
        </is>
      </c>
      <c r="B178" s="1" t="n">
        <v>44687</v>
      </c>
      <c r="C178" s="1" t="n">
        <v>45644</v>
      </c>
      <c r="D178" t="inlineStr">
        <is>
          <t>VÄSTRA GÖTALANDS LÄN</t>
        </is>
      </c>
      <c r="E178" t="inlineStr">
        <is>
          <t>KARLSBORG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18623-2022</t>
        </is>
      </c>
      <c r="B179" s="1" t="n">
        <v>44687</v>
      </c>
      <c r="C179" s="1" t="n">
        <v>45644</v>
      </c>
      <c r="D179" t="inlineStr">
        <is>
          <t>VÄSTRA GÖTALANDS LÄN</t>
        </is>
      </c>
      <c r="E179" t="inlineStr">
        <is>
          <t>KARLSBORG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21330-2022</t>
        </is>
      </c>
      <c r="B180" s="1" t="n">
        <v>44705</v>
      </c>
      <c r="C180" s="1" t="n">
        <v>45644</v>
      </c>
      <c r="D180" t="inlineStr">
        <is>
          <t>VÄSTRA GÖTALANDS LÄN</t>
        </is>
      </c>
      <c r="E180" t="inlineStr">
        <is>
          <t>KARLSBORG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22788-2022</t>
        </is>
      </c>
      <c r="B181" s="1" t="n">
        <v>44715</v>
      </c>
      <c r="C181" s="1" t="n">
        <v>45644</v>
      </c>
      <c r="D181" t="inlineStr">
        <is>
          <t>VÄSTRA GÖTALANDS LÄN</t>
        </is>
      </c>
      <c r="E181" t="inlineStr">
        <is>
          <t>KARLSBORG</t>
        </is>
      </c>
      <c r="F181" t="inlineStr">
        <is>
          <t>Övriga Aktiebolag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23268-2022</t>
        </is>
      </c>
      <c r="B182" s="1" t="n">
        <v>44720</v>
      </c>
      <c r="C182" s="1" t="n">
        <v>45644</v>
      </c>
      <c r="D182" t="inlineStr">
        <is>
          <t>VÄSTRA GÖTALANDS LÄN</t>
        </is>
      </c>
      <c r="E182" t="inlineStr">
        <is>
          <t>KARLSBORG</t>
        </is>
      </c>
      <c r="F182" t="inlineStr">
        <is>
          <t>Sveaskog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24594-2022</t>
        </is>
      </c>
      <c r="B183" s="1" t="n">
        <v>44727</v>
      </c>
      <c r="C183" s="1" t="n">
        <v>45644</v>
      </c>
      <c r="D183" t="inlineStr">
        <is>
          <t>VÄSTRA GÖTALANDS LÄN</t>
        </is>
      </c>
      <c r="E183" t="inlineStr">
        <is>
          <t>KARLSBORG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28203-2022</t>
        </is>
      </c>
      <c r="B184" s="1" t="n">
        <v>44746</v>
      </c>
      <c r="C184" s="1" t="n">
        <v>45644</v>
      </c>
      <c r="D184" t="inlineStr">
        <is>
          <t>VÄSTRA GÖTALANDS LÄN</t>
        </is>
      </c>
      <c r="E184" t="inlineStr">
        <is>
          <t>KARLSBORG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29685-2022</t>
        </is>
      </c>
      <c r="B185" s="1" t="n">
        <v>44755</v>
      </c>
      <c r="C185" s="1" t="n">
        <v>45644</v>
      </c>
      <c r="D185" t="inlineStr">
        <is>
          <t>VÄSTRA GÖTALANDS LÄN</t>
        </is>
      </c>
      <c r="E185" t="inlineStr">
        <is>
          <t>KARLSBORG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29686-2022</t>
        </is>
      </c>
      <c r="B186" s="1" t="n">
        <v>44755</v>
      </c>
      <c r="C186" s="1" t="n">
        <v>45644</v>
      </c>
      <c r="D186" t="inlineStr">
        <is>
          <t>VÄSTRA GÖTALANDS LÄN</t>
        </is>
      </c>
      <c r="E186" t="inlineStr">
        <is>
          <t>KARLSBORG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33114-2022</t>
        </is>
      </c>
      <c r="B187" s="1" t="n">
        <v>44785</v>
      </c>
      <c r="C187" s="1" t="n">
        <v>45644</v>
      </c>
      <c r="D187" t="inlineStr">
        <is>
          <t>VÄSTRA GÖTALANDS LÄN</t>
        </is>
      </c>
      <c r="E187" t="inlineStr">
        <is>
          <t>KARLSBORG</t>
        </is>
      </c>
      <c r="F187" t="inlineStr">
        <is>
          <t>Sveaskog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33120-2022</t>
        </is>
      </c>
      <c r="B188" s="1" t="n">
        <v>44785</v>
      </c>
      <c r="C188" s="1" t="n">
        <v>45644</v>
      </c>
      <c r="D188" t="inlineStr">
        <is>
          <t>VÄSTRA GÖTALANDS LÄN</t>
        </is>
      </c>
      <c r="E188" t="inlineStr">
        <is>
          <t>KARLSBORG</t>
        </is>
      </c>
      <c r="F188" t="inlineStr">
        <is>
          <t>Sveaskog</t>
        </is>
      </c>
      <c r="G188" t="n">
        <v>7.7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33118-2022</t>
        </is>
      </c>
      <c r="B189" s="1" t="n">
        <v>44785</v>
      </c>
      <c r="C189" s="1" t="n">
        <v>45644</v>
      </c>
      <c r="D189" t="inlineStr">
        <is>
          <t>VÄSTRA GÖTALANDS LÄN</t>
        </is>
      </c>
      <c r="E189" t="inlineStr">
        <is>
          <t>KARLSBORG</t>
        </is>
      </c>
      <c r="F189" t="inlineStr">
        <is>
          <t>Sveaskog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33122-2022</t>
        </is>
      </c>
      <c r="B190" s="1" t="n">
        <v>44785</v>
      </c>
      <c r="C190" s="1" t="n">
        <v>45644</v>
      </c>
      <c r="D190" t="inlineStr">
        <is>
          <t>VÄSTRA GÖTALANDS LÄN</t>
        </is>
      </c>
      <c r="E190" t="inlineStr">
        <is>
          <t>KARLSBORG</t>
        </is>
      </c>
      <c r="F190" t="inlineStr">
        <is>
          <t>Sveaskog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33117-2022</t>
        </is>
      </c>
      <c r="B191" s="1" t="n">
        <v>44785</v>
      </c>
      <c r="C191" s="1" t="n">
        <v>45644</v>
      </c>
      <c r="D191" t="inlineStr">
        <is>
          <t>VÄSTRA GÖTALANDS LÄN</t>
        </is>
      </c>
      <c r="E191" t="inlineStr">
        <is>
          <t>KARLSBORG</t>
        </is>
      </c>
      <c r="F191" t="inlineStr">
        <is>
          <t>Sveaskog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33113-2022</t>
        </is>
      </c>
      <c r="B192" s="1" t="n">
        <v>44785</v>
      </c>
      <c r="C192" s="1" t="n">
        <v>45644</v>
      </c>
      <c r="D192" t="inlineStr">
        <is>
          <t>VÄSTRA GÖTALANDS LÄN</t>
        </is>
      </c>
      <c r="E192" t="inlineStr">
        <is>
          <t>KARLSBORG</t>
        </is>
      </c>
      <c r="F192" t="inlineStr">
        <is>
          <t>Sveaskog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33121-2022</t>
        </is>
      </c>
      <c r="B193" s="1" t="n">
        <v>44785</v>
      </c>
      <c r="C193" s="1" t="n">
        <v>45644</v>
      </c>
      <c r="D193" t="inlineStr">
        <is>
          <t>VÄSTRA GÖTALANDS LÄN</t>
        </is>
      </c>
      <c r="E193" t="inlineStr">
        <is>
          <t>KARLSBORG</t>
        </is>
      </c>
      <c r="F193" t="inlineStr">
        <is>
          <t>Sveaskog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34673-2022</t>
        </is>
      </c>
      <c r="B194" s="1" t="n">
        <v>44795</v>
      </c>
      <c r="C194" s="1" t="n">
        <v>45644</v>
      </c>
      <c r="D194" t="inlineStr">
        <is>
          <t>VÄSTRA GÖTALANDS LÄN</t>
        </is>
      </c>
      <c r="E194" t="inlineStr">
        <is>
          <t>KARLSBORG</t>
        </is>
      </c>
      <c r="F194" t="inlineStr">
        <is>
          <t>Sveaskog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34676-2022</t>
        </is>
      </c>
      <c r="B195" s="1" t="n">
        <v>44795</v>
      </c>
      <c r="C195" s="1" t="n">
        <v>45644</v>
      </c>
      <c r="D195" t="inlineStr">
        <is>
          <t>VÄSTRA GÖTALANDS LÄN</t>
        </is>
      </c>
      <c r="E195" t="inlineStr">
        <is>
          <t>KARLSBORG</t>
        </is>
      </c>
      <c r="F195" t="inlineStr">
        <is>
          <t>Sveaskog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34670-2022</t>
        </is>
      </c>
      <c r="B196" s="1" t="n">
        <v>44795</v>
      </c>
      <c r="C196" s="1" t="n">
        <v>45644</v>
      </c>
      <c r="D196" t="inlineStr">
        <is>
          <t>VÄSTRA GÖTALANDS LÄN</t>
        </is>
      </c>
      <c r="E196" t="inlineStr">
        <is>
          <t>KARLSBORG</t>
        </is>
      </c>
      <c r="F196" t="inlineStr">
        <is>
          <t>Sveaskog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36191-2022</t>
        </is>
      </c>
      <c r="B197" s="1" t="n">
        <v>44803</v>
      </c>
      <c r="C197" s="1" t="n">
        <v>45644</v>
      </c>
      <c r="D197" t="inlineStr">
        <is>
          <t>VÄSTRA GÖTALANDS LÄN</t>
        </is>
      </c>
      <c r="E197" t="inlineStr">
        <is>
          <t>KARLSBORG</t>
        </is>
      </c>
      <c r="G197" t="n">
        <v>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36820-2022</t>
        </is>
      </c>
      <c r="B198" s="1" t="n">
        <v>44805</v>
      </c>
      <c r="C198" s="1" t="n">
        <v>45644</v>
      </c>
      <c r="D198" t="inlineStr">
        <is>
          <t>VÄSTRA GÖTALANDS LÄN</t>
        </is>
      </c>
      <c r="E198" t="inlineStr">
        <is>
          <t>KARLSBORG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37363-2022</t>
        </is>
      </c>
      <c r="B199" s="1" t="n">
        <v>44809</v>
      </c>
      <c r="C199" s="1" t="n">
        <v>45644</v>
      </c>
      <c r="D199" t="inlineStr">
        <is>
          <t>VÄSTRA GÖTALANDS LÄN</t>
        </is>
      </c>
      <c r="E199" t="inlineStr">
        <is>
          <t>KARLSBORG</t>
        </is>
      </c>
      <c r="F199" t="inlineStr">
        <is>
          <t>Sveaskog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37383-2022</t>
        </is>
      </c>
      <c r="B200" s="1" t="n">
        <v>44809</v>
      </c>
      <c r="C200" s="1" t="n">
        <v>45644</v>
      </c>
      <c r="D200" t="inlineStr">
        <is>
          <t>VÄSTRA GÖTALANDS LÄN</t>
        </is>
      </c>
      <c r="E200" t="inlineStr">
        <is>
          <t>KARLSBORG</t>
        </is>
      </c>
      <c r="F200" t="inlineStr">
        <is>
          <t>Sveaskog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41776-2022</t>
        </is>
      </c>
      <c r="B201" s="1" t="n">
        <v>44827</v>
      </c>
      <c r="C201" s="1" t="n">
        <v>45644</v>
      </c>
      <c r="D201" t="inlineStr">
        <is>
          <t>VÄSTRA GÖTALANDS LÄN</t>
        </is>
      </c>
      <c r="E201" t="inlineStr">
        <is>
          <t>KARLSBORG</t>
        </is>
      </c>
      <c r="F201" t="inlineStr">
        <is>
          <t>Sveaskog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41774-2022</t>
        </is>
      </c>
      <c r="B202" s="1" t="n">
        <v>44827</v>
      </c>
      <c r="C202" s="1" t="n">
        <v>45644</v>
      </c>
      <c r="D202" t="inlineStr">
        <is>
          <t>VÄSTRA GÖTALANDS LÄN</t>
        </is>
      </c>
      <c r="E202" t="inlineStr">
        <is>
          <t>KARLSBORG</t>
        </is>
      </c>
      <c r="F202" t="inlineStr">
        <is>
          <t>Sveaskog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43700-2022</t>
        </is>
      </c>
      <c r="B203" s="1" t="n">
        <v>44837</v>
      </c>
      <c r="C203" s="1" t="n">
        <v>45644</v>
      </c>
      <c r="D203" t="inlineStr">
        <is>
          <t>VÄSTRA GÖTALANDS LÄN</t>
        </is>
      </c>
      <c r="E203" t="inlineStr">
        <is>
          <t>KARLSBORG</t>
        </is>
      </c>
      <c r="F203" t="inlineStr">
        <is>
          <t>Sveaskog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43697-2022</t>
        </is>
      </c>
      <c r="B204" s="1" t="n">
        <v>44837</v>
      </c>
      <c r="C204" s="1" t="n">
        <v>45644</v>
      </c>
      <c r="D204" t="inlineStr">
        <is>
          <t>VÄSTRA GÖTALANDS LÄN</t>
        </is>
      </c>
      <c r="E204" t="inlineStr">
        <is>
          <t>KARLSBORG</t>
        </is>
      </c>
      <c r="F204" t="inlineStr">
        <is>
          <t>Sveaskog</t>
        </is>
      </c>
      <c r="G204" t="n">
        <v>11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43695-2022</t>
        </is>
      </c>
      <c r="B205" s="1" t="n">
        <v>44837</v>
      </c>
      <c r="C205" s="1" t="n">
        <v>45644</v>
      </c>
      <c r="D205" t="inlineStr">
        <is>
          <t>VÄSTRA GÖTALANDS LÄN</t>
        </is>
      </c>
      <c r="E205" t="inlineStr">
        <is>
          <t>KARLSBORG</t>
        </is>
      </c>
      <c r="F205" t="inlineStr">
        <is>
          <t>Sveaskog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47485-2022</t>
        </is>
      </c>
      <c r="B206" s="1" t="n">
        <v>44853</v>
      </c>
      <c r="C206" s="1" t="n">
        <v>45644</v>
      </c>
      <c r="D206" t="inlineStr">
        <is>
          <t>VÄSTRA GÖTALANDS LÄN</t>
        </is>
      </c>
      <c r="E206" t="inlineStr">
        <is>
          <t>KARLSBORG</t>
        </is>
      </c>
      <c r="F206" t="inlineStr">
        <is>
          <t>Sveaskog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55491-2022</t>
        </is>
      </c>
      <c r="B207" s="1" t="n">
        <v>44882</v>
      </c>
      <c r="C207" s="1" t="n">
        <v>45644</v>
      </c>
      <c r="D207" t="inlineStr">
        <is>
          <t>VÄSTRA GÖTALANDS LÄN</t>
        </is>
      </c>
      <c r="E207" t="inlineStr">
        <is>
          <t>KARLSBORG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57235-2022</t>
        </is>
      </c>
      <c r="B208" s="1" t="n">
        <v>44895</v>
      </c>
      <c r="C208" s="1" t="n">
        <v>45644</v>
      </c>
      <c r="D208" t="inlineStr">
        <is>
          <t>VÄSTRA GÖTALANDS LÄN</t>
        </is>
      </c>
      <c r="E208" t="inlineStr">
        <is>
          <t>KARLSBORG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58148-2022</t>
        </is>
      </c>
      <c r="B209" s="1" t="n">
        <v>44900</v>
      </c>
      <c r="C209" s="1" t="n">
        <v>45644</v>
      </c>
      <c r="D209" t="inlineStr">
        <is>
          <t>VÄSTRA GÖTALANDS LÄN</t>
        </is>
      </c>
      <c r="E209" t="inlineStr">
        <is>
          <t>KARLSBORG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58152-2022</t>
        </is>
      </c>
      <c r="B210" s="1" t="n">
        <v>44900</v>
      </c>
      <c r="C210" s="1" t="n">
        <v>45644</v>
      </c>
      <c r="D210" t="inlineStr">
        <is>
          <t>VÄSTRA GÖTALANDS LÄN</t>
        </is>
      </c>
      <c r="E210" t="inlineStr">
        <is>
          <t>KARLSBORG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59401-2022</t>
        </is>
      </c>
      <c r="B211" s="1" t="n">
        <v>44906</v>
      </c>
      <c r="C211" s="1" t="n">
        <v>45644</v>
      </c>
      <c r="D211" t="inlineStr">
        <is>
          <t>VÄSTRA GÖTALANDS LÄN</t>
        </is>
      </c>
      <c r="E211" t="inlineStr">
        <is>
          <t>KARLSBORG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59404-2022</t>
        </is>
      </c>
      <c r="B212" s="1" t="n">
        <v>44906</v>
      </c>
      <c r="C212" s="1" t="n">
        <v>45644</v>
      </c>
      <c r="D212" t="inlineStr">
        <is>
          <t>VÄSTRA GÖTALANDS LÄN</t>
        </is>
      </c>
      <c r="E212" t="inlineStr">
        <is>
          <t>KARLSBORG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59399-2022</t>
        </is>
      </c>
      <c r="B213" s="1" t="n">
        <v>44906</v>
      </c>
      <c r="C213" s="1" t="n">
        <v>45644</v>
      </c>
      <c r="D213" t="inlineStr">
        <is>
          <t>VÄSTRA GÖTALANDS LÄN</t>
        </is>
      </c>
      <c r="E213" t="inlineStr">
        <is>
          <t>KARLSBORG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61211-2022</t>
        </is>
      </c>
      <c r="B214" s="1" t="n">
        <v>44908</v>
      </c>
      <c r="C214" s="1" t="n">
        <v>45644</v>
      </c>
      <c r="D214" t="inlineStr">
        <is>
          <t>VÄSTRA GÖTALANDS LÄN</t>
        </is>
      </c>
      <c r="E214" t="inlineStr">
        <is>
          <t>KARLSBORG</t>
        </is>
      </c>
      <c r="G214" t="n">
        <v>8.1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1454-2023</t>
        </is>
      </c>
      <c r="B215" s="1" t="n">
        <v>44937</v>
      </c>
      <c r="C215" s="1" t="n">
        <v>45644</v>
      </c>
      <c r="D215" t="inlineStr">
        <is>
          <t>VÄSTRA GÖTALANDS LÄN</t>
        </is>
      </c>
      <c r="E215" t="inlineStr">
        <is>
          <t>KARLSBORG</t>
        </is>
      </c>
      <c r="G215" t="n">
        <v>6.8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1630-2023</t>
        </is>
      </c>
      <c r="B216" s="1" t="n">
        <v>44937</v>
      </c>
      <c r="C216" s="1" t="n">
        <v>45644</v>
      </c>
      <c r="D216" t="inlineStr">
        <is>
          <t>VÄSTRA GÖTALANDS LÄN</t>
        </is>
      </c>
      <c r="E216" t="inlineStr">
        <is>
          <t>KARLSBORG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2100-2023</t>
        </is>
      </c>
      <c r="B217" s="1" t="n">
        <v>44939</v>
      </c>
      <c r="C217" s="1" t="n">
        <v>45644</v>
      </c>
      <c r="D217" t="inlineStr">
        <is>
          <t>VÄSTRA GÖTALANDS LÄN</t>
        </is>
      </c>
      <c r="E217" t="inlineStr">
        <is>
          <t>KARLSBORG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2520-2023</t>
        </is>
      </c>
      <c r="B218" s="1" t="n">
        <v>44943</v>
      </c>
      <c r="C218" s="1" t="n">
        <v>45644</v>
      </c>
      <c r="D218" t="inlineStr">
        <is>
          <t>VÄSTRA GÖTALANDS LÄN</t>
        </is>
      </c>
      <c r="E218" t="inlineStr">
        <is>
          <t>KARLSBORG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2791-2023</t>
        </is>
      </c>
      <c r="B219" s="1" t="n">
        <v>44944</v>
      </c>
      <c r="C219" s="1" t="n">
        <v>45644</v>
      </c>
      <c r="D219" t="inlineStr">
        <is>
          <t>VÄSTRA GÖTALANDS LÄN</t>
        </is>
      </c>
      <c r="E219" t="inlineStr">
        <is>
          <t>KARLSBORG</t>
        </is>
      </c>
      <c r="F219" t="inlineStr">
        <is>
          <t>Övriga Aktiebolag</t>
        </is>
      </c>
      <c r="G219" t="n">
        <v>6.4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2784-2023</t>
        </is>
      </c>
      <c r="B220" s="1" t="n">
        <v>44944</v>
      </c>
      <c r="C220" s="1" t="n">
        <v>45644</v>
      </c>
      <c r="D220" t="inlineStr">
        <is>
          <t>VÄSTRA GÖTALANDS LÄN</t>
        </is>
      </c>
      <c r="E220" t="inlineStr">
        <is>
          <t>KARLSBORG</t>
        </is>
      </c>
      <c r="F220" t="inlineStr">
        <is>
          <t>Övriga Aktiebolag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2796-2023</t>
        </is>
      </c>
      <c r="B221" s="1" t="n">
        <v>44944</v>
      </c>
      <c r="C221" s="1" t="n">
        <v>45644</v>
      </c>
      <c r="D221" t="inlineStr">
        <is>
          <t>VÄSTRA GÖTALANDS LÄN</t>
        </is>
      </c>
      <c r="E221" t="inlineStr">
        <is>
          <t>KARLSBORG</t>
        </is>
      </c>
      <c r="F221" t="inlineStr">
        <is>
          <t>Övriga Aktiebolag</t>
        </is>
      </c>
      <c r="G221" t="n">
        <v>8.5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7652-2023</t>
        </is>
      </c>
      <c r="B222" s="1" t="n">
        <v>44972</v>
      </c>
      <c r="C222" s="1" t="n">
        <v>45644</v>
      </c>
      <c r="D222" t="inlineStr">
        <is>
          <t>VÄSTRA GÖTALANDS LÄN</t>
        </is>
      </c>
      <c r="E222" t="inlineStr">
        <is>
          <t>KARLSBORG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7676-2023</t>
        </is>
      </c>
      <c r="B223" s="1" t="n">
        <v>44972</v>
      </c>
      <c r="C223" s="1" t="n">
        <v>45644</v>
      </c>
      <c r="D223" t="inlineStr">
        <is>
          <t>VÄSTRA GÖTALANDS LÄN</t>
        </is>
      </c>
      <c r="E223" t="inlineStr">
        <is>
          <t>KARLSBORG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8053-2023</t>
        </is>
      </c>
      <c r="B224" s="1" t="n">
        <v>44974</v>
      </c>
      <c r="C224" s="1" t="n">
        <v>45644</v>
      </c>
      <c r="D224" t="inlineStr">
        <is>
          <t>VÄSTRA GÖTALANDS LÄN</t>
        </is>
      </c>
      <c r="E224" t="inlineStr">
        <is>
          <t>KARLSBORG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8052-2023</t>
        </is>
      </c>
      <c r="B225" s="1" t="n">
        <v>44974</v>
      </c>
      <c r="C225" s="1" t="n">
        <v>45644</v>
      </c>
      <c r="D225" t="inlineStr">
        <is>
          <t>VÄSTRA GÖTALANDS LÄN</t>
        </is>
      </c>
      <c r="E225" t="inlineStr">
        <is>
          <t>KARLSBORG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13077-2023</t>
        </is>
      </c>
      <c r="B226" s="1" t="n">
        <v>45002</v>
      </c>
      <c r="C226" s="1" t="n">
        <v>45644</v>
      </c>
      <c r="D226" t="inlineStr">
        <is>
          <t>VÄSTRA GÖTALANDS LÄN</t>
        </is>
      </c>
      <c r="E226" t="inlineStr">
        <is>
          <t>KARLSBORG</t>
        </is>
      </c>
      <c r="G226" t="n">
        <v>6.6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13076-2023</t>
        </is>
      </c>
      <c r="B227" s="1" t="n">
        <v>45002</v>
      </c>
      <c r="C227" s="1" t="n">
        <v>45644</v>
      </c>
      <c r="D227" t="inlineStr">
        <is>
          <t>VÄSTRA GÖTALANDS LÄN</t>
        </is>
      </c>
      <c r="E227" t="inlineStr">
        <is>
          <t>KARLSBORG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15221-2023</t>
        </is>
      </c>
      <c r="B228" s="1" t="n">
        <v>45019</v>
      </c>
      <c r="C228" s="1" t="n">
        <v>45644</v>
      </c>
      <c r="D228" t="inlineStr">
        <is>
          <t>VÄSTRA GÖTALANDS LÄN</t>
        </is>
      </c>
      <c r="E228" t="inlineStr">
        <is>
          <t>KARLSBORG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15220-2023</t>
        </is>
      </c>
      <c r="B229" s="1" t="n">
        <v>45019</v>
      </c>
      <c r="C229" s="1" t="n">
        <v>45644</v>
      </c>
      <c r="D229" t="inlineStr">
        <is>
          <t>VÄSTRA GÖTALANDS LÄN</t>
        </is>
      </c>
      <c r="E229" t="inlineStr">
        <is>
          <t>KARLSBORG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18742-2023</t>
        </is>
      </c>
      <c r="B230" s="1" t="n">
        <v>45043</v>
      </c>
      <c r="C230" s="1" t="n">
        <v>45644</v>
      </c>
      <c r="D230" t="inlineStr">
        <is>
          <t>VÄSTRA GÖTALANDS LÄN</t>
        </is>
      </c>
      <c r="E230" t="inlineStr">
        <is>
          <t>KARLSBORG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19214-2023</t>
        </is>
      </c>
      <c r="B231" s="1" t="n">
        <v>45048</v>
      </c>
      <c r="C231" s="1" t="n">
        <v>45644</v>
      </c>
      <c r="D231" t="inlineStr">
        <is>
          <t>VÄSTRA GÖTALANDS LÄN</t>
        </is>
      </c>
      <c r="E231" t="inlineStr">
        <is>
          <t>KARLSBORG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20041-2023</t>
        </is>
      </c>
      <c r="B232" s="1" t="n">
        <v>45054</v>
      </c>
      <c r="C232" s="1" t="n">
        <v>45644</v>
      </c>
      <c r="D232" t="inlineStr">
        <is>
          <t>VÄSTRA GÖTALANDS LÄN</t>
        </is>
      </c>
      <c r="E232" t="inlineStr">
        <is>
          <t>KARLSBORG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20043-2023</t>
        </is>
      </c>
      <c r="B233" s="1" t="n">
        <v>45054</v>
      </c>
      <c r="C233" s="1" t="n">
        <v>45644</v>
      </c>
      <c r="D233" t="inlineStr">
        <is>
          <t>VÄSTRA GÖTALANDS LÄN</t>
        </is>
      </c>
      <c r="E233" t="inlineStr">
        <is>
          <t>KARLSBORG</t>
        </is>
      </c>
      <c r="G233" t="n">
        <v>4.3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21018-2023</t>
        </is>
      </c>
      <c r="B234" s="1" t="n">
        <v>45061</v>
      </c>
      <c r="C234" s="1" t="n">
        <v>45644</v>
      </c>
      <c r="D234" t="inlineStr">
        <is>
          <t>VÄSTRA GÖTALANDS LÄN</t>
        </is>
      </c>
      <c r="E234" t="inlineStr">
        <is>
          <t>KARLSBORG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23421-2023</t>
        </is>
      </c>
      <c r="B235" s="1" t="n">
        <v>45076</v>
      </c>
      <c r="C235" s="1" t="n">
        <v>45644</v>
      </c>
      <c r="D235" t="inlineStr">
        <is>
          <t>VÄSTRA GÖTALANDS LÄN</t>
        </is>
      </c>
      <c r="E235" t="inlineStr">
        <is>
          <t>KARLSBORG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23500-2023</t>
        </is>
      </c>
      <c r="B236" s="1" t="n">
        <v>45076</v>
      </c>
      <c r="C236" s="1" t="n">
        <v>45644</v>
      </c>
      <c r="D236" t="inlineStr">
        <is>
          <t>VÄSTRA GÖTALANDS LÄN</t>
        </is>
      </c>
      <c r="E236" t="inlineStr">
        <is>
          <t>KARLSBORG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23499-2023</t>
        </is>
      </c>
      <c r="B237" s="1" t="n">
        <v>45076</v>
      </c>
      <c r="C237" s="1" t="n">
        <v>45644</v>
      </c>
      <c r="D237" t="inlineStr">
        <is>
          <t>VÄSTRA GÖTALANDS LÄN</t>
        </is>
      </c>
      <c r="E237" t="inlineStr">
        <is>
          <t>KARLSBORG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23799-2023</t>
        </is>
      </c>
      <c r="B238" s="1" t="n">
        <v>45078</v>
      </c>
      <c r="C238" s="1" t="n">
        <v>45644</v>
      </c>
      <c r="D238" t="inlineStr">
        <is>
          <t>VÄSTRA GÖTALANDS LÄN</t>
        </is>
      </c>
      <c r="E238" t="inlineStr">
        <is>
          <t>KARLSBORG</t>
        </is>
      </c>
      <c r="G238" t="n">
        <v>5.2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24008-2023</t>
        </is>
      </c>
      <c r="B239" s="1" t="n">
        <v>45078</v>
      </c>
      <c r="C239" s="1" t="n">
        <v>45644</v>
      </c>
      <c r="D239" t="inlineStr">
        <is>
          <t>VÄSTRA GÖTALANDS LÄN</t>
        </is>
      </c>
      <c r="E239" t="inlineStr">
        <is>
          <t>KARLSBORG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25697-2023</t>
        </is>
      </c>
      <c r="B240" s="1" t="n">
        <v>45090</v>
      </c>
      <c r="C240" s="1" t="n">
        <v>45644</v>
      </c>
      <c r="D240" t="inlineStr">
        <is>
          <t>VÄSTRA GÖTALANDS LÄN</t>
        </is>
      </c>
      <c r="E240" t="inlineStr">
        <is>
          <t>KARLSBORG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25696-2023</t>
        </is>
      </c>
      <c r="B241" s="1" t="n">
        <v>45090</v>
      </c>
      <c r="C241" s="1" t="n">
        <v>45644</v>
      </c>
      <c r="D241" t="inlineStr">
        <is>
          <t>VÄSTRA GÖTALANDS LÄN</t>
        </is>
      </c>
      <c r="E241" t="inlineStr">
        <is>
          <t>KARLSBORG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25999-2023</t>
        </is>
      </c>
      <c r="B242" s="1" t="n">
        <v>45091</v>
      </c>
      <c r="C242" s="1" t="n">
        <v>45644</v>
      </c>
      <c r="D242" t="inlineStr">
        <is>
          <t>VÄSTRA GÖTALANDS LÄN</t>
        </is>
      </c>
      <c r="E242" t="inlineStr">
        <is>
          <t>KARLSBORG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26016-2023</t>
        </is>
      </c>
      <c r="B243" s="1" t="n">
        <v>45091</v>
      </c>
      <c r="C243" s="1" t="n">
        <v>45644</v>
      </c>
      <c r="D243" t="inlineStr">
        <is>
          <t>VÄSTRA GÖTALANDS LÄN</t>
        </is>
      </c>
      <c r="E243" t="inlineStr">
        <is>
          <t>KARLSBORG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26017-2023</t>
        </is>
      </c>
      <c r="B244" s="1" t="n">
        <v>45091</v>
      </c>
      <c r="C244" s="1" t="n">
        <v>45644</v>
      </c>
      <c r="D244" t="inlineStr">
        <is>
          <t>VÄSTRA GÖTALANDS LÄN</t>
        </is>
      </c>
      <c r="E244" t="inlineStr">
        <is>
          <t>KARLSBORG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25998-2023</t>
        </is>
      </c>
      <c r="B245" s="1" t="n">
        <v>45091</v>
      </c>
      <c r="C245" s="1" t="n">
        <v>45644</v>
      </c>
      <c r="D245" t="inlineStr">
        <is>
          <t>VÄSTRA GÖTALANDS LÄN</t>
        </is>
      </c>
      <c r="E245" t="inlineStr">
        <is>
          <t>KARLSBORG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26873-2023</t>
        </is>
      </c>
      <c r="B246" s="1" t="n">
        <v>45093</v>
      </c>
      <c r="C246" s="1" t="n">
        <v>45644</v>
      </c>
      <c r="D246" t="inlineStr">
        <is>
          <t>VÄSTRA GÖTALANDS LÄN</t>
        </is>
      </c>
      <c r="E246" t="inlineStr">
        <is>
          <t>KARLSBORG</t>
        </is>
      </c>
      <c r="F246" t="inlineStr">
        <is>
          <t>Sveaskog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27398-2023</t>
        </is>
      </c>
      <c r="B247" s="1" t="n">
        <v>45097</v>
      </c>
      <c r="C247" s="1" t="n">
        <v>45644</v>
      </c>
      <c r="D247" t="inlineStr">
        <is>
          <t>VÄSTRA GÖTALANDS LÄN</t>
        </is>
      </c>
      <c r="E247" t="inlineStr">
        <is>
          <t>KARLSBORG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27823-2023</t>
        </is>
      </c>
      <c r="B248" s="1" t="n">
        <v>45098</v>
      </c>
      <c r="C248" s="1" t="n">
        <v>45644</v>
      </c>
      <c r="D248" t="inlineStr">
        <is>
          <t>VÄSTRA GÖTALANDS LÄN</t>
        </is>
      </c>
      <c r="E248" t="inlineStr">
        <is>
          <t>KARLSBORG</t>
        </is>
      </c>
      <c r="G248" t="n">
        <v>6.5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28461-2023</t>
        </is>
      </c>
      <c r="B249" s="1" t="n">
        <v>45103</v>
      </c>
      <c r="C249" s="1" t="n">
        <v>45644</v>
      </c>
      <c r="D249" t="inlineStr">
        <is>
          <t>VÄSTRA GÖTALANDS LÄN</t>
        </is>
      </c>
      <c r="E249" t="inlineStr">
        <is>
          <t>KARLSBORG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28460-2023</t>
        </is>
      </c>
      <c r="B250" s="1" t="n">
        <v>45103</v>
      </c>
      <c r="C250" s="1" t="n">
        <v>45644</v>
      </c>
      <c r="D250" t="inlineStr">
        <is>
          <t>VÄSTRA GÖTALANDS LÄN</t>
        </is>
      </c>
      <c r="E250" t="inlineStr">
        <is>
          <t>KARLSBORG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28459-2023</t>
        </is>
      </c>
      <c r="B251" s="1" t="n">
        <v>45103</v>
      </c>
      <c r="C251" s="1" t="n">
        <v>45644</v>
      </c>
      <c r="D251" t="inlineStr">
        <is>
          <t>VÄSTRA GÖTALANDS LÄN</t>
        </is>
      </c>
      <c r="E251" t="inlineStr">
        <is>
          <t>KARLSBORG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34661-2023</t>
        </is>
      </c>
      <c r="B252" s="1" t="n">
        <v>45140</v>
      </c>
      <c r="C252" s="1" t="n">
        <v>45644</v>
      </c>
      <c r="D252" t="inlineStr">
        <is>
          <t>VÄSTRA GÖTALANDS LÄN</t>
        </is>
      </c>
      <c r="E252" t="inlineStr">
        <is>
          <t>KARLSBORG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36324-2023</t>
        </is>
      </c>
      <c r="B253" s="1" t="n">
        <v>45152</v>
      </c>
      <c r="C253" s="1" t="n">
        <v>45644</v>
      </c>
      <c r="D253" t="inlineStr">
        <is>
          <t>VÄSTRA GÖTALANDS LÄN</t>
        </is>
      </c>
      <c r="E253" t="inlineStr">
        <is>
          <t>KARLSBORG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36834-2023</t>
        </is>
      </c>
      <c r="B254" s="1" t="n">
        <v>45153</v>
      </c>
      <c r="C254" s="1" t="n">
        <v>45644</v>
      </c>
      <c r="D254" t="inlineStr">
        <is>
          <t>VÄSTRA GÖTALANDS LÄN</t>
        </is>
      </c>
      <c r="E254" t="inlineStr">
        <is>
          <t>KARLSBORG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36920-2023</t>
        </is>
      </c>
      <c r="B255" s="1" t="n">
        <v>45153</v>
      </c>
      <c r="C255" s="1" t="n">
        <v>45644</v>
      </c>
      <c r="D255" t="inlineStr">
        <is>
          <t>VÄSTRA GÖTALANDS LÄN</t>
        </is>
      </c>
      <c r="E255" t="inlineStr">
        <is>
          <t>KARLSBORG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38073-2023</t>
        </is>
      </c>
      <c r="B256" s="1" t="n">
        <v>45160</v>
      </c>
      <c r="C256" s="1" t="n">
        <v>45644</v>
      </c>
      <c r="D256" t="inlineStr">
        <is>
          <t>VÄSTRA GÖTALANDS LÄN</t>
        </is>
      </c>
      <c r="E256" t="inlineStr">
        <is>
          <t>KARLSBORG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38103-2023</t>
        </is>
      </c>
      <c r="B257" s="1" t="n">
        <v>45161</v>
      </c>
      <c r="C257" s="1" t="n">
        <v>45644</v>
      </c>
      <c r="D257" t="inlineStr">
        <is>
          <t>VÄSTRA GÖTALANDS LÄN</t>
        </is>
      </c>
      <c r="E257" t="inlineStr">
        <is>
          <t>KARLSBORG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39284-2023</t>
        </is>
      </c>
      <c r="B258" s="1" t="n">
        <v>45166</v>
      </c>
      <c r="C258" s="1" t="n">
        <v>45644</v>
      </c>
      <c r="D258" t="inlineStr">
        <is>
          <t>VÄSTRA GÖTALANDS LÄN</t>
        </is>
      </c>
      <c r="E258" t="inlineStr">
        <is>
          <t>KARLSBORG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39287-2023</t>
        </is>
      </c>
      <c r="B259" s="1" t="n">
        <v>45166</v>
      </c>
      <c r="C259" s="1" t="n">
        <v>45644</v>
      </c>
      <c r="D259" t="inlineStr">
        <is>
          <t>VÄSTRA GÖTALANDS LÄN</t>
        </is>
      </c>
      <c r="E259" t="inlineStr">
        <is>
          <t>KARLSBORG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39285-2023</t>
        </is>
      </c>
      <c r="B260" s="1" t="n">
        <v>45166</v>
      </c>
      <c r="C260" s="1" t="n">
        <v>45644</v>
      </c>
      <c r="D260" t="inlineStr">
        <is>
          <t>VÄSTRA GÖTALANDS LÄN</t>
        </is>
      </c>
      <c r="E260" t="inlineStr">
        <is>
          <t>KARLSBORG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39286-2023</t>
        </is>
      </c>
      <c r="B261" s="1" t="n">
        <v>45166</v>
      </c>
      <c r="C261" s="1" t="n">
        <v>45644</v>
      </c>
      <c r="D261" t="inlineStr">
        <is>
          <t>VÄSTRA GÖTALANDS LÄN</t>
        </is>
      </c>
      <c r="E261" t="inlineStr">
        <is>
          <t>KARLSBORG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39303-2023</t>
        </is>
      </c>
      <c r="B262" s="1" t="n">
        <v>45166</v>
      </c>
      <c r="C262" s="1" t="n">
        <v>45644</v>
      </c>
      <c r="D262" t="inlineStr">
        <is>
          <t>VÄSTRA GÖTALANDS LÄN</t>
        </is>
      </c>
      <c r="E262" t="inlineStr">
        <is>
          <t>KARLSBORG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39519-2023</t>
        </is>
      </c>
      <c r="B263" s="1" t="n">
        <v>45167</v>
      </c>
      <c r="C263" s="1" t="n">
        <v>45644</v>
      </c>
      <c r="D263" t="inlineStr">
        <is>
          <t>VÄSTRA GÖTALANDS LÄN</t>
        </is>
      </c>
      <c r="E263" t="inlineStr">
        <is>
          <t>KARLSBORG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39522-2023</t>
        </is>
      </c>
      <c r="B264" s="1" t="n">
        <v>45167</v>
      </c>
      <c r="C264" s="1" t="n">
        <v>45644</v>
      </c>
      <c r="D264" t="inlineStr">
        <is>
          <t>VÄSTRA GÖTALANDS LÄN</t>
        </is>
      </c>
      <c r="E264" t="inlineStr">
        <is>
          <t>KARLSBORG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40129-2023</t>
        </is>
      </c>
      <c r="B265" s="1" t="n">
        <v>45169</v>
      </c>
      <c r="C265" s="1" t="n">
        <v>45644</v>
      </c>
      <c r="D265" t="inlineStr">
        <is>
          <t>VÄSTRA GÖTALANDS LÄN</t>
        </is>
      </c>
      <c r="E265" t="inlineStr">
        <is>
          <t>KARLSBORG</t>
        </is>
      </c>
      <c r="F265" t="inlineStr">
        <is>
          <t>Övriga Aktiebolag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40128-2023</t>
        </is>
      </c>
      <c r="B266" s="1" t="n">
        <v>45169</v>
      </c>
      <c r="C266" s="1" t="n">
        <v>45644</v>
      </c>
      <c r="D266" t="inlineStr">
        <is>
          <t>VÄSTRA GÖTALANDS LÄN</t>
        </is>
      </c>
      <c r="E266" t="inlineStr">
        <is>
          <t>KARLSBORG</t>
        </is>
      </c>
      <c r="F266" t="inlineStr">
        <is>
          <t>Övriga Aktiebolag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41282-2023</t>
        </is>
      </c>
      <c r="B267" s="1" t="n">
        <v>45174</v>
      </c>
      <c r="C267" s="1" t="n">
        <v>45644</v>
      </c>
      <c r="D267" t="inlineStr">
        <is>
          <t>VÄSTRA GÖTALANDS LÄN</t>
        </is>
      </c>
      <c r="E267" t="inlineStr">
        <is>
          <t>KARLSBORG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41685-2023</t>
        </is>
      </c>
      <c r="B268" s="1" t="n">
        <v>45176</v>
      </c>
      <c r="C268" s="1" t="n">
        <v>45644</v>
      </c>
      <c r="D268" t="inlineStr">
        <is>
          <t>VÄSTRA GÖTALANDS LÄN</t>
        </is>
      </c>
      <c r="E268" t="inlineStr">
        <is>
          <t>KARLSBORG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41689-2023</t>
        </is>
      </c>
      <c r="B269" s="1" t="n">
        <v>45176</v>
      </c>
      <c r="C269" s="1" t="n">
        <v>45644</v>
      </c>
      <c r="D269" t="inlineStr">
        <is>
          <t>VÄSTRA GÖTALANDS LÄN</t>
        </is>
      </c>
      <c r="E269" t="inlineStr">
        <is>
          <t>KARLSBORG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41684-2023</t>
        </is>
      </c>
      <c r="B270" s="1" t="n">
        <v>45176</v>
      </c>
      <c r="C270" s="1" t="n">
        <v>45644</v>
      </c>
      <c r="D270" t="inlineStr">
        <is>
          <t>VÄSTRA GÖTALANDS LÄN</t>
        </is>
      </c>
      <c r="E270" t="inlineStr">
        <is>
          <t>KARLSBORG</t>
        </is>
      </c>
      <c r="G270" t="n">
        <v>7.3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42702-2023</t>
        </is>
      </c>
      <c r="B271" s="1" t="n">
        <v>45176</v>
      </c>
      <c r="C271" s="1" t="n">
        <v>45644</v>
      </c>
      <c r="D271" t="inlineStr">
        <is>
          <t>VÄSTRA GÖTALANDS LÄN</t>
        </is>
      </c>
      <c r="E271" t="inlineStr">
        <is>
          <t>KARLSBORG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42088-2023</t>
        </is>
      </c>
      <c r="B272" s="1" t="n">
        <v>45177</v>
      </c>
      <c r="C272" s="1" t="n">
        <v>45644</v>
      </c>
      <c r="D272" t="inlineStr">
        <is>
          <t>VÄSTRA GÖTALANDS LÄN</t>
        </is>
      </c>
      <c r="E272" t="inlineStr">
        <is>
          <t>KARLSBORG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44546-2023</t>
        </is>
      </c>
      <c r="B273" s="1" t="n">
        <v>45183</v>
      </c>
      <c r="C273" s="1" t="n">
        <v>45644</v>
      </c>
      <c r="D273" t="inlineStr">
        <is>
          <t>VÄSTRA GÖTALANDS LÄN</t>
        </is>
      </c>
      <c r="E273" t="inlineStr">
        <is>
          <t>KARLSBORG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44577-2023</t>
        </is>
      </c>
      <c r="B274" s="1" t="n">
        <v>45183</v>
      </c>
      <c r="C274" s="1" t="n">
        <v>45644</v>
      </c>
      <c r="D274" t="inlineStr">
        <is>
          <t>VÄSTRA GÖTALANDS LÄN</t>
        </is>
      </c>
      <c r="E274" t="inlineStr">
        <is>
          <t>KARLSBORG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48884-2023</t>
        </is>
      </c>
      <c r="B275" s="1" t="n">
        <v>45209</v>
      </c>
      <c r="C275" s="1" t="n">
        <v>45644</v>
      </c>
      <c r="D275" t="inlineStr">
        <is>
          <t>VÄSTRA GÖTALANDS LÄN</t>
        </is>
      </c>
      <c r="E275" t="inlineStr">
        <is>
          <t>KARLSBORG</t>
        </is>
      </c>
      <c r="G275" t="n">
        <v>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48888-2023</t>
        </is>
      </c>
      <c r="B276" s="1" t="n">
        <v>45209</v>
      </c>
      <c r="C276" s="1" t="n">
        <v>45644</v>
      </c>
      <c r="D276" t="inlineStr">
        <is>
          <t>VÄSTRA GÖTALANDS LÄN</t>
        </is>
      </c>
      <c r="E276" t="inlineStr">
        <is>
          <t>KARLSBORG</t>
        </is>
      </c>
      <c r="G276" t="n">
        <v>0.2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50985-2023</t>
        </is>
      </c>
      <c r="B277" s="1" t="n">
        <v>45218</v>
      </c>
      <c r="C277" s="1" t="n">
        <v>45644</v>
      </c>
      <c r="D277" t="inlineStr">
        <is>
          <t>VÄSTRA GÖTALANDS LÄN</t>
        </is>
      </c>
      <c r="E277" t="inlineStr">
        <is>
          <t>KARLSBORG</t>
        </is>
      </c>
      <c r="F277" t="inlineStr">
        <is>
          <t>Sveaskog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53247-2023</t>
        </is>
      </c>
      <c r="B278" s="1" t="n">
        <v>45229</v>
      </c>
      <c r="C278" s="1" t="n">
        <v>45644</v>
      </c>
      <c r="D278" t="inlineStr">
        <is>
          <t>VÄSTRA GÖTALANDS LÄN</t>
        </is>
      </c>
      <c r="E278" t="inlineStr">
        <is>
          <t>KARLSBORG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53504-2023</t>
        </is>
      </c>
      <c r="B279" s="1" t="n">
        <v>45230</v>
      </c>
      <c r="C279" s="1" t="n">
        <v>45644</v>
      </c>
      <c r="D279" t="inlineStr">
        <is>
          <t>VÄSTRA GÖTALANDS LÄN</t>
        </is>
      </c>
      <c r="E279" t="inlineStr">
        <is>
          <t>KARLSBORG</t>
        </is>
      </c>
      <c r="G279" t="n">
        <v>7.3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53898-2023</t>
        </is>
      </c>
      <c r="B280" s="1" t="n">
        <v>45231</v>
      </c>
      <c r="C280" s="1" t="n">
        <v>45644</v>
      </c>
      <c r="D280" t="inlineStr">
        <is>
          <t>VÄSTRA GÖTALANDS LÄN</t>
        </is>
      </c>
      <c r="E280" t="inlineStr">
        <is>
          <t>KARLSBORG</t>
        </is>
      </c>
      <c r="G280" t="n">
        <v>9.5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53909-2023</t>
        </is>
      </c>
      <c r="B281" s="1" t="n">
        <v>45231</v>
      </c>
      <c r="C281" s="1" t="n">
        <v>45644</v>
      </c>
      <c r="D281" t="inlineStr">
        <is>
          <t>VÄSTRA GÖTALANDS LÄN</t>
        </is>
      </c>
      <c r="E281" t="inlineStr">
        <is>
          <t>KARLSBORG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54444-2023</t>
        </is>
      </c>
      <c r="B282" s="1" t="n">
        <v>45233</v>
      </c>
      <c r="C282" s="1" t="n">
        <v>45644</v>
      </c>
      <c r="D282" t="inlineStr">
        <is>
          <t>VÄSTRA GÖTALANDS LÄN</t>
        </is>
      </c>
      <c r="E282" t="inlineStr">
        <is>
          <t>KARLSBORG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55729-2023</t>
        </is>
      </c>
      <c r="B283" s="1" t="n">
        <v>45239</v>
      </c>
      <c r="C283" s="1" t="n">
        <v>45644</v>
      </c>
      <c r="D283" t="inlineStr">
        <is>
          <t>VÄSTRA GÖTALANDS LÄN</t>
        </is>
      </c>
      <c r="E283" t="inlineStr">
        <is>
          <t>KARLSBORG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56495-2023</t>
        </is>
      </c>
      <c r="B284" s="1" t="n">
        <v>45243</v>
      </c>
      <c r="C284" s="1" t="n">
        <v>45644</v>
      </c>
      <c r="D284" t="inlineStr">
        <is>
          <t>VÄSTRA GÖTALANDS LÄN</t>
        </is>
      </c>
      <c r="E284" t="inlineStr">
        <is>
          <t>KARLSBORG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56545-2023</t>
        </is>
      </c>
      <c r="B285" s="1" t="n">
        <v>45243</v>
      </c>
      <c r="C285" s="1" t="n">
        <v>45644</v>
      </c>
      <c r="D285" t="inlineStr">
        <is>
          <t>VÄSTRA GÖTALANDS LÄN</t>
        </is>
      </c>
      <c r="E285" t="inlineStr">
        <is>
          <t>KARLSBORG</t>
        </is>
      </c>
      <c r="F285" t="inlineStr">
        <is>
          <t>Sveaskog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56541-2023</t>
        </is>
      </c>
      <c r="B286" s="1" t="n">
        <v>45243</v>
      </c>
      <c r="C286" s="1" t="n">
        <v>45644</v>
      </c>
      <c r="D286" t="inlineStr">
        <is>
          <t>VÄSTRA GÖTALANDS LÄN</t>
        </is>
      </c>
      <c r="E286" t="inlineStr">
        <is>
          <t>KARLSBORG</t>
        </is>
      </c>
      <c r="F286" t="inlineStr">
        <is>
          <t>Sveaskog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58533-2023</t>
        </is>
      </c>
      <c r="B287" s="1" t="n">
        <v>45251</v>
      </c>
      <c r="C287" s="1" t="n">
        <v>45644</v>
      </c>
      <c r="D287" t="inlineStr">
        <is>
          <t>VÄSTRA GÖTALANDS LÄN</t>
        </is>
      </c>
      <c r="E287" t="inlineStr">
        <is>
          <t>KARLSBORG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58527-2023</t>
        </is>
      </c>
      <c r="B288" s="1" t="n">
        <v>45251</v>
      </c>
      <c r="C288" s="1" t="n">
        <v>45644</v>
      </c>
      <c r="D288" t="inlineStr">
        <is>
          <t>VÄSTRA GÖTALANDS LÄN</t>
        </is>
      </c>
      <c r="E288" t="inlineStr">
        <is>
          <t>KARLSBORG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58558-2023</t>
        </is>
      </c>
      <c r="B289" s="1" t="n">
        <v>45251</v>
      </c>
      <c r="C289" s="1" t="n">
        <v>45644</v>
      </c>
      <c r="D289" t="inlineStr">
        <is>
          <t>VÄSTRA GÖTALANDS LÄN</t>
        </is>
      </c>
      <c r="E289" t="inlineStr">
        <is>
          <t>KARLSBORG</t>
        </is>
      </c>
      <c r="G289" t="n">
        <v>10.2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58573-2023</t>
        </is>
      </c>
      <c r="B290" s="1" t="n">
        <v>45251</v>
      </c>
      <c r="C290" s="1" t="n">
        <v>45644</v>
      </c>
      <c r="D290" t="inlineStr">
        <is>
          <t>VÄSTRA GÖTALANDS LÄN</t>
        </is>
      </c>
      <c r="E290" t="inlineStr">
        <is>
          <t>KARLSBORG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59045-2023</t>
        </is>
      </c>
      <c r="B291" s="1" t="n">
        <v>45252</v>
      </c>
      <c r="C291" s="1" t="n">
        <v>45644</v>
      </c>
      <c r="D291" t="inlineStr">
        <is>
          <t>VÄSTRA GÖTALANDS LÄN</t>
        </is>
      </c>
      <c r="E291" t="inlineStr">
        <is>
          <t>KARLSBORG</t>
        </is>
      </c>
      <c r="F291" t="inlineStr">
        <is>
          <t>Övriga Aktiebolag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59048-2023</t>
        </is>
      </c>
      <c r="B292" s="1" t="n">
        <v>45252</v>
      </c>
      <c r="C292" s="1" t="n">
        <v>45644</v>
      </c>
      <c r="D292" t="inlineStr">
        <is>
          <t>VÄSTRA GÖTALANDS LÄN</t>
        </is>
      </c>
      <c r="E292" t="inlineStr">
        <is>
          <t>KARLSBORG</t>
        </is>
      </c>
      <c r="F292" t="inlineStr">
        <is>
          <t>Övriga Aktiebolag</t>
        </is>
      </c>
      <c r="G292" t="n">
        <v>5.6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59047-2023</t>
        </is>
      </c>
      <c r="B293" s="1" t="n">
        <v>45252</v>
      </c>
      <c r="C293" s="1" t="n">
        <v>45644</v>
      </c>
      <c r="D293" t="inlineStr">
        <is>
          <t>VÄSTRA GÖTALANDS LÄN</t>
        </is>
      </c>
      <c r="E293" t="inlineStr">
        <is>
          <t>KARLSBORG</t>
        </is>
      </c>
      <c r="F293" t="inlineStr">
        <is>
          <t>Övriga Aktiebolag</t>
        </is>
      </c>
      <c r="G293" t="n">
        <v>7.4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59271-2023</t>
        </is>
      </c>
      <c r="B294" s="1" t="n">
        <v>45253</v>
      </c>
      <c r="C294" s="1" t="n">
        <v>45644</v>
      </c>
      <c r="D294" t="inlineStr">
        <is>
          <t>VÄSTRA GÖTALANDS LÄN</t>
        </is>
      </c>
      <c r="E294" t="inlineStr">
        <is>
          <t>KARLSBORG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59845-2023</t>
        </is>
      </c>
      <c r="B295" s="1" t="n">
        <v>45257</v>
      </c>
      <c r="C295" s="1" t="n">
        <v>45644</v>
      </c>
      <c r="D295" t="inlineStr">
        <is>
          <t>VÄSTRA GÖTALANDS LÄN</t>
        </is>
      </c>
      <c r="E295" t="inlineStr">
        <is>
          <t>KARLSBORG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61542-2023</t>
        </is>
      </c>
      <c r="B296" s="1" t="n">
        <v>45265</v>
      </c>
      <c r="C296" s="1" t="n">
        <v>45644</v>
      </c>
      <c r="D296" t="inlineStr">
        <is>
          <t>VÄSTRA GÖTALANDS LÄN</t>
        </is>
      </c>
      <c r="E296" t="inlineStr">
        <is>
          <t>KARLSBORG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61559-2023</t>
        </is>
      </c>
      <c r="B297" s="1" t="n">
        <v>45265</v>
      </c>
      <c r="C297" s="1" t="n">
        <v>45644</v>
      </c>
      <c r="D297" t="inlineStr">
        <is>
          <t>VÄSTRA GÖTALANDS LÄN</t>
        </is>
      </c>
      <c r="E297" t="inlineStr">
        <is>
          <t>KARLSBORG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61661-2023</t>
        </is>
      </c>
      <c r="B298" s="1" t="n">
        <v>45265</v>
      </c>
      <c r="C298" s="1" t="n">
        <v>45644</v>
      </c>
      <c r="D298" t="inlineStr">
        <is>
          <t>VÄSTRA GÖTALANDS LÄN</t>
        </is>
      </c>
      <c r="E298" t="inlineStr">
        <is>
          <t>KARLSBORG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61666-2023</t>
        </is>
      </c>
      <c r="B299" s="1" t="n">
        <v>45265</v>
      </c>
      <c r="C299" s="1" t="n">
        <v>45644</v>
      </c>
      <c r="D299" t="inlineStr">
        <is>
          <t>VÄSTRA GÖTALANDS LÄN</t>
        </is>
      </c>
      <c r="E299" t="inlineStr">
        <is>
          <t>KARLSBORG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62789-2023</t>
        </is>
      </c>
      <c r="B300" s="1" t="n">
        <v>45271</v>
      </c>
      <c r="C300" s="1" t="n">
        <v>45644</v>
      </c>
      <c r="D300" t="inlineStr">
        <is>
          <t>VÄSTRA GÖTALANDS LÄN</t>
        </is>
      </c>
      <c r="E300" t="inlineStr">
        <is>
          <t>KARLSBORG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1186-2024</t>
        </is>
      </c>
      <c r="B301" s="1" t="n">
        <v>45302</v>
      </c>
      <c r="C301" s="1" t="n">
        <v>45644</v>
      </c>
      <c r="D301" t="inlineStr">
        <is>
          <t>VÄSTRA GÖTALANDS LÄN</t>
        </is>
      </c>
      <c r="E301" t="inlineStr">
        <is>
          <t>KARLSBORG</t>
        </is>
      </c>
      <c r="G301" t="n">
        <v>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3284-2024</t>
        </is>
      </c>
      <c r="B302" s="1" t="n">
        <v>45317</v>
      </c>
      <c r="C302" s="1" t="n">
        <v>45644</v>
      </c>
      <c r="D302" t="inlineStr">
        <is>
          <t>VÄSTRA GÖTALANDS LÄN</t>
        </is>
      </c>
      <c r="E302" t="inlineStr">
        <is>
          <t>KARLSBORG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3283-2024</t>
        </is>
      </c>
      <c r="B303" s="1" t="n">
        <v>45317</v>
      </c>
      <c r="C303" s="1" t="n">
        <v>45644</v>
      </c>
      <c r="D303" t="inlineStr">
        <is>
          <t>VÄSTRA GÖTALANDS LÄN</t>
        </is>
      </c>
      <c r="E303" t="inlineStr">
        <is>
          <t>KARLSBORG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4488-2024</t>
        </is>
      </c>
      <c r="B304" s="1" t="n">
        <v>45327</v>
      </c>
      <c r="C304" s="1" t="n">
        <v>45644</v>
      </c>
      <c r="D304" t="inlineStr">
        <is>
          <t>VÄSTRA GÖTALANDS LÄN</t>
        </is>
      </c>
      <c r="E304" t="inlineStr">
        <is>
          <t>KARLSBORG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4715-2024</t>
        </is>
      </c>
      <c r="B305" s="1" t="n">
        <v>45328</v>
      </c>
      <c r="C305" s="1" t="n">
        <v>45644</v>
      </c>
      <c r="D305" t="inlineStr">
        <is>
          <t>VÄSTRA GÖTALANDS LÄN</t>
        </is>
      </c>
      <c r="E305" t="inlineStr">
        <is>
          <t>KARLSBORG</t>
        </is>
      </c>
      <c r="G305" t="n">
        <v>7.9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9238-2024</t>
        </is>
      </c>
      <c r="B306" s="1" t="n">
        <v>45358</v>
      </c>
      <c r="C306" s="1" t="n">
        <v>45644</v>
      </c>
      <c r="D306" t="inlineStr">
        <is>
          <t>VÄSTRA GÖTALANDS LÄN</t>
        </is>
      </c>
      <c r="E306" t="inlineStr">
        <is>
          <t>KARLSBORG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9307-2024</t>
        </is>
      </c>
      <c r="B307" s="1" t="n">
        <v>45358</v>
      </c>
      <c r="C307" s="1" t="n">
        <v>45644</v>
      </c>
      <c r="D307" t="inlineStr">
        <is>
          <t>VÄSTRA GÖTALANDS LÄN</t>
        </is>
      </c>
      <c r="E307" t="inlineStr">
        <is>
          <t>KARLSBORG</t>
        </is>
      </c>
      <c r="G307" t="n">
        <v>4.5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9308-2024</t>
        </is>
      </c>
      <c r="B308" s="1" t="n">
        <v>45358</v>
      </c>
      <c r="C308" s="1" t="n">
        <v>45644</v>
      </c>
      <c r="D308" t="inlineStr">
        <is>
          <t>VÄSTRA GÖTALANDS LÄN</t>
        </is>
      </c>
      <c r="E308" t="inlineStr">
        <is>
          <t>KARLSBORG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9632-2024</t>
        </is>
      </c>
      <c r="B309" s="1" t="n">
        <v>45362</v>
      </c>
      <c r="C309" s="1" t="n">
        <v>45644</v>
      </c>
      <c r="D309" t="inlineStr">
        <is>
          <t>VÄSTRA GÖTALANDS LÄN</t>
        </is>
      </c>
      <c r="E309" t="inlineStr">
        <is>
          <t>KARLSBORG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9771-2024</t>
        </is>
      </c>
      <c r="B310" s="1" t="n">
        <v>45362</v>
      </c>
      <c r="C310" s="1" t="n">
        <v>45644</v>
      </c>
      <c r="D310" t="inlineStr">
        <is>
          <t>VÄSTRA GÖTALANDS LÄN</t>
        </is>
      </c>
      <c r="E310" t="inlineStr">
        <is>
          <t>KARLSBORG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10828-2024</t>
        </is>
      </c>
      <c r="B311" s="1" t="n">
        <v>45369</v>
      </c>
      <c r="C311" s="1" t="n">
        <v>45644</v>
      </c>
      <c r="D311" t="inlineStr">
        <is>
          <t>VÄSTRA GÖTALANDS LÄN</t>
        </is>
      </c>
      <c r="E311" t="inlineStr">
        <is>
          <t>KARLSBORG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11661-2024</t>
        </is>
      </c>
      <c r="B312" s="1" t="n">
        <v>45373</v>
      </c>
      <c r="C312" s="1" t="n">
        <v>45644</v>
      </c>
      <c r="D312" t="inlineStr">
        <is>
          <t>VÄSTRA GÖTALANDS LÄN</t>
        </is>
      </c>
      <c r="E312" t="inlineStr">
        <is>
          <t>KARLSBORG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13252-2024</t>
        </is>
      </c>
      <c r="B313" s="1" t="n">
        <v>45386</v>
      </c>
      <c r="C313" s="1" t="n">
        <v>45644</v>
      </c>
      <c r="D313" t="inlineStr">
        <is>
          <t>VÄSTRA GÖTALANDS LÄN</t>
        </is>
      </c>
      <c r="E313" t="inlineStr">
        <is>
          <t>KARLSBORG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13254-2024</t>
        </is>
      </c>
      <c r="B314" s="1" t="n">
        <v>45386</v>
      </c>
      <c r="C314" s="1" t="n">
        <v>45644</v>
      </c>
      <c r="D314" t="inlineStr">
        <is>
          <t>VÄSTRA GÖTALANDS LÄN</t>
        </is>
      </c>
      <c r="E314" t="inlineStr">
        <is>
          <t>KARLSBORG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13659-2024</t>
        </is>
      </c>
      <c r="B315" s="1" t="n">
        <v>45390</v>
      </c>
      <c r="C315" s="1" t="n">
        <v>45644</v>
      </c>
      <c r="D315" t="inlineStr">
        <is>
          <t>VÄSTRA GÖTALANDS LÄN</t>
        </is>
      </c>
      <c r="E315" t="inlineStr">
        <is>
          <t>KARLSBORG</t>
        </is>
      </c>
      <c r="F315" t="inlineStr">
        <is>
          <t>Övriga Aktiebolag</t>
        </is>
      </c>
      <c r="G315" t="n">
        <v>5.3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13643-2024</t>
        </is>
      </c>
      <c r="B316" s="1" t="n">
        <v>45390</v>
      </c>
      <c r="C316" s="1" t="n">
        <v>45644</v>
      </c>
      <c r="D316" t="inlineStr">
        <is>
          <t>VÄSTRA GÖTALANDS LÄN</t>
        </is>
      </c>
      <c r="E316" t="inlineStr">
        <is>
          <t>KARLSBORG</t>
        </is>
      </c>
      <c r="F316" t="inlineStr">
        <is>
          <t>Övriga Aktiebolag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14522-2024</t>
        </is>
      </c>
      <c r="B317" s="1" t="n">
        <v>45394</v>
      </c>
      <c r="C317" s="1" t="n">
        <v>45644</v>
      </c>
      <c r="D317" t="inlineStr">
        <is>
          <t>VÄSTRA GÖTALANDS LÄN</t>
        </is>
      </c>
      <c r="E317" t="inlineStr">
        <is>
          <t>KARLSBORG</t>
        </is>
      </c>
      <c r="F317" t="inlineStr">
        <is>
          <t>Sveaskog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14526-2024</t>
        </is>
      </c>
      <c r="B318" s="1" t="n">
        <v>45394</v>
      </c>
      <c r="C318" s="1" t="n">
        <v>45644</v>
      </c>
      <c r="D318" t="inlineStr">
        <is>
          <t>VÄSTRA GÖTALANDS LÄN</t>
        </is>
      </c>
      <c r="E318" t="inlineStr">
        <is>
          <t>KARLSBORG</t>
        </is>
      </c>
      <c r="F318" t="inlineStr">
        <is>
          <t>Sveaskog</t>
        </is>
      </c>
      <c r="G318" t="n">
        <v>7.2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14514-2024</t>
        </is>
      </c>
      <c r="B319" s="1" t="n">
        <v>45394</v>
      </c>
      <c r="C319" s="1" t="n">
        <v>45644</v>
      </c>
      <c r="D319" t="inlineStr">
        <is>
          <t>VÄSTRA GÖTALANDS LÄN</t>
        </is>
      </c>
      <c r="E319" t="inlineStr">
        <is>
          <t>KARLSBORG</t>
        </is>
      </c>
      <c r="F319" t="inlineStr">
        <is>
          <t>Sveaskog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14524-2024</t>
        </is>
      </c>
      <c r="B320" s="1" t="n">
        <v>45394</v>
      </c>
      <c r="C320" s="1" t="n">
        <v>45644</v>
      </c>
      <c r="D320" t="inlineStr">
        <is>
          <t>VÄSTRA GÖTALANDS LÄN</t>
        </is>
      </c>
      <c r="E320" t="inlineStr">
        <is>
          <t>KARLSBORG</t>
        </is>
      </c>
      <c r="F320" t="inlineStr">
        <is>
          <t>Sveaskog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14515-2024</t>
        </is>
      </c>
      <c r="B321" s="1" t="n">
        <v>45394</v>
      </c>
      <c r="C321" s="1" t="n">
        <v>45644</v>
      </c>
      <c r="D321" t="inlineStr">
        <is>
          <t>VÄSTRA GÖTALANDS LÄN</t>
        </is>
      </c>
      <c r="E321" t="inlineStr">
        <is>
          <t>KARLSBORG</t>
        </is>
      </c>
      <c r="F321" t="inlineStr">
        <is>
          <t>Sveaskog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14527-2024</t>
        </is>
      </c>
      <c r="B322" s="1" t="n">
        <v>45394</v>
      </c>
      <c r="C322" s="1" t="n">
        <v>45644</v>
      </c>
      <c r="D322" t="inlineStr">
        <is>
          <t>VÄSTRA GÖTALANDS LÄN</t>
        </is>
      </c>
      <c r="E322" t="inlineStr">
        <is>
          <t>KARLSBORG</t>
        </is>
      </c>
      <c r="F322" t="inlineStr">
        <is>
          <t>Sveaskog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14529-2024</t>
        </is>
      </c>
      <c r="B323" s="1" t="n">
        <v>45394</v>
      </c>
      <c r="C323" s="1" t="n">
        <v>45644</v>
      </c>
      <c r="D323" t="inlineStr">
        <is>
          <t>VÄSTRA GÖTALANDS LÄN</t>
        </is>
      </c>
      <c r="E323" t="inlineStr">
        <is>
          <t>KARLSBORG</t>
        </is>
      </c>
      <c r="F323" t="inlineStr">
        <is>
          <t>Sveaskog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14525-2024</t>
        </is>
      </c>
      <c r="B324" s="1" t="n">
        <v>45394</v>
      </c>
      <c r="C324" s="1" t="n">
        <v>45644</v>
      </c>
      <c r="D324" t="inlineStr">
        <is>
          <t>VÄSTRA GÖTALANDS LÄN</t>
        </is>
      </c>
      <c r="E324" t="inlineStr">
        <is>
          <t>KARLSBORG</t>
        </is>
      </c>
      <c r="F324" t="inlineStr">
        <is>
          <t>Sveaskog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14521-2024</t>
        </is>
      </c>
      <c r="B325" s="1" t="n">
        <v>45394</v>
      </c>
      <c r="C325" s="1" t="n">
        <v>45644</v>
      </c>
      <c r="D325" t="inlineStr">
        <is>
          <t>VÄSTRA GÖTALANDS LÄN</t>
        </is>
      </c>
      <c r="E325" t="inlineStr">
        <is>
          <t>KARLSBORG</t>
        </is>
      </c>
      <c r="F325" t="inlineStr">
        <is>
          <t>Sveaskog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14513-2024</t>
        </is>
      </c>
      <c r="B326" s="1" t="n">
        <v>45394</v>
      </c>
      <c r="C326" s="1" t="n">
        <v>45644</v>
      </c>
      <c r="D326" t="inlineStr">
        <is>
          <t>VÄSTRA GÖTALANDS LÄN</t>
        </is>
      </c>
      <c r="E326" t="inlineStr">
        <is>
          <t>KARLSBORG</t>
        </is>
      </c>
      <c r="F326" t="inlineStr">
        <is>
          <t>Sveaskog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15022-2024</t>
        </is>
      </c>
      <c r="B327" s="1" t="n">
        <v>45399</v>
      </c>
      <c r="C327" s="1" t="n">
        <v>45644</v>
      </c>
      <c r="D327" t="inlineStr">
        <is>
          <t>VÄSTRA GÖTALANDS LÄN</t>
        </is>
      </c>
      <c r="E327" t="inlineStr">
        <is>
          <t>KARLSBORG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15328-2024</t>
        </is>
      </c>
      <c r="B328" s="1" t="n">
        <v>45400</v>
      </c>
      <c r="C328" s="1" t="n">
        <v>45644</v>
      </c>
      <c r="D328" t="inlineStr">
        <is>
          <t>VÄSTRA GÖTALANDS LÄN</t>
        </is>
      </c>
      <c r="E328" t="inlineStr">
        <is>
          <t>KARLSBORG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15396-2024</t>
        </is>
      </c>
      <c r="B329" s="1" t="n">
        <v>45401</v>
      </c>
      <c r="C329" s="1" t="n">
        <v>45644</v>
      </c>
      <c r="D329" t="inlineStr">
        <is>
          <t>VÄSTRA GÖTALANDS LÄN</t>
        </is>
      </c>
      <c r="E329" t="inlineStr">
        <is>
          <t>KARLSBORG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15395-2024</t>
        </is>
      </c>
      <c r="B330" s="1" t="n">
        <v>45401</v>
      </c>
      <c r="C330" s="1" t="n">
        <v>45644</v>
      </c>
      <c r="D330" t="inlineStr">
        <is>
          <t>VÄSTRA GÖTALANDS LÄN</t>
        </is>
      </c>
      <c r="E330" t="inlineStr">
        <is>
          <t>KARLSBORG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15656-2024</t>
        </is>
      </c>
      <c r="B331" s="1" t="n">
        <v>45404</v>
      </c>
      <c r="C331" s="1" t="n">
        <v>45644</v>
      </c>
      <c r="D331" t="inlineStr">
        <is>
          <t>VÄSTRA GÖTALANDS LÄN</t>
        </is>
      </c>
      <c r="E331" t="inlineStr">
        <is>
          <t>KARLSBORG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17306-2024</t>
        </is>
      </c>
      <c r="B332" s="1" t="n">
        <v>45414</v>
      </c>
      <c r="C332" s="1" t="n">
        <v>45644</v>
      </c>
      <c r="D332" t="inlineStr">
        <is>
          <t>VÄSTRA GÖTALANDS LÄN</t>
        </is>
      </c>
      <c r="E332" t="inlineStr">
        <is>
          <t>KARLSBORG</t>
        </is>
      </c>
      <c r="F332" t="inlineStr">
        <is>
          <t>Sveaskog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17319-2024</t>
        </is>
      </c>
      <c r="B333" s="1" t="n">
        <v>45414</v>
      </c>
      <c r="C333" s="1" t="n">
        <v>45644</v>
      </c>
      <c r="D333" t="inlineStr">
        <is>
          <t>VÄSTRA GÖTALANDS LÄN</t>
        </is>
      </c>
      <c r="E333" t="inlineStr">
        <is>
          <t>KARLSBORG</t>
        </is>
      </c>
      <c r="F333" t="inlineStr">
        <is>
          <t>Sveaskog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18083-2024</t>
        </is>
      </c>
      <c r="B334" s="1" t="n">
        <v>45420</v>
      </c>
      <c r="C334" s="1" t="n">
        <v>45644</v>
      </c>
      <c r="D334" t="inlineStr">
        <is>
          <t>VÄSTRA GÖTALANDS LÄN</t>
        </is>
      </c>
      <c r="E334" t="inlineStr">
        <is>
          <t>KARLSBORG</t>
        </is>
      </c>
      <c r="G334" t="n">
        <v>4.7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18289-2024</t>
        </is>
      </c>
      <c r="B335" s="1" t="n">
        <v>45422</v>
      </c>
      <c r="C335" s="1" t="n">
        <v>45644</v>
      </c>
      <c r="D335" t="inlineStr">
        <is>
          <t>VÄSTRA GÖTALANDS LÄN</t>
        </is>
      </c>
      <c r="E335" t="inlineStr">
        <is>
          <t>KARLSBORG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18807-2024</t>
        </is>
      </c>
      <c r="B336" s="1" t="n">
        <v>45426</v>
      </c>
      <c r="C336" s="1" t="n">
        <v>45644</v>
      </c>
      <c r="D336" t="inlineStr">
        <is>
          <t>VÄSTRA GÖTALANDS LÄN</t>
        </is>
      </c>
      <c r="E336" t="inlineStr">
        <is>
          <t>KARLSBORG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20564-2024</t>
        </is>
      </c>
      <c r="B337" s="1" t="n">
        <v>45436</v>
      </c>
      <c r="C337" s="1" t="n">
        <v>45644</v>
      </c>
      <c r="D337" t="inlineStr">
        <is>
          <t>VÄSTRA GÖTALANDS LÄN</t>
        </is>
      </c>
      <c r="E337" t="inlineStr">
        <is>
          <t>KARLSBORG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22091-2024</t>
        </is>
      </c>
      <c r="B338" s="1" t="n">
        <v>45443</v>
      </c>
      <c r="C338" s="1" t="n">
        <v>45644</v>
      </c>
      <c r="D338" t="inlineStr">
        <is>
          <t>VÄSTRA GÖTALANDS LÄN</t>
        </is>
      </c>
      <c r="E338" t="inlineStr">
        <is>
          <t>KARLSBORG</t>
        </is>
      </c>
      <c r="F338" t="inlineStr">
        <is>
          <t>Sveaskog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22092-2024</t>
        </is>
      </c>
      <c r="B339" s="1" t="n">
        <v>45443</v>
      </c>
      <c r="C339" s="1" t="n">
        <v>45644</v>
      </c>
      <c r="D339" t="inlineStr">
        <is>
          <t>VÄSTRA GÖTALANDS LÄN</t>
        </is>
      </c>
      <c r="E339" t="inlineStr">
        <is>
          <t>KARLSBORG</t>
        </is>
      </c>
      <c r="F339" t="inlineStr">
        <is>
          <t>Sveaskog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22089-2024</t>
        </is>
      </c>
      <c r="B340" s="1" t="n">
        <v>45443</v>
      </c>
      <c r="C340" s="1" t="n">
        <v>45644</v>
      </c>
      <c r="D340" t="inlineStr">
        <is>
          <t>VÄSTRA GÖTALANDS LÄN</t>
        </is>
      </c>
      <c r="E340" t="inlineStr">
        <is>
          <t>KARLSBORG</t>
        </is>
      </c>
      <c r="F340" t="inlineStr">
        <is>
          <t>Sveaskog</t>
        </is>
      </c>
      <c r="G340" t="n">
        <v>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22910-2024</t>
        </is>
      </c>
      <c r="B341" s="1" t="n">
        <v>45448</v>
      </c>
      <c r="C341" s="1" t="n">
        <v>45644</v>
      </c>
      <c r="D341" t="inlineStr">
        <is>
          <t>VÄSTRA GÖTALANDS LÄN</t>
        </is>
      </c>
      <c r="E341" t="inlineStr">
        <is>
          <t>KARLSBORG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22922-2024</t>
        </is>
      </c>
      <c r="B342" s="1" t="n">
        <v>45448</v>
      </c>
      <c r="C342" s="1" t="n">
        <v>45644</v>
      </c>
      <c r="D342" t="inlineStr">
        <is>
          <t>VÄSTRA GÖTALANDS LÄN</t>
        </is>
      </c>
      <c r="E342" t="inlineStr">
        <is>
          <t>KARLSBORG</t>
        </is>
      </c>
      <c r="G342" t="n">
        <v>4.1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22923-2024</t>
        </is>
      </c>
      <c r="B343" s="1" t="n">
        <v>45448</v>
      </c>
      <c r="C343" s="1" t="n">
        <v>45644</v>
      </c>
      <c r="D343" t="inlineStr">
        <is>
          <t>VÄSTRA GÖTALANDS LÄN</t>
        </is>
      </c>
      <c r="E343" t="inlineStr">
        <is>
          <t>KARLSBORG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23469-2024</t>
        </is>
      </c>
      <c r="B344" s="1" t="n">
        <v>45453</v>
      </c>
      <c r="C344" s="1" t="n">
        <v>45644</v>
      </c>
      <c r="D344" t="inlineStr">
        <is>
          <t>VÄSTRA GÖTALANDS LÄN</t>
        </is>
      </c>
      <c r="E344" t="inlineStr">
        <is>
          <t>KARLSBORG</t>
        </is>
      </c>
      <c r="G344" t="n">
        <v>4.9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24736-2024</t>
        </is>
      </c>
      <c r="B345" s="1" t="n">
        <v>45460</v>
      </c>
      <c r="C345" s="1" t="n">
        <v>45644</v>
      </c>
      <c r="D345" t="inlineStr">
        <is>
          <t>VÄSTRA GÖTALANDS LÄN</t>
        </is>
      </c>
      <c r="E345" t="inlineStr">
        <is>
          <t>KARLSBORG</t>
        </is>
      </c>
      <c r="F345" t="inlineStr">
        <is>
          <t>Sveaskog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26914-2024</t>
        </is>
      </c>
      <c r="B346" s="1" t="n">
        <v>45470</v>
      </c>
      <c r="C346" s="1" t="n">
        <v>45644</v>
      </c>
      <c r="D346" t="inlineStr">
        <is>
          <t>VÄSTRA GÖTALANDS LÄN</t>
        </is>
      </c>
      <c r="E346" t="inlineStr">
        <is>
          <t>KARLSBORG</t>
        </is>
      </c>
      <c r="F346" t="inlineStr">
        <is>
          <t>Övriga Aktiebolag</t>
        </is>
      </c>
      <c r="G346" t="n">
        <v>7.1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26912-2024</t>
        </is>
      </c>
      <c r="B347" s="1" t="n">
        <v>45470</v>
      </c>
      <c r="C347" s="1" t="n">
        <v>45644</v>
      </c>
      <c r="D347" t="inlineStr">
        <is>
          <t>VÄSTRA GÖTALANDS LÄN</t>
        </is>
      </c>
      <c r="E347" t="inlineStr">
        <is>
          <t>KARLSBORG</t>
        </is>
      </c>
      <c r="F347" t="inlineStr">
        <is>
          <t>Övriga Aktiebolag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26913-2024</t>
        </is>
      </c>
      <c r="B348" s="1" t="n">
        <v>45470</v>
      </c>
      <c r="C348" s="1" t="n">
        <v>45644</v>
      </c>
      <c r="D348" t="inlineStr">
        <is>
          <t>VÄSTRA GÖTALANDS LÄN</t>
        </is>
      </c>
      <c r="E348" t="inlineStr">
        <is>
          <t>KARLSBORG</t>
        </is>
      </c>
      <c r="F348" t="inlineStr">
        <is>
          <t>Övriga Aktiebolag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28526-2024</t>
        </is>
      </c>
      <c r="B349" s="1" t="n">
        <v>45478</v>
      </c>
      <c r="C349" s="1" t="n">
        <v>45644</v>
      </c>
      <c r="D349" t="inlineStr">
        <is>
          <t>VÄSTRA GÖTALANDS LÄN</t>
        </is>
      </c>
      <c r="E349" t="inlineStr">
        <is>
          <t>KARLSBORG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28528-2024</t>
        </is>
      </c>
      <c r="B350" s="1" t="n">
        <v>45478</v>
      </c>
      <c r="C350" s="1" t="n">
        <v>45644</v>
      </c>
      <c r="D350" t="inlineStr">
        <is>
          <t>VÄSTRA GÖTALANDS LÄN</t>
        </is>
      </c>
      <c r="E350" t="inlineStr">
        <is>
          <t>KARLSBORG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29357-2024</t>
        </is>
      </c>
      <c r="B351" s="1" t="n">
        <v>45483</v>
      </c>
      <c r="C351" s="1" t="n">
        <v>45644</v>
      </c>
      <c r="D351" t="inlineStr">
        <is>
          <t>VÄSTRA GÖTALANDS LÄN</t>
        </is>
      </c>
      <c r="E351" t="inlineStr">
        <is>
          <t>KARLSBORG</t>
        </is>
      </c>
      <c r="F351" t="inlineStr">
        <is>
          <t>Sveaskog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30136-2024</t>
        </is>
      </c>
      <c r="B352" s="1" t="n">
        <v>45489</v>
      </c>
      <c r="C352" s="1" t="n">
        <v>45644</v>
      </c>
      <c r="D352" t="inlineStr">
        <is>
          <t>VÄSTRA GÖTALANDS LÄN</t>
        </is>
      </c>
      <c r="E352" t="inlineStr">
        <is>
          <t>KARLSBORG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31856-2024</t>
        </is>
      </c>
      <c r="B353" s="1" t="n">
        <v>45509</v>
      </c>
      <c r="C353" s="1" t="n">
        <v>45644</v>
      </c>
      <c r="D353" t="inlineStr">
        <is>
          <t>VÄSTRA GÖTALANDS LÄN</t>
        </is>
      </c>
      <c r="E353" t="inlineStr">
        <is>
          <t>KARLSBORG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31854-2024</t>
        </is>
      </c>
      <c r="B354" s="1" t="n">
        <v>45509</v>
      </c>
      <c r="C354" s="1" t="n">
        <v>45644</v>
      </c>
      <c r="D354" t="inlineStr">
        <is>
          <t>VÄSTRA GÖTALANDS LÄN</t>
        </is>
      </c>
      <c r="E354" t="inlineStr">
        <is>
          <t>KARLSBORG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34074-2024</t>
        </is>
      </c>
      <c r="B355" s="1" t="n">
        <v>45523</v>
      </c>
      <c r="C355" s="1" t="n">
        <v>45644</v>
      </c>
      <c r="D355" t="inlineStr">
        <is>
          <t>VÄSTRA GÖTALANDS LÄN</t>
        </is>
      </c>
      <c r="E355" t="inlineStr">
        <is>
          <t>KARLSBORG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34123-2024</t>
        </is>
      </c>
      <c r="B356" s="1" t="n">
        <v>45524</v>
      </c>
      <c r="C356" s="1" t="n">
        <v>45644</v>
      </c>
      <c r="D356" t="inlineStr">
        <is>
          <t>VÄSTRA GÖTALANDS LÄN</t>
        </is>
      </c>
      <c r="E356" t="inlineStr">
        <is>
          <t>KARLSBORG</t>
        </is>
      </c>
      <c r="F356" t="inlineStr">
        <is>
          <t>Övriga Aktiebolag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34314-2024</t>
        </is>
      </c>
      <c r="B357" s="1" t="n">
        <v>45524</v>
      </c>
      <c r="C357" s="1" t="n">
        <v>45644</v>
      </c>
      <c r="D357" t="inlineStr">
        <is>
          <t>VÄSTRA GÖTALANDS LÄN</t>
        </is>
      </c>
      <c r="E357" t="inlineStr">
        <is>
          <t>KARLSBORG</t>
        </is>
      </c>
      <c r="F357" t="inlineStr">
        <is>
          <t>Övriga Aktiebolag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34125-2024</t>
        </is>
      </c>
      <c r="B358" s="1" t="n">
        <v>45524</v>
      </c>
      <c r="C358" s="1" t="n">
        <v>45644</v>
      </c>
      <c r="D358" t="inlineStr">
        <is>
          <t>VÄSTRA GÖTALANDS LÄN</t>
        </is>
      </c>
      <c r="E358" t="inlineStr">
        <is>
          <t>KARLSBORG</t>
        </is>
      </c>
      <c r="F358" t="inlineStr">
        <is>
          <t>Övriga Aktiebolag</t>
        </is>
      </c>
      <c r="G358" t="n">
        <v>0.1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34120-2024</t>
        </is>
      </c>
      <c r="B359" s="1" t="n">
        <v>45524</v>
      </c>
      <c r="C359" s="1" t="n">
        <v>45644</v>
      </c>
      <c r="D359" t="inlineStr">
        <is>
          <t>VÄSTRA GÖTALANDS LÄN</t>
        </is>
      </c>
      <c r="E359" t="inlineStr">
        <is>
          <t>KARLSBORG</t>
        </is>
      </c>
      <c r="F359" t="inlineStr">
        <is>
          <t>Övriga Aktiebolag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34126-2024</t>
        </is>
      </c>
      <c r="B360" s="1" t="n">
        <v>45524</v>
      </c>
      <c r="C360" s="1" t="n">
        <v>45644</v>
      </c>
      <c r="D360" t="inlineStr">
        <is>
          <t>VÄSTRA GÖTALANDS LÄN</t>
        </is>
      </c>
      <c r="E360" t="inlineStr">
        <is>
          <t>KARLSBORG</t>
        </is>
      </c>
      <c r="F360" t="inlineStr">
        <is>
          <t>Övriga Aktiebolag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35040-2024</t>
        </is>
      </c>
      <c r="B361" s="1" t="n">
        <v>45527</v>
      </c>
      <c r="C361" s="1" t="n">
        <v>45644</v>
      </c>
      <c r="D361" t="inlineStr">
        <is>
          <t>VÄSTRA GÖTALANDS LÄN</t>
        </is>
      </c>
      <c r="E361" t="inlineStr">
        <is>
          <t>KARLSBORG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35042-2024</t>
        </is>
      </c>
      <c r="B362" s="1" t="n">
        <v>45527</v>
      </c>
      <c r="C362" s="1" t="n">
        <v>45644</v>
      </c>
      <c r="D362" t="inlineStr">
        <is>
          <t>VÄSTRA GÖTALANDS LÄN</t>
        </is>
      </c>
      <c r="E362" t="inlineStr">
        <is>
          <t>KARLSBORG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35443-2024</t>
        </is>
      </c>
      <c r="B363" s="1" t="n">
        <v>45531</v>
      </c>
      <c r="C363" s="1" t="n">
        <v>45644</v>
      </c>
      <c r="D363" t="inlineStr">
        <is>
          <t>VÄSTRA GÖTALANDS LÄN</t>
        </is>
      </c>
      <c r="E363" t="inlineStr">
        <is>
          <t>KARLSBORG</t>
        </is>
      </c>
      <c r="F363" t="inlineStr">
        <is>
          <t>Sveaskog</t>
        </is>
      </c>
      <c r="G363" t="n">
        <v>5.7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35441-2024</t>
        </is>
      </c>
      <c r="B364" s="1" t="n">
        <v>45531</v>
      </c>
      <c r="C364" s="1" t="n">
        <v>45644</v>
      </c>
      <c r="D364" t="inlineStr">
        <is>
          <t>VÄSTRA GÖTALANDS LÄN</t>
        </is>
      </c>
      <c r="E364" t="inlineStr">
        <is>
          <t>KARLSBORG</t>
        </is>
      </c>
      <c r="F364" t="inlineStr">
        <is>
          <t>Sveaskog</t>
        </is>
      </c>
      <c r="G364" t="n">
        <v>9.800000000000001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36636-2024</t>
        </is>
      </c>
      <c r="B365" s="1" t="n">
        <v>45537</v>
      </c>
      <c r="C365" s="1" t="n">
        <v>45644</v>
      </c>
      <c r="D365" t="inlineStr">
        <is>
          <t>VÄSTRA GÖTALANDS LÄN</t>
        </is>
      </c>
      <c r="E365" t="inlineStr">
        <is>
          <t>KARLSBORG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37519-2024</t>
        </is>
      </c>
      <c r="B366" s="1" t="n">
        <v>45541</v>
      </c>
      <c r="C366" s="1" t="n">
        <v>45644</v>
      </c>
      <c r="D366" t="inlineStr">
        <is>
          <t>VÄSTRA GÖTALANDS LÄN</t>
        </is>
      </c>
      <c r="E366" t="inlineStr">
        <is>
          <t>KARLSBORG</t>
        </is>
      </c>
      <c r="F366" t="inlineStr">
        <is>
          <t>Sveaskog</t>
        </is>
      </c>
      <c r="G366" t="n">
        <v>9.800000000000001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37521-2024</t>
        </is>
      </c>
      <c r="B367" s="1" t="n">
        <v>45541</v>
      </c>
      <c r="C367" s="1" t="n">
        <v>45644</v>
      </c>
      <c r="D367" t="inlineStr">
        <is>
          <t>VÄSTRA GÖTALANDS LÄN</t>
        </is>
      </c>
      <c r="E367" t="inlineStr">
        <is>
          <t>KARLSBORG</t>
        </is>
      </c>
      <c r="F367" t="inlineStr">
        <is>
          <t>Sveaskog</t>
        </is>
      </c>
      <c r="G367" t="n">
        <v>5.7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38299-2024</t>
        </is>
      </c>
      <c r="B368" s="1" t="n">
        <v>45545</v>
      </c>
      <c r="C368" s="1" t="n">
        <v>45644</v>
      </c>
      <c r="D368" t="inlineStr">
        <is>
          <t>VÄSTRA GÖTALANDS LÄN</t>
        </is>
      </c>
      <c r="E368" t="inlineStr">
        <is>
          <t>KARLSBORG</t>
        </is>
      </c>
      <c r="F368" t="inlineStr">
        <is>
          <t>Kyrkan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38719-2024</t>
        </is>
      </c>
      <c r="B369" s="1" t="n">
        <v>45547</v>
      </c>
      <c r="C369" s="1" t="n">
        <v>45644</v>
      </c>
      <c r="D369" t="inlineStr">
        <is>
          <t>VÄSTRA GÖTALANDS LÄN</t>
        </is>
      </c>
      <c r="E369" t="inlineStr">
        <is>
          <t>KARLSBORG</t>
        </is>
      </c>
      <c r="F369" t="inlineStr">
        <is>
          <t>Kyrkan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38972-2024</t>
        </is>
      </c>
      <c r="B370" s="1" t="n">
        <v>45548</v>
      </c>
      <c r="C370" s="1" t="n">
        <v>45644</v>
      </c>
      <c r="D370" t="inlineStr">
        <is>
          <t>VÄSTRA GÖTALANDS LÄN</t>
        </is>
      </c>
      <c r="E370" t="inlineStr">
        <is>
          <t>KARLSBORG</t>
        </is>
      </c>
      <c r="F370" t="inlineStr">
        <is>
          <t>Övriga Aktiebolag</t>
        </is>
      </c>
      <c r="G370" t="n">
        <v>4.2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38995-2024</t>
        </is>
      </c>
      <c r="B371" s="1" t="n">
        <v>45548</v>
      </c>
      <c r="C371" s="1" t="n">
        <v>45644</v>
      </c>
      <c r="D371" t="inlineStr">
        <is>
          <t>VÄSTRA GÖTALANDS LÄN</t>
        </is>
      </c>
      <c r="E371" t="inlineStr">
        <is>
          <t>KARLSBORG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39848-2024</t>
        </is>
      </c>
      <c r="B372" s="1" t="n">
        <v>45553</v>
      </c>
      <c r="C372" s="1" t="n">
        <v>45644</v>
      </c>
      <c r="D372" t="inlineStr">
        <is>
          <t>VÄSTRA GÖTALANDS LÄN</t>
        </is>
      </c>
      <c r="E372" t="inlineStr">
        <is>
          <t>KARLSBORG</t>
        </is>
      </c>
      <c r="F372" t="inlineStr">
        <is>
          <t>Kyrkan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39842-2024</t>
        </is>
      </c>
      <c r="B373" s="1" t="n">
        <v>45553</v>
      </c>
      <c r="C373" s="1" t="n">
        <v>45644</v>
      </c>
      <c r="D373" t="inlineStr">
        <is>
          <t>VÄSTRA GÖTALANDS LÄN</t>
        </is>
      </c>
      <c r="E373" t="inlineStr">
        <is>
          <t>KARLSBORG</t>
        </is>
      </c>
      <c r="F373" t="inlineStr">
        <is>
          <t>Kyrkan</t>
        </is>
      </c>
      <c r="G373" t="n">
        <v>5.6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39894-2024</t>
        </is>
      </c>
      <c r="B374" s="1" t="n">
        <v>45553</v>
      </c>
      <c r="C374" s="1" t="n">
        <v>45644</v>
      </c>
      <c r="D374" t="inlineStr">
        <is>
          <t>VÄSTRA GÖTALANDS LÄN</t>
        </is>
      </c>
      <c r="E374" t="inlineStr">
        <is>
          <t>KARLSBORG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41011-2024</t>
        </is>
      </c>
      <c r="B375" s="1" t="n">
        <v>45559</v>
      </c>
      <c r="C375" s="1" t="n">
        <v>45644</v>
      </c>
      <c r="D375" t="inlineStr">
        <is>
          <t>VÄSTRA GÖTALANDS LÄN</t>
        </is>
      </c>
      <c r="E375" t="inlineStr">
        <is>
          <t>KARLSBORG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41937-2024</t>
        </is>
      </c>
      <c r="B376" s="1" t="n">
        <v>45561</v>
      </c>
      <c r="C376" s="1" t="n">
        <v>45644</v>
      </c>
      <c r="D376" t="inlineStr">
        <is>
          <t>VÄSTRA GÖTALANDS LÄN</t>
        </is>
      </c>
      <c r="E376" t="inlineStr">
        <is>
          <t>KARLSBORG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41923-2024</t>
        </is>
      </c>
      <c r="B377" s="1" t="n">
        <v>45561</v>
      </c>
      <c r="C377" s="1" t="n">
        <v>45644</v>
      </c>
      <c r="D377" t="inlineStr">
        <is>
          <t>VÄSTRA GÖTALANDS LÄN</t>
        </is>
      </c>
      <c r="E377" t="inlineStr">
        <is>
          <t>KARLSBORG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41943-2024</t>
        </is>
      </c>
      <c r="B378" s="1" t="n">
        <v>45561</v>
      </c>
      <c r="C378" s="1" t="n">
        <v>45644</v>
      </c>
      <c r="D378" t="inlineStr">
        <is>
          <t>VÄSTRA GÖTALANDS LÄN</t>
        </is>
      </c>
      <c r="E378" t="inlineStr">
        <is>
          <t>KARLSBORG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42100-2024</t>
        </is>
      </c>
      <c r="B379" s="1" t="n">
        <v>45562</v>
      </c>
      <c r="C379" s="1" t="n">
        <v>45644</v>
      </c>
      <c r="D379" t="inlineStr">
        <is>
          <t>VÄSTRA GÖTALANDS LÄN</t>
        </is>
      </c>
      <c r="E379" t="inlineStr">
        <is>
          <t>KARLSBORG</t>
        </is>
      </c>
      <c r="F379" t="inlineStr">
        <is>
          <t>Kyrkan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42598-2024</t>
        </is>
      </c>
      <c r="B380" s="1" t="n">
        <v>45565</v>
      </c>
      <c r="C380" s="1" t="n">
        <v>45644</v>
      </c>
      <c r="D380" t="inlineStr">
        <is>
          <t>VÄSTRA GÖTALANDS LÄN</t>
        </is>
      </c>
      <c r="E380" t="inlineStr">
        <is>
          <t>KARLSBORG</t>
        </is>
      </c>
      <c r="G380" t="n">
        <v>8.9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42710-2024</t>
        </is>
      </c>
      <c r="B381" s="1" t="n">
        <v>45566</v>
      </c>
      <c r="C381" s="1" t="n">
        <v>45644</v>
      </c>
      <c r="D381" t="inlineStr">
        <is>
          <t>VÄSTRA GÖTALANDS LÄN</t>
        </is>
      </c>
      <c r="E381" t="inlineStr">
        <is>
          <t>KARLSBORG</t>
        </is>
      </c>
      <c r="G381" t="n">
        <v>5.9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42825-2024</t>
        </is>
      </c>
      <c r="B382" s="1" t="n">
        <v>45566</v>
      </c>
      <c r="C382" s="1" t="n">
        <v>45644</v>
      </c>
      <c r="D382" t="inlineStr">
        <is>
          <t>VÄSTRA GÖTALANDS LÄN</t>
        </is>
      </c>
      <c r="E382" t="inlineStr">
        <is>
          <t>KARLSBORG</t>
        </is>
      </c>
      <c r="G382" t="n">
        <v>4.8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42757-2024</t>
        </is>
      </c>
      <c r="B383" s="1" t="n">
        <v>45566</v>
      </c>
      <c r="C383" s="1" t="n">
        <v>45644</v>
      </c>
      <c r="D383" t="inlineStr">
        <is>
          <t>VÄSTRA GÖTALANDS LÄN</t>
        </is>
      </c>
      <c r="E383" t="inlineStr">
        <is>
          <t>KARLSBORG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42778-2024</t>
        </is>
      </c>
      <c r="B384" s="1" t="n">
        <v>45566</v>
      </c>
      <c r="C384" s="1" t="n">
        <v>45644</v>
      </c>
      <c r="D384" t="inlineStr">
        <is>
          <t>VÄSTRA GÖTALANDS LÄN</t>
        </is>
      </c>
      <c r="E384" t="inlineStr">
        <is>
          <t>KARLSBORG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42663-2024</t>
        </is>
      </c>
      <c r="B385" s="1" t="n">
        <v>45566</v>
      </c>
      <c r="C385" s="1" t="n">
        <v>45644</v>
      </c>
      <c r="D385" t="inlineStr">
        <is>
          <t>VÄSTRA GÖTALANDS LÄN</t>
        </is>
      </c>
      <c r="E385" t="inlineStr">
        <is>
          <t>KARLSBORG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42724-2024</t>
        </is>
      </c>
      <c r="B386" s="1" t="n">
        <v>45566</v>
      </c>
      <c r="C386" s="1" t="n">
        <v>45644</v>
      </c>
      <c r="D386" t="inlineStr">
        <is>
          <t>VÄSTRA GÖTALANDS LÄN</t>
        </is>
      </c>
      <c r="E386" t="inlineStr">
        <is>
          <t>KARLSBORG</t>
        </is>
      </c>
      <c r="G386" t="n">
        <v>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43648-2024</t>
        </is>
      </c>
      <c r="B387" s="1" t="n">
        <v>45569</v>
      </c>
      <c r="C387" s="1" t="n">
        <v>45644</v>
      </c>
      <c r="D387" t="inlineStr">
        <is>
          <t>VÄSTRA GÖTALANDS LÄN</t>
        </is>
      </c>
      <c r="E387" t="inlineStr">
        <is>
          <t>KARLSBORG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43709-2024</t>
        </is>
      </c>
      <c r="B388" s="1" t="n">
        <v>45569</v>
      </c>
      <c r="C388" s="1" t="n">
        <v>45644</v>
      </c>
      <c r="D388" t="inlineStr">
        <is>
          <t>VÄSTRA GÖTALANDS LÄN</t>
        </is>
      </c>
      <c r="E388" t="inlineStr">
        <is>
          <t>KARLSBORG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44273-2024</t>
        </is>
      </c>
      <c r="B389" s="1" t="n">
        <v>45573</v>
      </c>
      <c r="C389" s="1" t="n">
        <v>45644</v>
      </c>
      <c r="D389" t="inlineStr">
        <is>
          <t>VÄSTRA GÖTALANDS LÄN</t>
        </is>
      </c>
      <c r="E389" t="inlineStr">
        <is>
          <t>KARLSBORG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45008-2024</t>
        </is>
      </c>
      <c r="B390" s="1" t="n">
        <v>45575</v>
      </c>
      <c r="C390" s="1" t="n">
        <v>45644</v>
      </c>
      <c r="D390" t="inlineStr">
        <is>
          <t>VÄSTRA GÖTALANDS LÄN</t>
        </is>
      </c>
      <c r="E390" t="inlineStr">
        <is>
          <t>KARLSBORG</t>
        </is>
      </c>
      <c r="F390" t="inlineStr">
        <is>
          <t>Kyrkan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44927-2024</t>
        </is>
      </c>
      <c r="B391" s="1" t="n">
        <v>45575</v>
      </c>
      <c r="C391" s="1" t="n">
        <v>45644</v>
      </c>
      <c r="D391" t="inlineStr">
        <is>
          <t>VÄSTRA GÖTALANDS LÄN</t>
        </is>
      </c>
      <c r="E391" t="inlineStr">
        <is>
          <t>KARLSBORG</t>
        </is>
      </c>
      <c r="F391" t="inlineStr">
        <is>
          <t>Kyrkan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45019-2024</t>
        </is>
      </c>
      <c r="B392" s="1" t="n">
        <v>45575</v>
      </c>
      <c r="C392" s="1" t="n">
        <v>45644</v>
      </c>
      <c r="D392" t="inlineStr">
        <is>
          <t>VÄSTRA GÖTALANDS LÄN</t>
        </is>
      </c>
      <c r="E392" t="inlineStr">
        <is>
          <t>KARLSBORG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44985-2024</t>
        </is>
      </c>
      <c r="B393" s="1" t="n">
        <v>45575</v>
      </c>
      <c r="C393" s="1" t="n">
        <v>45644</v>
      </c>
      <c r="D393" t="inlineStr">
        <is>
          <t>VÄSTRA GÖTALANDS LÄN</t>
        </is>
      </c>
      <c r="E393" t="inlineStr">
        <is>
          <t>KARLSBORG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44918-2024</t>
        </is>
      </c>
      <c r="B394" s="1" t="n">
        <v>45575</v>
      </c>
      <c r="C394" s="1" t="n">
        <v>45644</v>
      </c>
      <c r="D394" t="inlineStr">
        <is>
          <t>VÄSTRA GÖTALANDS LÄN</t>
        </is>
      </c>
      <c r="E394" t="inlineStr">
        <is>
          <t>KARLSBORG</t>
        </is>
      </c>
      <c r="F394" t="inlineStr">
        <is>
          <t>Kyrkan</t>
        </is>
      </c>
      <c r="G394" t="n">
        <v>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44999-2024</t>
        </is>
      </c>
      <c r="B395" s="1" t="n">
        <v>45575</v>
      </c>
      <c r="C395" s="1" t="n">
        <v>45644</v>
      </c>
      <c r="D395" t="inlineStr">
        <is>
          <t>VÄSTRA GÖTALANDS LÄN</t>
        </is>
      </c>
      <c r="E395" t="inlineStr">
        <is>
          <t>KARLSBORG</t>
        </is>
      </c>
      <c r="F395" t="inlineStr">
        <is>
          <t>Kyrkan</t>
        </is>
      </c>
      <c r="G395" t="n">
        <v>3.3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44949-2024</t>
        </is>
      </c>
      <c r="B396" s="1" t="n">
        <v>45575</v>
      </c>
      <c r="C396" s="1" t="n">
        <v>45644</v>
      </c>
      <c r="D396" t="inlineStr">
        <is>
          <t>VÄSTRA GÖTALANDS LÄN</t>
        </is>
      </c>
      <c r="E396" t="inlineStr">
        <is>
          <t>KARLSBORG</t>
        </is>
      </c>
      <c r="F396" t="inlineStr">
        <is>
          <t>Kyrkan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44945-2024</t>
        </is>
      </c>
      <c r="B397" s="1" t="n">
        <v>45575</v>
      </c>
      <c r="C397" s="1" t="n">
        <v>45644</v>
      </c>
      <c r="D397" t="inlineStr">
        <is>
          <t>VÄSTRA GÖTALANDS LÄN</t>
        </is>
      </c>
      <c r="E397" t="inlineStr">
        <is>
          <t>KARLSBORG</t>
        </is>
      </c>
      <c r="F397" t="inlineStr">
        <is>
          <t>Kyrkan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46904-2024</t>
        </is>
      </c>
      <c r="B398" s="1" t="n">
        <v>45583</v>
      </c>
      <c r="C398" s="1" t="n">
        <v>45644</v>
      </c>
      <c r="D398" t="inlineStr">
        <is>
          <t>VÄSTRA GÖTALANDS LÄN</t>
        </is>
      </c>
      <c r="E398" t="inlineStr">
        <is>
          <t>KARLSBORG</t>
        </is>
      </c>
      <c r="G398" t="n">
        <v>5.4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47381-2024</t>
        </is>
      </c>
      <c r="B399" s="1" t="n">
        <v>45586</v>
      </c>
      <c r="C399" s="1" t="n">
        <v>45644</v>
      </c>
      <c r="D399" t="inlineStr">
        <is>
          <t>VÄSTRA GÖTALANDS LÄN</t>
        </is>
      </c>
      <c r="E399" t="inlineStr">
        <is>
          <t>KARLSBORG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47349-2024</t>
        </is>
      </c>
      <c r="B400" s="1" t="n">
        <v>45586</v>
      </c>
      <c r="C400" s="1" t="n">
        <v>45644</v>
      </c>
      <c r="D400" t="inlineStr">
        <is>
          <t>VÄSTRA GÖTALANDS LÄN</t>
        </is>
      </c>
      <c r="E400" t="inlineStr">
        <is>
          <t>KARLSBORG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48174-2024</t>
        </is>
      </c>
      <c r="B401" s="1" t="n">
        <v>45589</v>
      </c>
      <c r="C401" s="1" t="n">
        <v>45644</v>
      </c>
      <c r="D401" t="inlineStr">
        <is>
          <t>VÄSTRA GÖTALANDS LÄN</t>
        </is>
      </c>
      <c r="E401" t="inlineStr">
        <is>
          <t>KARLSBORG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48175-2024</t>
        </is>
      </c>
      <c r="B402" s="1" t="n">
        <v>45589</v>
      </c>
      <c r="C402" s="1" t="n">
        <v>45644</v>
      </c>
      <c r="D402" t="inlineStr">
        <is>
          <t>VÄSTRA GÖTALANDS LÄN</t>
        </is>
      </c>
      <c r="E402" t="inlineStr">
        <is>
          <t>KARLSBORG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48622-2024</t>
        </is>
      </c>
      <c r="B403" s="1" t="n">
        <v>45593</v>
      </c>
      <c r="C403" s="1" t="n">
        <v>45644</v>
      </c>
      <c r="D403" t="inlineStr">
        <is>
          <t>VÄSTRA GÖTALANDS LÄN</t>
        </is>
      </c>
      <c r="E403" t="inlineStr">
        <is>
          <t>KARLSBORG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49107-2024</t>
        </is>
      </c>
      <c r="B404" s="1" t="n">
        <v>45594</v>
      </c>
      <c r="C404" s="1" t="n">
        <v>45644</v>
      </c>
      <c r="D404" t="inlineStr">
        <is>
          <t>VÄSTRA GÖTALANDS LÄN</t>
        </is>
      </c>
      <c r="E404" t="inlineStr">
        <is>
          <t>KARLSBORG</t>
        </is>
      </c>
      <c r="G404" t="n">
        <v>5.7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51111-2024</t>
        </is>
      </c>
      <c r="B405" s="1" t="n">
        <v>45603</v>
      </c>
      <c r="C405" s="1" t="n">
        <v>45644</v>
      </c>
      <c r="D405" t="inlineStr">
        <is>
          <t>VÄSTRA GÖTALANDS LÄN</t>
        </is>
      </c>
      <c r="E405" t="inlineStr">
        <is>
          <t>KARLSBORG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52381-2024</t>
        </is>
      </c>
      <c r="B406" s="1" t="n">
        <v>45609</v>
      </c>
      <c r="C406" s="1" t="n">
        <v>45644</v>
      </c>
      <c r="D406" t="inlineStr">
        <is>
          <t>VÄSTRA GÖTALANDS LÄN</t>
        </is>
      </c>
      <c r="E406" t="inlineStr">
        <is>
          <t>KARLSBORG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53251-2024</t>
        </is>
      </c>
      <c r="B407" s="1" t="n">
        <v>45614</v>
      </c>
      <c r="C407" s="1" t="n">
        <v>45644</v>
      </c>
      <c r="D407" t="inlineStr">
        <is>
          <t>VÄSTRA GÖTALANDS LÄN</t>
        </is>
      </c>
      <c r="E407" t="inlineStr">
        <is>
          <t>KARLSBORG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54215-2024</t>
        </is>
      </c>
      <c r="B408" s="1" t="n">
        <v>45616</v>
      </c>
      <c r="C408" s="1" t="n">
        <v>45644</v>
      </c>
      <c r="D408" t="inlineStr">
        <is>
          <t>VÄSTRA GÖTALANDS LÄN</t>
        </is>
      </c>
      <c r="E408" t="inlineStr">
        <is>
          <t>KARLSBORG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54623-2024</t>
        </is>
      </c>
      <c r="B409" s="1" t="n">
        <v>45617</v>
      </c>
      <c r="C409" s="1" t="n">
        <v>45644</v>
      </c>
      <c r="D409" t="inlineStr">
        <is>
          <t>VÄSTRA GÖTALANDS LÄN</t>
        </is>
      </c>
      <c r="E409" t="inlineStr">
        <is>
          <t>KARLSBORG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57454-2024</t>
        </is>
      </c>
      <c r="B410" s="1" t="n">
        <v>45630</v>
      </c>
      <c r="C410" s="1" t="n">
        <v>45644</v>
      </c>
      <c r="D410" t="inlineStr">
        <is>
          <t>VÄSTRA GÖTALANDS LÄN</t>
        </is>
      </c>
      <c r="E410" t="inlineStr">
        <is>
          <t>KARLSBORG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57626-2024</t>
        </is>
      </c>
      <c r="B411" s="1" t="n">
        <v>45630</v>
      </c>
      <c r="C411" s="1" t="n">
        <v>45644</v>
      </c>
      <c r="D411" t="inlineStr">
        <is>
          <t>VÄSTRA GÖTALANDS LÄN</t>
        </is>
      </c>
      <c r="E411" t="inlineStr">
        <is>
          <t>KARLSBORG</t>
        </is>
      </c>
      <c r="F411" t="inlineStr">
        <is>
          <t>Övriga Aktiebolag</t>
        </is>
      </c>
      <c r="G411" t="n">
        <v>8.9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57645-2024</t>
        </is>
      </c>
      <c r="B412" s="1" t="n">
        <v>45630</v>
      </c>
      <c r="C412" s="1" t="n">
        <v>45644</v>
      </c>
      <c r="D412" t="inlineStr">
        <is>
          <t>VÄSTRA GÖTALANDS LÄN</t>
        </is>
      </c>
      <c r="E412" t="inlineStr">
        <is>
          <t>KARLSBORG</t>
        </is>
      </c>
      <c r="F412" t="inlineStr">
        <is>
          <t>Övriga Aktiebolag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57635-2024</t>
        </is>
      </c>
      <c r="B413" s="1" t="n">
        <v>45630</v>
      </c>
      <c r="C413" s="1" t="n">
        <v>45644</v>
      </c>
      <c r="D413" t="inlineStr">
        <is>
          <t>VÄSTRA GÖTALANDS LÄN</t>
        </is>
      </c>
      <c r="E413" t="inlineStr">
        <is>
          <t>KARLSBORG</t>
        </is>
      </c>
      <c r="F413" t="inlineStr">
        <is>
          <t>Övriga Aktiebolag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57733-2024</t>
        </is>
      </c>
      <c r="B414" s="1" t="n">
        <v>45630</v>
      </c>
      <c r="C414" s="1" t="n">
        <v>45644</v>
      </c>
      <c r="D414" t="inlineStr">
        <is>
          <t>VÄSTRA GÖTALANDS LÄN</t>
        </is>
      </c>
      <c r="E414" t="inlineStr">
        <is>
          <t>KARLSBORG</t>
        </is>
      </c>
      <c r="F414" t="inlineStr">
        <is>
          <t>Övriga Aktiebolag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57736-2024</t>
        </is>
      </c>
      <c r="B415" s="1" t="n">
        <v>45630</v>
      </c>
      <c r="C415" s="1" t="n">
        <v>45644</v>
      </c>
      <c r="D415" t="inlineStr">
        <is>
          <t>VÄSTRA GÖTALANDS LÄN</t>
        </is>
      </c>
      <c r="E415" t="inlineStr">
        <is>
          <t>KARLSBORG</t>
        </is>
      </c>
      <c r="F415" t="inlineStr">
        <is>
          <t>Övriga Aktiebolag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57727-2024</t>
        </is>
      </c>
      <c r="B416" s="1" t="n">
        <v>45630</v>
      </c>
      <c r="C416" s="1" t="n">
        <v>45644</v>
      </c>
      <c r="D416" t="inlineStr">
        <is>
          <t>VÄSTRA GÖTALANDS LÄN</t>
        </is>
      </c>
      <c r="E416" t="inlineStr">
        <is>
          <t>KARLSBORG</t>
        </is>
      </c>
      <c r="F416" t="inlineStr">
        <is>
          <t>Övriga Aktiebolag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57730-2024</t>
        </is>
      </c>
      <c r="B417" s="1" t="n">
        <v>45630</v>
      </c>
      <c r="C417" s="1" t="n">
        <v>45644</v>
      </c>
      <c r="D417" t="inlineStr">
        <is>
          <t>VÄSTRA GÖTALANDS LÄN</t>
        </is>
      </c>
      <c r="E417" t="inlineStr">
        <is>
          <t>KARLSBORG</t>
        </is>
      </c>
      <c r="F417" t="inlineStr">
        <is>
          <t>Övriga Aktiebolag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57913-2024</t>
        </is>
      </c>
      <c r="B418" s="1" t="n">
        <v>45631</v>
      </c>
      <c r="C418" s="1" t="n">
        <v>45644</v>
      </c>
      <c r="D418" t="inlineStr">
        <is>
          <t>VÄSTRA GÖTALANDS LÄN</t>
        </is>
      </c>
      <c r="E418" t="inlineStr">
        <is>
          <t>KARLSBORG</t>
        </is>
      </c>
      <c r="F418" t="inlineStr">
        <is>
          <t>Sveaskog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57915-2024</t>
        </is>
      </c>
      <c r="B419" s="1" t="n">
        <v>45631</v>
      </c>
      <c r="C419" s="1" t="n">
        <v>45644</v>
      </c>
      <c r="D419" t="inlineStr">
        <is>
          <t>VÄSTRA GÖTALANDS LÄN</t>
        </is>
      </c>
      <c r="E419" t="inlineStr">
        <is>
          <t>KARLSBORG</t>
        </is>
      </c>
      <c r="F419" t="inlineStr">
        <is>
          <t>Sveaskog</t>
        </is>
      </c>
      <c r="G419" t="n">
        <v>0.2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58127-2024</t>
        </is>
      </c>
      <c r="B420" s="1" t="n">
        <v>45632</v>
      </c>
      <c r="C420" s="1" t="n">
        <v>45644</v>
      </c>
      <c r="D420" t="inlineStr">
        <is>
          <t>VÄSTRA GÖTALANDS LÄN</t>
        </is>
      </c>
      <c r="E420" t="inlineStr">
        <is>
          <t>KARLSBORG</t>
        </is>
      </c>
      <c r="F420" t="inlineStr">
        <is>
          <t>Sveaskog</t>
        </is>
      </c>
      <c r="G420" t="n">
        <v>5.8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58129-2024</t>
        </is>
      </c>
      <c r="B421" s="1" t="n">
        <v>45632</v>
      </c>
      <c r="C421" s="1" t="n">
        <v>45644</v>
      </c>
      <c r="D421" t="inlineStr">
        <is>
          <t>VÄSTRA GÖTALANDS LÄN</t>
        </is>
      </c>
      <c r="E421" t="inlineStr">
        <is>
          <t>KARLSBORG</t>
        </is>
      </c>
      <c r="F421" t="inlineStr">
        <is>
          <t>Sveaskog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>
      <c r="A422" t="inlineStr">
        <is>
          <t>A 60511-2024</t>
        </is>
      </c>
      <c r="B422" s="1" t="n">
        <v>45643</v>
      </c>
      <c r="C422" s="1" t="n">
        <v>45644</v>
      </c>
      <c r="D422" t="inlineStr">
        <is>
          <t>VÄSTRA GÖTALANDS LÄN</t>
        </is>
      </c>
      <c r="E422" t="inlineStr">
        <is>
          <t>KARLSBORG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2024-12-18T15:56:02Z</dcterms:created>
  <dcterms:modified xmlns:dcterms="http://purl.org/dc/terms/" xmlns:xsi="http://www.w3.org/2001/XMLSchema-instance" xsi:type="dcterms:W3CDTF">2024-12-18T15:56:03Z</dcterms:modified>
</cp:coreProperties>
</file>