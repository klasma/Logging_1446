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46235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46235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22877-2026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46160</v>
      </c>
      <c r="E4" s="1" t="n">
        <v>46235</v>
      </c>
      <c r="F4" t="inlineStr">
        <is>
          <t>VÄSTRA GÖTALANDS LÄN</t>
        </is>
      </c>
      <c r="G4" t="inlineStr">
        <is>
          <t>KARLSBORG</t>
        </is>
      </c>
      <c r="H4" t="inlineStr">
        <is>
          <t>Sveaskog</t>
        </is>
      </c>
      <c r="I4" t="n">
        <v>20.6</v>
      </c>
      <c r="J4" t="n">
        <v>2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10</v>
      </c>
      <c r="U4" t="n">
        <v>10</v>
      </c>
      <c r="V4" s="2" t="inlineStr">
        <is>
          <t>Talltita
Älg
Mindre märgborre
Vågbandad barkbock
Tjäder</t>
        </is>
      </c>
      <c r="W4">
        <f>HYPERLINK("https://klasma.github.io/Logging_1446/artfynd/A 22877-2026 artfynd.xlsx", "A 22877-2026")</f>
        <v/>
      </c>
      <c r="X4">
        <f>HYPERLINK("https://klasma.github.io/Logging_1446/kartor/A 22877-2026 karta.png", "A 22877-2026")</f>
        <v/>
      </c>
      <c r="Y4">
        <f>HYPERLINK("https://klasma.github.io/Logging_1446/kartor_geotiff/A 22877-2026 georefererad karta.tif", "A 22877-2026")</f>
        <v/>
      </c>
      <c r="AA4">
        <f>HYPERLINK("https://klasma.github.io/Logging_1446/klagomål/A 22877-2026 FSC-klagomål.docx", "A 22877-2026")</f>
        <v/>
      </c>
      <c r="AB4">
        <f>HYPERLINK("https://klasma.github.io/Logging_1446/klagomålsmail/A 22877-2026 FSC-klagomål mail.docx", "A 22877-2026")</f>
        <v/>
      </c>
      <c r="AC4">
        <f>HYPERLINK("https://klasma.github.io/Logging_1446/tillsyn/A 22877-2026 tillsynsbegäran.docx", "A 22877-2026")</f>
        <v/>
      </c>
      <c r="AD4">
        <f>HYPERLINK("https://klasma.github.io/Logging_1446/tillsynsmail/A 22877-2026 tillsynsbegäran mail.docx", "A 22877-2026")</f>
        <v/>
      </c>
      <c r="AE4">
        <f>HYPERLINK("https://klasma.github.io/Logging_1446/fåglar/A 22877-2026 prioriterade fågelarter.docx", "A 22877-2026")</f>
        <v/>
      </c>
    </row>
    <row r="5" ht="15" customHeight="1">
      <c r="A5" t="inlineStr">
        <is>
          <t>A 47703-2021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44448</v>
      </c>
      <c r="E5" s="1" t="n">
        <v>46235</v>
      </c>
      <c r="F5" t="inlineStr">
        <is>
          <t>VÄSTRA GÖTALANDS LÄN</t>
        </is>
      </c>
      <c r="G5" t="inlineStr">
        <is>
          <t>KARLSBORG</t>
        </is>
      </c>
      <c r="I5" t="n">
        <v>12.9</v>
      </c>
      <c r="J5" t="n">
        <v>4</v>
      </c>
      <c r="K5" t="n">
        <v>0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5</v>
      </c>
      <c r="T5" t="n">
        <v>8</v>
      </c>
      <c r="U5" t="n">
        <v>8</v>
      </c>
      <c r="V5" s="2" t="inlineStr">
        <is>
          <t>Knärot
Kattfotslav
Tretåig hackspett
Spillkråka
Orre</t>
        </is>
      </c>
      <c r="W5">
        <f>HYPERLINK("https://klasma.github.io/Logging_1446/artfynd/A 47703-2021 artfynd.xlsx", "A 47703-2021")</f>
        <v/>
      </c>
      <c r="X5">
        <f>HYPERLINK("https://klasma.github.io/Logging_1446/kartor/A 47703-2021 karta.png", "A 47703-2021")</f>
        <v/>
      </c>
      <c r="Y5">
        <f>HYPERLINK("https://klasma.github.io/Logging_1446/kartor_geotiff/A 47703-2021 georefererad karta.tif", "A 47703-2021")</f>
        <v/>
      </c>
      <c r="Z5">
        <f>HYPERLINK("https://klasma.github.io/Logging_1446/knärot/A 47703-2021 karta knärot.png", "A 47703-2021")</f>
        <v/>
      </c>
      <c r="AA5">
        <f>HYPERLINK("https://klasma.github.io/Logging_1446/klagomål/A 47703-2021 FSC-klagomål.docx", "A 47703-2021")</f>
        <v/>
      </c>
      <c r="AB5">
        <f>HYPERLINK("https://klasma.github.io/Logging_1446/klagomålsmail/A 47703-2021 FSC-klagomål mail.docx", "A 47703-2021")</f>
        <v/>
      </c>
      <c r="AC5">
        <f>HYPERLINK("https://klasma.github.io/Logging_1446/tillsyn/A 47703-2021 tillsynsbegäran.docx", "A 47703-2021")</f>
        <v/>
      </c>
      <c r="AD5">
        <f>HYPERLINK("https://klasma.github.io/Logging_1446/tillsynsmail/A 47703-2021 tillsynsbegäran mail.docx", "A 47703-2021")</f>
        <v/>
      </c>
      <c r="AE5">
        <f>HYPERLINK("https://klasma.github.io/Logging_1446/fåglar/A 47703-2021 prioriterade fågelarter.docx", "A 47703-2021")</f>
        <v/>
      </c>
    </row>
    <row r="6" ht="15" customHeight="1">
      <c r="A6" t="inlineStr">
        <is>
          <t>A 14438-2025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45741</v>
      </c>
      <c r="E6" s="1" t="n">
        <v>46235</v>
      </c>
      <c r="F6" t="inlineStr">
        <is>
          <t>VÄSTRA GÖTALANDS LÄN</t>
        </is>
      </c>
      <c r="G6" t="inlineStr">
        <is>
          <t>KARLSBORG</t>
        </is>
      </c>
      <c r="I6" t="n">
        <v>7.9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5</v>
      </c>
      <c r="V6" s="2" t="inlineStr">
        <is>
          <t>Järnsparv
Talltita
Spillkråka
Kungsfågel
Åkergroda</t>
        </is>
      </c>
      <c r="W6">
        <f>HYPERLINK("https://klasma.github.io/Logging_1446/artfynd/A 14438-2025 artfynd.xlsx", "A 14438-2025")</f>
        <v/>
      </c>
      <c r="X6">
        <f>HYPERLINK("https://klasma.github.io/Logging_1446/kartor/A 14438-2025 karta.png", "A 14438-2025")</f>
        <v/>
      </c>
      <c r="Y6">
        <f>HYPERLINK("https://klasma.github.io/Logging_1446/kartor_geotiff/A 14438-2025 georefererad karta.tif", "A 14438-2025")</f>
        <v/>
      </c>
      <c r="AA6">
        <f>HYPERLINK("https://klasma.github.io/Logging_1446/klagomål/A 14438-2025 FSC-klagomål.docx", "A 14438-2025")</f>
        <v/>
      </c>
      <c r="AB6">
        <f>HYPERLINK("https://klasma.github.io/Logging_1446/klagomålsmail/A 14438-2025 FSC-klagomål mail.docx", "A 14438-2025")</f>
        <v/>
      </c>
      <c r="AC6">
        <f>HYPERLINK("https://klasma.github.io/Logging_1446/tillsyn/A 14438-2025 tillsynsbegäran.docx", "A 14438-2025")</f>
        <v/>
      </c>
      <c r="AD6">
        <f>HYPERLINK("https://klasma.github.io/Logging_1446/tillsynsmail/A 14438-2025 tillsynsbegäran mail.docx", "A 14438-2025")</f>
        <v/>
      </c>
      <c r="AE6">
        <f>HYPERLINK("https://klasma.github.io/Logging_1446/fåglar/A 14438-2025 prioriterade fågelarter.docx", "A 14438-2025")</f>
        <v/>
      </c>
    </row>
    <row r="7" ht="15" customHeight="1">
      <c r="A7" t="inlineStr">
        <is>
          <t>A 27703-2023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45098</v>
      </c>
      <c r="E7" s="1" t="n">
        <v>46235</v>
      </c>
      <c r="F7" t="inlineStr">
        <is>
          <t>VÄSTRA GÖTALANDS LÄN</t>
        </is>
      </c>
      <c r="G7" t="inlineStr">
        <is>
          <t>KARLSBORG</t>
        </is>
      </c>
      <c r="I7" t="n">
        <v>2.8</v>
      </c>
      <c r="J7" t="n">
        <v>0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4</v>
      </c>
      <c r="T7" t="n">
        <v>70</v>
      </c>
      <c r="U7" t="n">
        <v>70</v>
      </c>
      <c r="V7" s="2" t="inlineStr">
        <is>
          <t>Blå taggsvamp
Dropptaggsvamp
Motaggsvamp
Tallriska</t>
        </is>
      </c>
      <c r="W7">
        <f>HYPERLINK("https://klasma.github.io/Logging_1446/artfynd/A 27703-2023 artfynd.xlsx", "A 27703-2023")</f>
        <v/>
      </c>
      <c r="X7">
        <f>HYPERLINK("https://klasma.github.io/Logging_1446/kartor/A 27703-2023 karta.png", "A 27703-2023")</f>
        <v/>
      </c>
      <c r="Y7">
        <f>HYPERLINK("https://klasma.github.io/Logging_1446/kartor_geotiff/A 27703-2023 georefererad karta.tif", "A 27703-2023")</f>
        <v/>
      </c>
      <c r="AA7">
        <f>HYPERLINK("https://klasma.github.io/Logging_1446/klagomål/A 27703-2023 FSC-klagomål.docx", "A 27703-2023")</f>
        <v/>
      </c>
      <c r="AB7">
        <f>HYPERLINK("https://klasma.github.io/Logging_1446/klagomålsmail/A 27703-2023 FSC-klagomål mail.docx", "A 27703-2023")</f>
        <v/>
      </c>
      <c r="AC7">
        <f>HYPERLINK("https://klasma.github.io/Logging_1446/tillsyn/A 27703-2023 tillsynsbegäran.docx", "A 27703-2023")</f>
        <v/>
      </c>
      <c r="AD7">
        <f>HYPERLINK("https://klasma.github.io/Logging_1446/tillsynsmail/A 27703-2023 tillsynsbegäran mail.docx", "A 27703-2023")</f>
        <v/>
      </c>
    </row>
    <row r="8" ht="15" customHeight="1">
      <c r="A8" t="inlineStr">
        <is>
          <t>A 13359-2024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45387</v>
      </c>
      <c r="E8" s="1" t="n">
        <v>46235</v>
      </c>
      <c r="F8" t="inlineStr">
        <is>
          <t>VÄSTRA GÖTALANDS LÄN</t>
        </is>
      </c>
      <c r="G8" t="inlineStr">
        <is>
          <t>KARLSBORG</t>
        </is>
      </c>
      <c r="H8" t="inlineStr">
        <is>
          <t>Övriga Aktiebolag</t>
        </is>
      </c>
      <c r="I8" t="n">
        <v>12.4</v>
      </c>
      <c r="J8" t="n">
        <v>3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19</v>
      </c>
      <c r="U8" t="n">
        <v>19</v>
      </c>
      <c r="V8" s="2" t="inlineStr">
        <is>
          <t>Knärot
Grönpyrola
Spillkråka
Tjäder</t>
        </is>
      </c>
      <c r="W8">
        <f>HYPERLINK("https://klasma.github.io/Logging_1446/artfynd/A 13359-2024 artfynd.xlsx", "A 13359-2024")</f>
        <v/>
      </c>
      <c r="X8">
        <f>HYPERLINK("https://klasma.github.io/Logging_1446/kartor/A 13359-2024 karta.png", "A 13359-2024")</f>
        <v/>
      </c>
      <c r="Y8">
        <f>HYPERLINK("https://klasma.github.io/Logging_1446/kartor_geotiff/A 13359-2024 georefererad karta.tif", "A 13359-2024")</f>
        <v/>
      </c>
      <c r="Z8">
        <f>HYPERLINK("https://klasma.github.io/Logging_1446/knärot/A 13359-2024 karta knärot.png", "A 13359-2024")</f>
        <v/>
      </c>
      <c r="AA8">
        <f>HYPERLINK("https://klasma.github.io/Logging_1446/klagomål/A 13359-2024 FSC-klagomål.docx", "A 13359-2024")</f>
        <v/>
      </c>
      <c r="AB8">
        <f>HYPERLINK("https://klasma.github.io/Logging_1446/klagomålsmail/A 13359-2024 FSC-klagomål mail.docx", "A 13359-2024")</f>
        <v/>
      </c>
      <c r="AC8">
        <f>HYPERLINK("https://klasma.github.io/Logging_1446/tillsyn/A 13359-2024 tillsynsbegäran.docx", "A 13359-2024")</f>
        <v/>
      </c>
      <c r="AD8">
        <f>HYPERLINK("https://klasma.github.io/Logging_1446/tillsynsmail/A 13359-2024 tillsynsbegäran mail.docx", "A 13359-2024")</f>
        <v/>
      </c>
      <c r="AE8">
        <f>HYPERLINK("https://klasma.github.io/Logging_1446/fåglar/A 13359-2024 prioriterade fågelarter.docx", "A 13359-2024")</f>
        <v/>
      </c>
    </row>
    <row r="9" ht="15" customHeight="1">
      <c r="A9" t="inlineStr">
        <is>
          <t>A 20433-2025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45775</v>
      </c>
      <c r="E9" s="1" t="n">
        <v>46235</v>
      </c>
      <c r="F9" t="inlineStr">
        <is>
          <t>VÄSTRA GÖTALANDS LÄN</t>
        </is>
      </c>
      <c r="G9" t="inlineStr">
        <is>
          <t>KARLSBORG</t>
        </is>
      </c>
      <c r="I9" t="n">
        <v>4.8</v>
      </c>
      <c r="J9" t="n">
        <v>2</v>
      </c>
      <c r="K9" t="n">
        <v>1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4</v>
      </c>
      <c r="V9" s="2" t="inlineStr">
        <is>
          <t>Knärot
Grönpyrola
Tjäder</t>
        </is>
      </c>
      <c r="W9">
        <f>HYPERLINK("https://klasma.github.io/Logging_1446/artfynd/A 20433-2025 artfynd.xlsx", "A 20433-2025")</f>
        <v/>
      </c>
      <c r="X9">
        <f>HYPERLINK("https://klasma.github.io/Logging_1446/kartor/A 20433-2025 karta.png", "A 20433-2025")</f>
        <v/>
      </c>
      <c r="Y9">
        <f>HYPERLINK("https://klasma.github.io/Logging_1446/kartor_geotiff/A 20433-2025 georefererad karta.tif", "A 20433-2025")</f>
        <v/>
      </c>
      <c r="Z9">
        <f>HYPERLINK("https://klasma.github.io/Logging_1446/knärot/A 20433-2025 karta knärot.png", "A 20433-2025")</f>
        <v/>
      </c>
      <c r="AA9">
        <f>HYPERLINK("https://klasma.github.io/Logging_1446/klagomål/A 20433-2025 FSC-klagomål.docx", "A 20433-2025")</f>
        <v/>
      </c>
      <c r="AB9">
        <f>HYPERLINK("https://klasma.github.io/Logging_1446/klagomålsmail/A 20433-2025 FSC-klagomål mail.docx", "A 20433-2025")</f>
        <v/>
      </c>
      <c r="AC9">
        <f>HYPERLINK("https://klasma.github.io/Logging_1446/tillsyn/A 20433-2025 tillsynsbegäran.docx", "A 20433-2025")</f>
        <v/>
      </c>
      <c r="AD9">
        <f>HYPERLINK("https://klasma.github.io/Logging_1446/tillsynsmail/A 20433-2025 tillsynsbegäran mail.docx", "A 20433-2025")</f>
        <v/>
      </c>
      <c r="AE9">
        <f>HYPERLINK("https://klasma.github.io/Logging_1446/fåglar/A 20433-2025 prioriterade fågelarter.docx", "A 20433-2025")</f>
        <v/>
      </c>
    </row>
    <row r="10" ht="15" customHeight="1">
      <c r="A10" t="inlineStr">
        <is>
          <t>S 395-2025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45696</v>
      </c>
      <c r="E10" s="1" t="n">
        <v>46235</v>
      </c>
      <c r="F10" t="inlineStr">
        <is>
          <t>VÄSTRA GÖTALANDS LÄN</t>
        </is>
      </c>
      <c r="G10" t="inlineStr">
        <is>
          <t>KARLSBORG</t>
        </is>
      </c>
      <c r="I10" t="n">
        <v>6.2</v>
      </c>
      <c r="J10" t="n">
        <v>1</v>
      </c>
      <c r="K10" t="n">
        <v>1</v>
      </c>
      <c r="L10" t="n">
        <v>0</v>
      </c>
      <c r="M10" t="n">
        <v>0</v>
      </c>
      <c r="N10" t="n">
        <v>1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3</v>
      </c>
      <c r="U10" t="n">
        <v>0</v>
      </c>
      <c r="V10" s="2" t="inlineStr">
        <is>
          <t>Ask
Fällmossa
Blåsippa</t>
        </is>
      </c>
      <c r="W10">
        <f>HYPERLINK("https://klasma.github.io/Logging_1446/artfynd/S 395-2025 artfynd.xlsx", "S 395-2025")</f>
        <v/>
      </c>
      <c r="X10">
        <f>HYPERLINK("https://klasma.github.io/Logging_1446/kartor/S 395-2025 karta.png", "S 395-2025")</f>
        <v/>
      </c>
      <c r="Y10">
        <f>HYPERLINK("https://klasma.github.io/Logging_1446/kartor_geotiff/S 395-2025 georefererad karta.tif", "S 395-2025")</f>
        <v/>
      </c>
      <c r="AA10">
        <f>HYPERLINK("https://klasma.github.io/Logging_1446/klagomål/S 395-2025 FSC-klagomål.docx", "S 395-2025")</f>
        <v/>
      </c>
      <c r="AB10">
        <f>HYPERLINK("https://klasma.github.io/Logging_1446/klagomålsmail/S 395-2025 FSC-klagomål mail.docx", "S 395-2025")</f>
        <v/>
      </c>
      <c r="AC10">
        <f>HYPERLINK("https://klasma.github.io/Logging_1446/tillsyn/S 395-2025 tillsynsbegäran.docx", "S 395-2025")</f>
        <v/>
      </c>
      <c r="AD10">
        <f>HYPERLINK("https://klasma.github.io/Logging_1446/tillsynsmail/S 395-2025 tillsynsbegäran mail.docx", "S 395-2025")</f>
        <v/>
      </c>
    </row>
    <row r="11" ht="15" customHeight="1">
      <c r="A11" t="inlineStr">
        <is>
          <t>A 47698-2021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44448</v>
      </c>
      <c r="E11" s="1" t="n">
        <v>46235</v>
      </c>
      <c r="F11" t="inlineStr">
        <is>
          <t>VÄSTRA GÖTALANDS LÄN</t>
        </is>
      </c>
      <c r="G11" t="inlineStr">
        <is>
          <t>KARLSBORG</t>
        </is>
      </c>
      <c r="I11" t="n">
        <v>9.699999999999999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Tjäder
Orre</t>
        </is>
      </c>
      <c r="W11">
        <f>HYPERLINK("https://klasma.github.io/Logging_1446/artfynd/A 47698-2021 artfynd.xlsx", "A 47698-2021")</f>
        <v/>
      </c>
      <c r="X11">
        <f>HYPERLINK("https://klasma.github.io/Logging_1446/kartor/A 47698-2021 karta.png", "A 47698-2021")</f>
        <v/>
      </c>
      <c r="Y11">
        <f>HYPERLINK("https://klasma.github.io/Logging_1446/kartor_geotiff/A 47698-2021 georefererad karta.tif", "A 47698-2021")</f>
        <v/>
      </c>
      <c r="AA11">
        <f>HYPERLINK("https://klasma.github.io/Logging_1446/klagomål/A 47698-2021 FSC-klagomål.docx", "A 47698-2021")</f>
        <v/>
      </c>
      <c r="AB11">
        <f>HYPERLINK("https://klasma.github.io/Logging_1446/klagomålsmail/A 47698-2021 FSC-klagomål mail.docx", "A 47698-2021")</f>
        <v/>
      </c>
      <c r="AC11">
        <f>HYPERLINK("https://klasma.github.io/Logging_1446/tillsyn/A 47698-2021 tillsynsbegäran.docx", "A 47698-2021")</f>
        <v/>
      </c>
      <c r="AD11">
        <f>HYPERLINK("https://klasma.github.io/Logging_1446/tillsynsmail/A 47698-2021 tillsynsbegäran mail.docx", "A 47698-2021")</f>
        <v/>
      </c>
      <c r="AE11">
        <f>HYPERLINK("https://klasma.github.io/Logging_1446/fåglar/A 47698-2021 prioriterade fågelarter.docx", "A 47698-2021")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46235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13365-2024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45387</v>
      </c>
      <c r="E13" s="1" t="n">
        <v>46235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Övriga Aktiebolag</t>
        </is>
      </c>
      <c r="I13" t="n">
        <v>2.5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15</v>
      </c>
      <c r="U13" t="n">
        <v>15</v>
      </c>
      <c r="V13" s="2" t="inlineStr">
        <is>
          <t>Grönpyrola
Tjäder</t>
        </is>
      </c>
      <c r="W13">
        <f>HYPERLINK("https://klasma.github.io/Logging_1446/artfynd/A 13365-2024 artfynd.xlsx", "A 13365-2024")</f>
        <v/>
      </c>
      <c r="X13">
        <f>HYPERLINK("https://klasma.github.io/Logging_1446/kartor/A 13365-2024 karta.png", "A 13365-2024")</f>
        <v/>
      </c>
      <c r="Y13">
        <f>HYPERLINK("https://klasma.github.io/Logging_1446/kartor_geotiff/A 13365-2024 georefererad karta.tif", "A 13365-2024")</f>
        <v/>
      </c>
      <c r="AA13">
        <f>HYPERLINK("https://klasma.github.io/Logging_1446/klagomål/A 13365-2024 FSC-klagomål.docx", "A 13365-2024")</f>
        <v/>
      </c>
      <c r="AB13">
        <f>HYPERLINK("https://klasma.github.io/Logging_1446/klagomålsmail/A 13365-2024 FSC-klagomål mail.docx", "A 13365-2024")</f>
        <v/>
      </c>
      <c r="AC13">
        <f>HYPERLINK("https://klasma.github.io/Logging_1446/tillsyn/A 13365-2024 tillsynsbegäran.docx", "A 13365-2024")</f>
        <v/>
      </c>
      <c r="AD13">
        <f>HYPERLINK("https://klasma.github.io/Logging_1446/tillsynsmail/A 13365-2024 tillsynsbegäran mail.docx", "A 13365-2024")</f>
        <v/>
      </c>
      <c r="AE13">
        <f>HYPERLINK("https://klasma.github.io/Logging_1446/fåglar/A 13365-2024 prioriterade fågelarter.docx", "A 13365-2024")</f>
        <v/>
      </c>
    </row>
    <row r="14" ht="15" customHeight="1">
      <c r="A14" t="inlineStr">
        <is>
          <t>A 38204-2024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45545</v>
      </c>
      <c r="E14" s="1" t="n">
        <v>46235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5.4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6</v>
      </c>
      <c r="V14" s="2" t="inlineStr">
        <is>
          <t>Knärot
Kungsfågel</t>
        </is>
      </c>
      <c r="W14">
        <f>HYPERLINK("https://klasma.github.io/Logging_1446/artfynd/A 38204-2024 artfynd.xlsx", "A 38204-2024")</f>
        <v/>
      </c>
      <c r="X14">
        <f>HYPERLINK("https://klasma.github.io/Logging_1446/kartor/A 38204-2024 karta.png", "A 38204-2024")</f>
        <v/>
      </c>
      <c r="Y14">
        <f>HYPERLINK("https://klasma.github.io/Logging_1446/kartor_geotiff/A 38204-2024 georefererad karta.tif", "A 38204-2024")</f>
        <v/>
      </c>
      <c r="Z14">
        <f>HYPERLINK("https://klasma.github.io/Logging_1446/knärot/A 38204-2024 karta knärot.png", "A 38204-2024")</f>
        <v/>
      </c>
      <c r="AA14">
        <f>HYPERLINK("https://klasma.github.io/Logging_1446/klagomål/A 38204-2024 FSC-klagomål.docx", "A 38204-2024")</f>
        <v/>
      </c>
      <c r="AB14">
        <f>HYPERLINK("https://klasma.github.io/Logging_1446/klagomålsmail/A 38204-2024 FSC-klagomål mail.docx", "A 38204-2024")</f>
        <v/>
      </c>
      <c r="AC14">
        <f>HYPERLINK("https://klasma.github.io/Logging_1446/tillsyn/A 38204-2024 tillsynsbegäran.docx", "A 38204-2024")</f>
        <v/>
      </c>
      <c r="AD14">
        <f>HYPERLINK("https://klasma.github.io/Logging_1446/tillsynsmail/A 38204-2024 tillsynsbegäran mail.docx", "A 38204-2024")</f>
        <v/>
      </c>
    </row>
    <row r="15" ht="15" customHeight="1">
      <c r="A15" t="inlineStr">
        <is>
          <t>A 19851-2025</t>
        </is>
      </c>
      <c r="B15" t="inlineStr">
        <is>
          <t>avverkningsanmälan</t>
        </is>
      </c>
      <c r="C15" t="inlineStr">
        <is>
          <t>Avverkning för att bevara och utveckla /försöksver</t>
        </is>
      </c>
      <c r="D15" s="1" t="n">
        <v>45771</v>
      </c>
      <c r="E15" s="1" t="n">
        <v>46235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4.9</v>
      </c>
      <c r="J15" t="n">
        <v>2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2</v>
      </c>
      <c r="T15" t="n">
        <v>6</v>
      </c>
      <c r="U15" t="n">
        <v>0</v>
      </c>
      <c r="V15" s="2" t="inlineStr">
        <is>
          <t>Knärot
Kungsfågel</t>
        </is>
      </c>
      <c r="W15">
        <f>HYPERLINK("https://klasma.github.io/Logging_1446/artfynd/A 19851-2025 artfynd.xlsx", "A 19851-2025")</f>
        <v/>
      </c>
      <c r="X15">
        <f>HYPERLINK("https://klasma.github.io/Logging_1446/kartor/A 19851-2025 karta.png", "A 19851-2025")</f>
        <v/>
      </c>
      <c r="Y15">
        <f>HYPERLINK("https://klasma.github.io/Logging_1446/kartor_geotiff/A 19851-2025 georefererad karta.tif", "A 19851-2025")</f>
        <v/>
      </c>
      <c r="Z15">
        <f>HYPERLINK("https://klasma.github.io/Logging_1446/knärot/A 19851-2025 karta knärot.png", "A 19851-2025")</f>
        <v/>
      </c>
      <c r="AA15">
        <f>HYPERLINK("https://klasma.github.io/Logging_1446/klagomål/A 19851-2025 FSC-klagomål.docx", "A 19851-2025")</f>
        <v/>
      </c>
      <c r="AB15">
        <f>HYPERLINK("https://klasma.github.io/Logging_1446/klagomålsmail/A 19851-2025 FSC-klagomål mail.docx", "A 19851-2025")</f>
        <v/>
      </c>
      <c r="AC15">
        <f>HYPERLINK("https://klasma.github.io/Logging_1446/tillsyn/A 19851-2025 tillsynsbegäran.docx", "A 19851-2025")</f>
        <v/>
      </c>
      <c r="AD15">
        <f>HYPERLINK("https://klasma.github.io/Logging_1446/tillsynsmail/A 19851-2025 tillsynsbegäran mail.docx", "A 19851-2025")</f>
        <v/>
      </c>
    </row>
    <row r="16" ht="15" customHeight="1">
      <c r="A16" t="inlineStr">
        <is>
          <t>A 52381-2024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45609</v>
      </c>
      <c r="E16" s="1" t="n">
        <v>46235</v>
      </c>
      <c r="F16" t="inlineStr">
        <is>
          <t>VÄSTRA GÖTALANDS LÄN</t>
        </is>
      </c>
      <c r="G16" t="inlineStr">
        <is>
          <t>KARLSBORG</t>
        </is>
      </c>
      <c r="I16" t="n">
        <v>1.4</v>
      </c>
      <c r="J16" t="n">
        <v>2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Knärot
Spillkråka</t>
        </is>
      </c>
      <c r="W16">
        <f>HYPERLINK("https://klasma.github.io/Logging_1446/artfynd/A 52381-2024 artfynd.xlsx", "A 52381-2024")</f>
        <v/>
      </c>
      <c r="X16">
        <f>HYPERLINK("https://klasma.github.io/Logging_1446/kartor/A 52381-2024 karta.png", "A 52381-2024")</f>
        <v/>
      </c>
      <c r="Y16">
        <f>HYPERLINK("https://klasma.github.io/Logging_1446/kartor_geotiff/A 52381-2024 georefererad karta.tif", "A 52381-2024")</f>
        <v/>
      </c>
      <c r="Z16">
        <f>HYPERLINK("https://klasma.github.io/Logging_1446/knärot/A 52381-2024 karta knärot.png", "A 52381-2024")</f>
        <v/>
      </c>
      <c r="AA16">
        <f>HYPERLINK("https://klasma.github.io/Logging_1446/klagomål/A 52381-2024 FSC-klagomål.docx", "A 52381-2024")</f>
        <v/>
      </c>
      <c r="AB16">
        <f>HYPERLINK("https://klasma.github.io/Logging_1446/klagomålsmail/A 52381-2024 FSC-klagomål mail.docx", "A 52381-2024")</f>
        <v/>
      </c>
      <c r="AC16">
        <f>HYPERLINK("https://klasma.github.io/Logging_1446/tillsyn/A 52381-2024 tillsynsbegäran.docx", "A 52381-2024")</f>
        <v/>
      </c>
      <c r="AD16">
        <f>HYPERLINK("https://klasma.github.io/Logging_1446/tillsynsmail/A 52381-2024 tillsynsbegäran mail.docx", "A 52381-2024")</f>
        <v/>
      </c>
      <c r="AE16">
        <f>HYPERLINK("https://klasma.github.io/Logging_1446/fåglar/A 52381-2024 prioriterade fågelarter.docx", "A 52381-2024")</f>
        <v/>
      </c>
    </row>
    <row r="17" ht="15" customHeight="1">
      <c r="A17" t="inlineStr">
        <is>
          <t>S 1323-2025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45771</v>
      </c>
      <c r="E17" s="1" t="n">
        <v>46235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Sveaskog</t>
        </is>
      </c>
      <c r="I17" t="n">
        <v>4.9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Knärot
Kungsfågel</t>
        </is>
      </c>
      <c r="W17">
        <f>HYPERLINK("https://klasma.github.io/Logging_1446/artfynd/S 1323-2025 artfynd.xlsx", "S 1323-2025")</f>
        <v/>
      </c>
      <c r="X17">
        <f>HYPERLINK("https://klasma.github.io/Logging_1446/kartor/S 1323-2025 karta.png", "S 1323-2025")</f>
        <v/>
      </c>
      <c r="Y17">
        <f>HYPERLINK("https://klasma.github.io/Logging_1446/kartor_geotiff/S 1323-2025 georefererad karta.tif", "S 1323-2025")</f>
        <v/>
      </c>
      <c r="Z17">
        <f>HYPERLINK("https://klasma.github.io/Logging_1446/knärot/S 1323-2025 karta knärot.png", "S 1323-2025")</f>
        <v/>
      </c>
      <c r="AA17">
        <f>HYPERLINK("https://klasma.github.io/Logging_1446/klagomål/S 1323-2025 FSC-klagomål.docx", "S 1323-2025")</f>
        <v/>
      </c>
      <c r="AB17">
        <f>HYPERLINK("https://klasma.github.io/Logging_1446/klagomålsmail/S 1323-2025 FSC-klagomål mail.docx", "S 1323-2025")</f>
        <v/>
      </c>
      <c r="AC17">
        <f>HYPERLINK("https://klasma.github.io/Logging_1446/tillsyn/S 1323-2025 tillsynsbegäran.docx", "S 1323-2025")</f>
        <v/>
      </c>
      <c r="AD17">
        <f>HYPERLINK("https://klasma.github.io/Logging_1446/tillsynsmail/S 1323-2025 tillsynsbegäran mail.docx", "S 1323-2025")</f>
        <v/>
      </c>
    </row>
    <row r="18" ht="15" customHeight="1">
      <c r="A18" t="inlineStr">
        <is>
          <t>A 23268-2022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44720</v>
      </c>
      <c r="E18" s="1" t="n">
        <v>46235</v>
      </c>
      <c r="F18" t="inlineStr">
        <is>
          <t>VÄSTRA GÖTALANDS LÄN</t>
        </is>
      </c>
      <c r="G18" t="inlineStr">
        <is>
          <t>KARLSBORG</t>
        </is>
      </c>
      <c r="H18" t="inlineStr">
        <is>
          <t>Sveaskog</t>
        </is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Vanlig snok</t>
        </is>
      </c>
      <c r="W18">
        <f>HYPERLINK("https://klasma.github.io/Logging_1446/artfynd/A 23268-2022 artfynd.xlsx", "A 23268-2022")</f>
        <v/>
      </c>
      <c r="X18">
        <f>HYPERLINK("https://klasma.github.io/Logging_1446/kartor/A 23268-2022 karta.png", "A 23268-2022")</f>
        <v/>
      </c>
      <c r="Y18">
        <f>HYPERLINK("https://klasma.github.io/Logging_1446/kartor_geotiff/A 23268-2022 georefererad karta.tif", "A 23268-2022")</f>
        <v/>
      </c>
      <c r="AA18">
        <f>HYPERLINK("https://klasma.github.io/Logging_1446/klagomål/A 23268-2022 FSC-klagomål.docx", "A 23268-2022")</f>
        <v/>
      </c>
      <c r="AB18">
        <f>HYPERLINK("https://klasma.github.io/Logging_1446/klagomålsmail/A 23268-2022 FSC-klagomål mail.docx", "A 23268-2022")</f>
        <v/>
      </c>
      <c r="AC18">
        <f>HYPERLINK("https://klasma.github.io/Logging_1446/tillsyn/A 23268-2022 tillsynsbegäran.docx", "A 23268-2022")</f>
        <v/>
      </c>
      <c r="AD18">
        <f>HYPERLINK("https://klasma.github.io/Logging_1446/tillsynsmail/A 23268-2022 tillsynsbegäran mail.docx", "A 23268-2022")</f>
        <v/>
      </c>
    </row>
    <row r="19" ht="15" customHeight="1">
      <c r="A19" t="inlineStr">
        <is>
          <t>A 8984-2025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45713</v>
      </c>
      <c r="E19" s="1" t="n">
        <v>46235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Övriga Aktiebolag</t>
        </is>
      </c>
      <c r="I19" t="n">
        <v>9.5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Tjäder</t>
        </is>
      </c>
      <c r="W19">
        <f>HYPERLINK("https://klasma.github.io/Logging_1446/artfynd/A 8984-2025 artfynd.xlsx", "A 8984-2025")</f>
        <v/>
      </c>
      <c r="X19">
        <f>HYPERLINK("https://klasma.github.io/Logging_1446/kartor/A 8984-2025 karta.png", "A 8984-2025")</f>
        <v/>
      </c>
      <c r="Y19">
        <f>HYPERLINK("https://klasma.github.io/Logging_1446/kartor_geotiff/A 8984-2025 georefererad karta.tif", "A 8984-2025")</f>
        <v/>
      </c>
      <c r="AA19">
        <f>HYPERLINK("https://klasma.github.io/Logging_1446/klagomål/A 8984-2025 FSC-klagomål.docx", "A 8984-2025")</f>
        <v/>
      </c>
      <c r="AB19">
        <f>HYPERLINK("https://klasma.github.io/Logging_1446/klagomålsmail/A 8984-2025 FSC-klagomål mail.docx", "A 8984-2025")</f>
        <v/>
      </c>
      <c r="AC19">
        <f>HYPERLINK("https://klasma.github.io/Logging_1446/tillsyn/A 8984-2025 tillsynsbegäran.docx", "A 8984-2025")</f>
        <v/>
      </c>
      <c r="AD19">
        <f>HYPERLINK("https://klasma.github.io/Logging_1446/tillsynsmail/A 8984-2025 tillsynsbegäran mail.docx", "A 8984-2025")</f>
        <v/>
      </c>
      <c r="AE19">
        <f>HYPERLINK("https://klasma.github.io/Logging_1446/fåglar/A 8984-2025 prioriterade fågelarter.docx", "A 8984-2025")</f>
        <v/>
      </c>
    </row>
    <row r="20" ht="15" customHeight="1">
      <c r="A20" t="inlineStr">
        <is>
          <t>A 23973-2023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45075</v>
      </c>
      <c r="E20" s="1" t="n">
        <v>46235</v>
      </c>
      <c r="F20" t="inlineStr">
        <is>
          <t>VÄSTRA GÖTALANDS LÄN</t>
        </is>
      </c>
      <c r="G20" t="inlineStr">
        <is>
          <t>KARLSBORG</t>
        </is>
      </c>
      <c r="I20" t="n">
        <v>2.2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Orre</t>
        </is>
      </c>
      <c r="W20">
        <f>HYPERLINK("https://klasma.github.io/Logging_1446/artfynd/A 23973-2023 artfynd.xlsx", "A 23973-2023")</f>
        <v/>
      </c>
      <c r="X20">
        <f>HYPERLINK("https://klasma.github.io/Logging_1446/kartor/A 23973-2023 karta.png", "A 23973-2023")</f>
        <v/>
      </c>
      <c r="Y20">
        <f>HYPERLINK("https://klasma.github.io/Logging_1446/kartor_geotiff/A 23973-2023 georefererad karta.tif", "A 23973-2023")</f>
        <v/>
      </c>
      <c r="AA20">
        <f>HYPERLINK("https://klasma.github.io/Logging_1446/klagomål/A 23973-2023 FSC-klagomål.docx", "A 23973-2023")</f>
        <v/>
      </c>
      <c r="AB20">
        <f>HYPERLINK("https://klasma.github.io/Logging_1446/klagomålsmail/A 23973-2023 FSC-klagomål mail.docx", "A 23973-2023")</f>
        <v/>
      </c>
      <c r="AC20">
        <f>HYPERLINK("https://klasma.github.io/Logging_1446/tillsyn/A 23973-2023 tillsynsbegäran.docx", "A 23973-2023")</f>
        <v/>
      </c>
      <c r="AD20">
        <f>HYPERLINK("https://klasma.github.io/Logging_1446/tillsynsmail/A 23973-2023 tillsynsbegäran mail.docx", "A 23973-2023")</f>
        <v/>
      </c>
      <c r="AE20">
        <f>HYPERLINK("https://klasma.github.io/Logging_1446/fåglar/A 23973-2023 prioriterade fågelarter.docx", "A 23973-2023")</f>
        <v/>
      </c>
    </row>
    <row r="21" ht="15" customHeight="1">
      <c r="A21" t="inlineStr">
        <is>
          <t>A 29156-2026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46202</v>
      </c>
      <c r="E21" s="1" t="n">
        <v>46235</v>
      </c>
      <c r="F21" t="inlineStr">
        <is>
          <t>VÄSTRA GÖTALANDS LÄN</t>
        </is>
      </c>
      <c r="G21" t="inlineStr">
        <is>
          <t>KARLSBORG</t>
        </is>
      </c>
      <c r="H21" t="inlineStr">
        <is>
          <t>Sveaskog</t>
        </is>
      </c>
      <c r="I21" t="n">
        <v>1.2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Spindelblomster</t>
        </is>
      </c>
      <c r="W21">
        <f>HYPERLINK("https://klasma.github.io/Logging_1446/artfynd/A 29156-2026 artfynd.xlsx", "A 29156-2026")</f>
        <v/>
      </c>
      <c r="X21">
        <f>HYPERLINK("https://klasma.github.io/Logging_1446/kartor/A 29156-2026 karta.png", "A 29156-2026")</f>
        <v/>
      </c>
      <c r="Y21">
        <f>HYPERLINK("https://klasma.github.io/Logging_1446/kartor_geotiff/A 29156-2026 georefererad karta.tif", "A 29156-2026")</f>
        <v/>
      </c>
      <c r="AA21">
        <f>HYPERLINK("https://klasma.github.io/Logging_1446/klagomål/A 29156-2026 FSC-klagomål.docx", "A 29156-2026")</f>
        <v/>
      </c>
      <c r="AB21">
        <f>HYPERLINK("https://klasma.github.io/Logging_1446/klagomålsmail/A 29156-2026 FSC-klagomål mail.docx", "A 29156-2026")</f>
        <v/>
      </c>
      <c r="AC21">
        <f>HYPERLINK("https://klasma.github.io/Logging_1446/tillsyn/A 29156-2026 tillsynsbegäran.docx", "A 29156-2026")</f>
        <v/>
      </c>
      <c r="AD21">
        <f>HYPERLINK("https://klasma.github.io/Logging_1446/tillsynsmail/A 29156-2026 tillsynsbegäran mail.docx", "A 29156-2026")</f>
        <v/>
      </c>
    </row>
    <row r="22" ht="15" customHeight="1">
      <c r="A22" t="inlineStr">
        <is>
          <t>A 4448-2026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46045</v>
      </c>
      <c r="E22" s="1" t="n">
        <v>46235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Svart trolldruva</t>
        </is>
      </c>
      <c r="W22">
        <f>HYPERLINK("https://klasma.github.io/Logging_1446/artfynd/A 4448-2026 artfynd.xlsx", "A 4448-2026")</f>
        <v/>
      </c>
      <c r="X22">
        <f>HYPERLINK("https://klasma.github.io/Logging_1446/kartor/A 4448-2026 karta.png", "A 4448-2026")</f>
        <v/>
      </c>
      <c r="Y22">
        <f>HYPERLINK("https://klasma.github.io/Logging_1446/kartor_geotiff/A 4448-2026 georefererad karta.tif", "A 4448-2026")</f>
        <v/>
      </c>
      <c r="AA22">
        <f>HYPERLINK("https://klasma.github.io/Logging_1446/klagomål/A 4448-2026 FSC-klagomål.docx", "A 4448-2026")</f>
        <v/>
      </c>
      <c r="AB22">
        <f>HYPERLINK("https://klasma.github.io/Logging_1446/klagomålsmail/A 4448-2026 FSC-klagomål mail.docx", "A 4448-2026")</f>
        <v/>
      </c>
      <c r="AC22">
        <f>HYPERLINK("https://klasma.github.io/Logging_1446/tillsyn/A 4448-2026 tillsynsbegäran.docx", "A 4448-2026")</f>
        <v/>
      </c>
      <c r="AD22">
        <f>HYPERLINK("https://klasma.github.io/Logging_1446/tillsynsmail/A 4448-2026 tillsynsbegäran mail.docx", "A 4448-2026")</f>
        <v/>
      </c>
    </row>
    <row r="23" ht="15" customHeight="1">
      <c r="A23" t="inlineStr">
        <is>
          <t>A 31801-2026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46230</v>
      </c>
      <c r="E23" s="1" t="n">
        <v>46235</v>
      </c>
      <c r="F23" t="inlineStr">
        <is>
          <t>VÄSTRA GÖTALANDS LÄN</t>
        </is>
      </c>
      <c r="G23" t="inlineStr">
        <is>
          <t>KARLSBORG</t>
        </is>
      </c>
      <c r="I23" t="n">
        <v>1.3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5</v>
      </c>
      <c r="U23" t="n">
        <v>0</v>
      </c>
      <c r="V23" s="2" t="inlineStr">
        <is>
          <t>Knärot</t>
        </is>
      </c>
      <c r="W23">
        <f>HYPERLINK("https://klasma.github.io/Logging_1446/artfynd/A 31801-2026 artfynd.xlsx", "A 31801-2026")</f>
        <v/>
      </c>
      <c r="X23">
        <f>HYPERLINK("https://klasma.github.io/Logging_1446/kartor/A 31801-2026 karta.png", "A 31801-2026")</f>
        <v/>
      </c>
      <c r="Y23">
        <f>HYPERLINK("https://klasma.github.io/Logging_1446/kartor_geotiff/A 31801-2026 georefererad karta.tif", "A 31801-2026")</f>
        <v/>
      </c>
      <c r="Z23">
        <f>HYPERLINK("https://klasma.github.io/Logging_1446/knärot/A 31801-2026 karta knärot.png", "A 31801-2026")</f>
        <v/>
      </c>
      <c r="AA23">
        <f>HYPERLINK("https://klasma.github.io/Logging_1446/klagomål/A 31801-2026 FSC-klagomål.docx", "A 31801-2026")</f>
        <v/>
      </c>
      <c r="AB23">
        <f>HYPERLINK("https://klasma.github.io/Logging_1446/klagomålsmail/A 31801-2026 FSC-klagomål mail.docx", "A 31801-2026")</f>
        <v/>
      </c>
      <c r="AC23">
        <f>HYPERLINK("https://klasma.github.io/Logging_1446/tillsyn/A 31801-2026 tillsynsbegäran.docx", "A 31801-2026")</f>
        <v/>
      </c>
      <c r="AD23">
        <f>HYPERLINK("https://klasma.github.io/Logging_1446/tillsynsmail/A 31801-2026 tillsynsbegäran mail.docx", "A 31801-2026")</f>
        <v/>
      </c>
    </row>
    <row r="24" ht="15" customHeight="1">
      <c r="A24" t="inlineStr">
        <is>
          <t>A 59712-2021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44494</v>
      </c>
      <c r="E24" s="1" t="n">
        <v>46235</v>
      </c>
      <c r="F24" t="inlineStr">
        <is>
          <t>VÄSTRA GÖTALANDS LÄN</t>
        </is>
      </c>
      <c r="G24" t="inlineStr">
        <is>
          <t>KARLSBORG</t>
        </is>
      </c>
      <c r="H24" t="inlineStr">
        <is>
          <t>Sveaskog</t>
        </is>
      </c>
      <c r="I24" t="n">
        <v>3.8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Ask</t>
        </is>
      </c>
      <c r="W24">
        <f>HYPERLINK("https://klasma.github.io/Logging_1446/artfynd/A 59712-2021 artfynd.xlsx", "A 59712-2021")</f>
        <v/>
      </c>
      <c r="X24">
        <f>HYPERLINK("https://klasma.github.io/Logging_1446/kartor/A 59712-2021 karta.png", "A 59712-2021")</f>
        <v/>
      </c>
      <c r="Y24">
        <f>HYPERLINK("https://klasma.github.io/Logging_1446/kartor_geotiff/A 59712-2021 georefererad karta.tif", "A 59712-2021")</f>
        <v/>
      </c>
      <c r="AA24">
        <f>HYPERLINK("https://klasma.github.io/Logging_1446/klagomål/A 59712-2021 FSC-klagomål.docx", "A 59712-2021")</f>
        <v/>
      </c>
      <c r="AB24">
        <f>HYPERLINK("https://klasma.github.io/Logging_1446/klagomålsmail/A 59712-2021 FSC-klagomål mail.docx", "A 59712-2021")</f>
        <v/>
      </c>
      <c r="AC24">
        <f>HYPERLINK("https://klasma.github.io/Logging_1446/tillsyn/A 59712-2021 tillsynsbegäran.docx", "A 59712-2021")</f>
        <v/>
      </c>
      <c r="AD24">
        <f>HYPERLINK("https://klasma.github.io/Logging_1446/tillsynsmail/A 59712-2021 tillsynsbegäran mail.docx", "A 59712-2021")</f>
        <v/>
      </c>
    </row>
    <row r="25" ht="15" customHeight="1">
      <c r="A25" t="inlineStr">
        <is>
          <t>A 9337-2025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45714</v>
      </c>
      <c r="E25" s="1" t="n">
        <v>46235</v>
      </c>
      <c r="F25" t="inlineStr">
        <is>
          <t>VÄSTRA GÖTALANDS LÄN</t>
        </is>
      </c>
      <c r="G25" t="inlineStr">
        <is>
          <t>KARLSBORG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HYPERLINK("https://klasma.github.io/Logging_1446/artfynd/A 9337-2025 artfynd.xlsx", "A 9337-2025")</f>
        <v/>
      </c>
      <c r="X25">
        <f>HYPERLINK("https://klasma.github.io/Logging_1446/kartor/A 9337-2025 karta.png", "A 9337-2025")</f>
        <v/>
      </c>
      <c r="Y25">
        <f>HYPERLINK("https://klasma.github.io/Logging_1446/kartor_geotiff/A 9337-2025 georefererad karta.tif", "A 9337-2025")</f>
        <v/>
      </c>
      <c r="AA25">
        <f>HYPERLINK("https://klasma.github.io/Logging_1446/klagomål/A 9337-2025 FSC-klagomål.docx", "A 9337-2025")</f>
        <v/>
      </c>
      <c r="AB25">
        <f>HYPERLINK("https://klasma.github.io/Logging_1446/klagomålsmail/A 9337-2025 FSC-klagomål mail.docx", "A 9337-2025")</f>
        <v/>
      </c>
      <c r="AC25">
        <f>HYPERLINK("https://klasma.github.io/Logging_1446/tillsyn/A 9337-2025 tillsynsbegäran.docx", "A 9337-2025")</f>
        <v/>
      </c>
      <c r="AD25">
        <f>HYPERLINK("https://klasma.github.io/Logging_1446/tillsynsmail/A 9337-2025 tillsynsbegäran mail.docx", "A 9337-2025")</f>
        <v/>
      </c>
    </row>
    <row r="26" ht="15" customHeight="1">
      <c r="A26" t="inlineStr">
        <is>
          <t>A 51531-2023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45222</v>
      </c>
      <c r="E26" s="1" t="n">
        <v>46235</v>
      </c>
      <c r="F26" t="inlineStr">
        <is>
          <t>VÄSTRA GÖTALANDS LÄN</t>
        </is>
      </c>
      <c r="G26" t="inlineStr">
        <is>
          <t>KARLSBORG</t>
        </is>
      </c>
      <c r="H26" t="inlineStr">
        <is>
          <t>Kommuner</t>
        </is>
      </c>
      <c r="I26" t="n">
        <v>11.2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Revlummer</t>
        </is>
      </c>
      <c r="W26">
        <f>HYPERLINK("https://klasma.github.io/Logging_1446/artfynd/A 51531-2023 artfynd.xlsx", "A 51531-2023")</f>
        <v/>
      </c>
      <c r="X26">
        <f>HYPERLINK("https://klasma.github.io/Logging_1446/kartor/A 51531-2023 karta.png", "A 51531-2023")</f>
        <v/>
      </c>
      <c r="Y26">
        <f>HYPERLINK("https://klasma.github.io/Logging_1446/kartor_geotiff/A 51531-2023 georefererad karta.tif", "A 51531-2023")</f>
        <v/>
      </c>
      <c r="AA26">
        <f>HYPERLINK("https://klasma.github.io/Logging_1446/klagomål/A 51531-2023 FSC-klagomål.docx", "A 51531-2023")</f>
        <v/>
      </c>
      <c r="AB26">
        <f>HYPERLINK("https://klasma.github.io/Logging_1446/klagomålsmail/A 51531-2023 FSC-klagomål mail.docx", "A 51531-2023")</f>
        <v/>
      </c>
      <c r="AC26">
        <f>HYPERLINK("https://klasma.github.io/Logging_1446/tillsyn/A 51531-2023 tillsynsbegäran.docx", "A 51531-2023")</f>
        <v/>
      </c>
      <c r="AD26">
        <f>HYPERLINK("https://klasma.github.io/Logging_1446/tillsynsmail/A 51531-2023 tillsynsbegäran mail.docx", "A 51531-2023")</f>
        <v/>
      </c>
    </row>
    <row r="27" ht="15" customHeight="1">
      <c r="A27" t="inlineStr">
        <is>
          <t>A 38103-2023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45161</v>
      </c>
      <c r="E27" s="1" t="n">
        <v>46235</v>
      </c>
      <c r="F27" t="inlineStr">
        <is>
          <t>VÄSTRA GÖTALANDS LÄN</t>
        </is>
      </c>
      <c r="G27" t="inlineStr">
        <is>
          <t>KARLSBORG</t>
        </is>
      </c>
      <c r="I27" t="n">
        <v>1.5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Lopplummer (aggregat)</t>
        </is>
      </c>
      <c r="W27">
        <f>HYPERLINK("https://klasma.github.io/Logging_1446/artfynd/A 38103-2023 artfynd.xlsx", "A 38103-2023")</f>
        <v/>
      </c>
      <c r="X27">
        <f>HYPERLINK("https://klasma.github.io/Logging_1446/kartor/A 38103-2023 karta.png", "A 38103-2023")</f>
        <v/>
      </c>
      <c r="Y27">
        <f>HYPERLINK("https://klasma.github.io/Logging_1446/kartor_geotiff/A 38103-2023 georefererad karta.tif", "A 38103-2023")</f>
        <v/>
      </c>
      <c r="AA27">
        <f>HYPERLINK("https://klasma.github.io/Logging_1446/klagomål/A 38103-2023 FSC-klagomål.docx", "A 38103-2023")</f>
        <v/>
      </c>
      <c r="AB27">
        <f>HYPERLINK("https://klasma.github.io/Logging_1446/klagomålsmail/A 38103-2023 FSC-klagomål mail.docx", "A 38103-2023")</f>
        <v/>
      </c>
      <c r="AC27">
        <f>HYPERLINK("https://klasma.github.io/Logging_1446/tillsyn/A 38103-2023 tillsynsbegäran.docx", "A 38103-2023")</f>
        <v/>
      </c>
      <c r="AD27">
        <f>HYPERLINK("https://klasma.github.io/Logging_1446/tillsynsmail/A 38103-2023 tillsynsbegäran mail.docx", "A 38103-2023")</f>
        <v/>
      </c>
    </row>
    <row r="28" ht="15" customHeight="1">
      <c r="A28" t="inlineStr">
        <is>
          <t>A 18567-2026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46127</v>
      </c>
      <c r="E28" s="1" t="n">
        <v>46235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2.6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18567-2026 artfynd.xlsx", "A 18567-2026")</f>
        <v/>
      </c>
      <c r="X28">
        <f>HYPERLINK("https://klasma.github.io/Logging_1446/kartor/A 18567-2026 karta.png", "A 18567-2026")</f>
        <v/>
      </c>
      <c r="Y28">
        <f>HYPERLINK("https://klasma.github.io/Logging_1446/kartor_geotiff/A 18567-2026 georefererad karta.tif", "A 18567-2026")</f>
        <v/>
      </c>
      <c r="AA28">
        <f>HYPERLINK("https://klasma.github.io/Logging_1446/klagomål/A 18567-2026 FSC-klagomål.docx", "A 18567-2026")</f>
        <v/>
      </c>
      <c r="AB28">
        <f>HYPERLINK("https://klasma.github.io/Logging_1446/klagomålsmail/A 18567-2026 FSC-klagomål mail.docx", "A 18567-2026")</f>
        <v/>
      </c>
      <c r="AC28">
        <f>HYPERLINK("https://klasma.github.io/Logging_1446/tillsyn/A 18567-2026 tillsynsbegäran.docx", "A 18567-2026")</f>
        <v/>
      </c>
      <c r="AD28">
        <f>HYPERLINK("https://klasma.github.io/Logging_1446/tillsynsmail/A 18567-2026 tillsynsbegäran mail.docx", "A 18567-2026")</f>
        <v/>
      </c>
    </row>
    <row r="29" ht="15" customHeight="1">
      <c r="A29" t="inlineStr">
        <is>
          <t>A 29484-2025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45824</v>
      </c>
      <c r="E29" s="1" t="n">
        <v>46235</v>
      </c>
      <c r="F29" t="inlineStr">
        <is>
          <t>VÄSTRA GÖTALANDS LÄN</t>
        </is>
      </c>
      <c r="G29" t="inlineStr">
        <is>
          <t>KARLSBORG</t>
        </is>
      </c>
      <c r="I29" t="n">
        <v>1.4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Blåsippa</t>
        </is>
      </c>
      <c r="W29">
        <f>HYPERLINK("https://klasma.github.io/Logging_1446/artfynd/A 29484-2025 artfynd.xlsx", "A 29484-2025")</f>
        <v/>
      </c>
      <c r="X29">
        <f>HYPERLINK("https://klasma.github.io/Logging_1446/kartor/A 29484-2025 karta.png", "A 29484-2025")</f>
        <v/>
      </c>
      <c r="Y29">
        <f>HYPERLINK("https://klasma.github.io/Logging_1446/kartor_geotiff/A 29484-2025 georefererad karta.tif", "A 29484-2025")</f>
        <v/>
      </c>
      <c r="AA29">
        <f>HYPERLINK("https://klasma.github.io/Logging_1446/klagomål/A 29484-2025 FSC-klagomål.docx", "A 29484-2025")</f>
        <v/>
      </c>
      <c r="AB29">
        <f>HYPERLINK("https://klasma.github.io/Logging_1446/klagomålsmail/A 29484-2025 FSC-klagomål mail.docx", "A 29484-2025")</f>
        <v/>
      </c>
      <c r="AC29">
        <f>HYPERLINK("https://klasma.github.io/Logging_1446/tillsyn/A 29484-2025 tillsynsbegäran.docx", "A 29484-2025")</f>
        <v/>
      </c>
      <c r="AD29">
        <f>HYPERLINK("https://klasma.github.io/Logging_1446/tillsynsmail/A 29484-2025 tillsynsbegäran mail.docx", "A 29484-2025")</f>
        <v/>
      </c>
    </row>
    <row r="30" ht="15" customHeight="1">
      <c r="A30" t="inlineStr">
        <is>
          <t>A 28315-2025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45818</v>
      </c>
      <c r="E30" s="1" t="n">
        <v>46235</v>
      </c>
      <c r="F30" t="inlineStr">
        <is>
          <t>VÄSTRA GÖTALANDS LÄN</t>
        </is>
      </c>
      <c r="G30" t="inlineStr">
        <is>
          <t>KARLSBORG</t>
        </is>
      </c>
      <c r="I30" t="n">
        <v>2.3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Rostfläck</t>
        </is>
      </c>
      <c r="W30">
        <f>HYPERLINK("https://klasma.github.io/Logging_1446/artfynd/A 28315-2025 artfynd.xlsx", "A 28315-2025")</f>
        <v/>
      </c>
      <c r="X30">
        <f>HYPERLINK("https://klasma.github.io/Logging_1446/kartor/A 28315-2025 karta.png", "A 28315-2025")</f>
        <v/>
      </c>
      <c r="Y30">
        <f>HYPERLINK("https://klasma.github.io/Logging_1446/kartor_geotiff/A 28315-2025 georefererad karta.tif", "A 28315-2025")</f>
        <v/>
      </c>
      <c r="AA30">
        <f>HYPERLINK("https://klasma.github.io/Logging_1446/klagomål/A 28315-2025 FSC-klagomål.docx", "A 28315-2025")</f>
        <v/>
      </c>
      <c r="AB30">
        <f>HYPERLINK("https://klasma.github.io/Logging_1446/klagomålsmail/A 28315-2025 FSC-klagomål mail.docx", "A 28315-2025")</f>
        <v/>
      </c>
      <c r="AC30">
        <f>HYPERLINK("https://klasma.github.io/Logging_1446/tillsyn/A 28315-2025 tillsynsbegäran.docx", "A 28315-2025")</f>
        <v/>
      </c>
      <c r="AD30">
        <f>HYPERLINK("https://klasma.github.io/Logging_1446/tillsynsmail/A 28315-2025 tillsynsbegäran mail.docx", "A 28315-2025")</f>
        <v/>
      </c>
    </row>
    <row r="31" ht="15" customHeight="1">
      <c r="A31" t="inlineStr">
        <is>
          <t>A 66556-2021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44519</v>
      </c>
      <c r="E31" s="1" t="n">
        <v>46235</v>
      </c>
      <c r="F31" t="inlineStr">
        <is>
          <t>VÄSTRA GÖTALANDS LÄN</t>
        </is>
      </c>
      <c r="G31" t="inlineStr">
        <is>
          <t>KARLSBORG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3290-2022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44584</v>
      </c>
      <c r="E32" s="1" t="n">
        <v>46235</v>
      </c>
      <c r="F32" t="inlineStr">
        <is>
          <t>VÄSTRA GÖTALANDS LÄN</t>
        </is>
      </c>
      <c r="G32" t="inlineStr">
        <is>
          <t>KARLSBORG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70450-2021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44536</v>
      </c>
      <c r="E33" s="1" t="n">
        <v>46235</v>
      </c>
      <c r="F33" t="inlineStr">
        <is>
          <t>VÄSTRA GÖTALANDS LÄN</t>
        </is>
      </c>
      <c r="G33" t="inlineStr">
        <is>
          <t>KARLSBORG</t>
        </is>
      </c>
      <c r="H33" t="inlineStr">
        <is>
          <t>Övriga Aktiebolag</t>
        </is>
      </c>
      <c r="I33" t="n">
        <v>3.5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70939-2021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46235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61223-2021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44496</v>
      </c>
      <c r="E35" s="1" t="n">
        <v>46235</v>
      </c>
      <c r="F35" t="inlineStr">
        <is>
          <t>VÄSTRA GÖTALANDS LÄN</t>
        </is>
      </c>
      <c r="G35" t="inlineStr">
        <is>
          <t>KARLSBORG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33114-2022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44785</v>
      </c>
      <c r="E36" s="1" t="n">
        <v>46235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47692-2021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44448</v>
      </c>
      <c r="E37" s="1" t="n">
        <v>46235</v>
      </c>
      <c r="F37" t="inlineStr">
        <is>
          <t>VÄSTRA GÖTALANDS LÄN</t>
        </is>
      </c>
      <c r="G37" t="inlineStr">
        <is>
          <t>KARLSBORG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53700-2021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44469</v>
      </c>
      <c r="E38" s="1" t="n">
        <v>46235</v>
      </c>
      <c r="F38" t="inlineStr">
        <is>
          <t>VÄSTRA GÖTALANDS LÄN</t>
        </is>
      </c>
      <c r="G38" t="inlineStr">
        <is>
          <t>KARLSBORG</t>
        </is>
      </c>
      <c r="I38" t="n">
        <v>2.4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42501-2021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44427</v>
      </c>
      <c r="E39" s="1" t="n">
        <v>46235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18625-2022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44687</v>
      </c>
      <c r="E40" s="1" t="n">
        <v>46235</v>
      </c>
      <c r="F40" t="inlineStr">
        <is>
          <t>VÄSTRA GÖTALANDS LÄN</t>
        </is>
      </c>
      <c r="G40" t="inlineStr">
        <is>
          <t>KARLSBORG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41954-2021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44426</v>
      </c>
      <c r="E41" s="1" t="n">
        <v>46235</v>
      </c>
      <c r="F41" t="inlineStr">
        <is>
          <t>VÄSTRA GÖTALANDS LÄN</t>
        </is>
      </c>
      <c r="G41" t="inlineStr">
        <is>
          <t>KARLSBORG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8052-2023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44974</v>
      </c>
      <c r="E42" s="1" t="n">
        <v>46235</v>
      </c>
      <c r="F42" t="inlineStr">
        <is>
          <t>VÄSTRA GÖTALANDS LÄN</t>
        </is>
      </c>
      <c r="G42" t="inlineStr">
        <is>
          <t>KARLSBORG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58533-2023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45251</v>
      </c>
      <c r="E43" s="1" t="n">
        <v>46235</v>
      </c>
      <c r="F43" t="inlineStr">
        <is>
          <t>VÄSTRA GÖTALANDS LÄN</t>
        </is>
      </c>
      <c r="G43" t="inlineStr">
        <is>
          <t>KARLSBORG</t>
        </is>
      </c>
      <c r="I43" t="n">
        <v>2.3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59883-2021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44494</v>
      </c>
      <c r="E44" s="1" t="n">
        <v>46235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statliga verk och myndigheter</t>
        </is>
      </c>
      <c r="I44" t="n">
        <v>3.6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55831-2021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44476</v>
      </c>
      <c r="E45" s="1" t="n">
        <v>46235</v>
      </c>
      <c r="F45" t="inlineStr">
        <is>
          <t>VÄSTRA GÖTALANDS LÄN</t>
        </is>
      </c>
      <c r="G45" t="inlineStr">
        <is>
          <t>KARLSBORG</t>
        </is>
      </c>
      <c r="I45" t="n">
        <v>1.4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34673-2022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44795</v>
      </c>
      <c r="E46" s="1" t="n">
        <v>46235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70949-2021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44538</v>
      </c>
      <c r="E47" s="1" t="n">
        <v>46235</v>
      </c>
      <c r="F47" t="inlineStr">
        <is>
          <t>VÄSTRA GÖTALANDS LÄN</t>
        </is>
      </c>
      <c r="G47" t="inlineStr">
        <is>
          <t>KARLSBORG</t>
        </is>
      </c>
      <c r="H47" t="inlineStr">
        <is>
          <t>Övriga Aktiebolag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26914-2024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45470</v>
      </c>
      <c r="E48" s="1" t="n">
        <v>46235</v>
      </c>
      <c r="F48" t="inlineStr">
        <is>
          <t>VÄSTRA GÖTALANDS LÄN</t>
        </is>
      </c>
      <c r="G48" t="inlineStr">
        <is>
          <t>KARLSBORG</t>
        </is>
      </c>
      <c r="H48" t="inlineStr">
        <is>
          <t>Övriga Aktiebolag</t>
        </is>
      </c>
      <c r="I48" t="n">
        <v>7.1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6068-2022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44599</v>
      </c>
      <c r="E49" s="1" t="n">
        <v>46235</v>
      </c>
      <c r="F49" t="inlineStr">
        <is>
          <t>VÄSTRA GÖTALANDS LÄN</t>
        </is>
      </c>
      <c r="G49" t="inlineStr">
        <is>
          <t>KARLSBORG</t>
        </is>
      </c>
      <c r="I49" t="n">
        <v>0.4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15396-2024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45401</v>
      </c>
      <c r="E50" s="1" t="n">
        <v>46235</v>
      </c>
      <c r="F50" t="inlineStr">
        <is>
          <t>VÄSTRA GÖTALANDS LÄN</t>
        </is>
      </c>
      <c r="G50" t="inlineStr">
        <is>
          <t>KARLSBORG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34676-2022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44795</v>
      </c>
      <c r="E51" s="1" t="n">
        <v>46235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30136-2024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45489</v>
      </c>
      <c r="E52" s="1" t="n">
        <v>46235</v>
      </c>
      <c r="F52" t="inlineStr">
        <is>
          <t>VÄSTRA GÖTALANDS LÄN</t>
        </is>
      </c>
      <c r="G52" t="inlineStr">
        <is>
          <t>KARLSBORG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29357-2024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45483</v>
      </c>
      <c r="E53" s="1" t="n">
        <v>46235</v>
      </c>
      <c r="F53" t="inlineStr">
        <is>
          <t>VÄSTRA GÖTALANDS LÄN</t>
        </is>
      </c>
      <c r="G53" t="inlineStr">
        <is>
          <t>KARLSBORG</t>
        </is>
      </c>
      <c r="H53" t="inlineStr">
        <is>
          <t>Sveaskog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59877-2021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44494</v>
      </c>
      <c r="E54" s="1" t="n">
        <v>46235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statliga verk och myndigheter</t>
        </is>
      </c>
      <c r="I54" t="n">
        <v>3.6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61542-2023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46235</v>
      </c>
      <c r="F55" t="inlineStr">
        <is>
          <t>VÄSTRA GÖTALANDS LÄN</t>
        </is>
      </c>
      <c r="G55" t="inlineStr">
        <is>
          <t>KARLSBORG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20564-2024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46235</v>
      </c>
      <c r="F56" t="inlineStr">
        <is>
          <t>VÄSTRA GÖTALANDS LÄN</t>
        </is>
      </c>
      <c r="G56" t="inlineStr">
        <is>
          <t>KARLSBORG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65313-2021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44515</v>
      </c>
      <c r="E57" s="1" t="n">
        <v>46235</v>
      </c>
      <c r="F57" t="inlineStr">
        <is>
          <t>VÄSTRA GÖTALANDS LÄN</t>
        </is>
      </c>
      <c r="G57" t="inlineStr">
        <is>
          <t>KARLSBORG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41684-2023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45176</v>
      </c>
      <c r="E58" s="1" t="n">
        <v>46235</v>
      </c>
      <c r="F58" t="inlineStr">
        <is>
          <t>VÄSTRA GÖTALANDS LÄN</t>
        </is>
      </c>
      <c r="G58" t="inlineStr">
        <is>
          <t>KARLSBORG</t>
        </is>
      </c>
      <c r="I58" t="n">
        <v>7.3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38995-2024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45548</v>
      </c>
      <c r="E59" s="1" t="n">
        <v>46235</v>
      </c>
      <c r="F59" t="inlineStr">
        <is>
          <t>VÄSTRA GÖTALANDS LÄN</t>
        </is>
      </c>
      <c r="G59" t="inlineStr">
        <is>
          <t>KARLSBORG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2100-2023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44939</v>
      </c>
      <c r="E60" s="1" t="n">
        <v>46235</v>
      </c>
      <c r="F60" t="inlineStr">
        <is>
          <t>VÄSTRA GÖTALANDS LÄN</t>
        </is>
      </c>
      <c r="G60" t="inlineStr">
        <is>
          <t>KARLSBORG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58129-2024</t>
        </is>
      </c>
      <c r="B61" t="inlineStr">
        <is>
          <t>avverkningsanmälan</t>
        </is>
      </c>
      <c r="C61" t="inlineStr">
        <is>
          <t>Avverkning för att bevara och utveckla /försöksver</t>
        </is>
      </c>
      <c r="D61" s="1" t="n">
        <v>45632</v>
      </c>
      <c r="E61" s="1" t="n">
        <v>46235</v>
      </c>
      <c r="F61" t="inlineStr">
        <is>
          <t>VÄSTRA GÖTALANDS LÄN</t>
        </is>
      </c>
      <c r="G61" t="inlineStr">
        <is>
          <t>KARLSBORG</t>
        </is>
      </c>
      <c r="H61" t="inlineStr">
        <is>
          <t>Sveaskog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25999-2023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46235</v>
      </c>
      <c r="F62" t="inlineStr">
        <is>
          <t>VÄSTRA GÖTALANDS LÄN</t>
        </is>
      </c>
      <c r="G62" t="inlineStr">
        <is>
          <t>KARLSBORG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61211-2022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46235</v>
      </c>
      <c r="F63" t="inlineStr">
        <is>
          <t>VÄSTRA GÖTALANDS LÄN</t>
        </is>
      </c>
      <c r="G63" t="inlineStr">
        <is>
          <t>KARLSBORG</t>
        </is>
      </c>
      <c r="I63" t="n">
        <v>8.1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26016-2023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45090</v>
      </c>
      <c r="E64" s="1" t="n">
        <v>46235</v>
      </c>
      <c r="F64" t="inlineStr">
        <is>
          <t>VÄSTRA GÖTALANDS LÄN</t>
        </is>
      </c>
      <c r="G64" t="inlineStr">
        <is>
          <t>KARLSBORG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38290-2025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45883</v>
      </c>
      <c r="E65" s="1" t="n">
        <v>46235</v>
      </c>
      <c r="F65" t="inlineStr">
        <is>
          <t>VÄSTRA GÖTALANDS LÄN</t>
        </is>
      </c>
      <c r="G65" t="inlineStr">
        <is>
          <t>KARLSBORG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25697-2023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45089</v>
      </c>
      <c r="E66" s="1" t="n">
        <v>46235</v>
      </c>
      <c r="F66" t="inlineStr">
        <is>
          <t>VÄSTRA GÖTALANDS LÄN</t>
        </is>
      </c>
      <c r="G66" t="inlineStr">
        <is>
          <t>KARLSBORG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48175-2024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45589</v>
      </c>
      <c r="E67" s="1" t="n">
        <v>46235</v>
      </c>
      <c r="F67" t="inlineStr">
        <is>
          <t>VÄSTRA GÖTALANDS LÄN</t>
        </is>
      </c>
      <c r="G67" t="inlineStr">
        <is>
          <t>KARLSBORG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26017-2023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45090</v>
      </c>
      <c r="E68" s="1" t="n">
        <v>46235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56541-2023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46235</v>
      </c>
      <c r="F69" t="inlineStr">
        <is>
          <t>VÄSTRA GÖTALANDS LÄN</t>
        </is>
      </c>
      <c r="G69" t="inlineStr">
        <is>
          <t>KARLSBORG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14522-2024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45394</v>
      </c>
      <c r="E70" s="1" t="n">
        <v>46235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14703-2025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45742</v>
      </c>
      <c r="E71" s="1" t="n">
        <v>46235</v>
      </c>
      <c r="F71" t="inlineStr">
        <is>
          <t>VÄSTRA GÖTALANDS LÄN</t>
        </is>
      </c>
      <c r="G71" t="inlineStr">
        <is>
          <t>KARLSBORG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43021-2021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46235</v>
      </c>
      <c r="F72" t="inlineStr">
        <is>
          <t>VÄSTRA GÖTALANDS LÄN</t>
        </is>
      </c>
      <c r="G72" t="inlineStr">
        <is>
          <t>KARLSBORG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44595</v>
      </c>
      <c r="E73" s="1" t="n">
        <v>46235</v>
      </c>
      <c r="F73" t="inlineStr">
        <is>
          <t>VÄSTRA GÖTALANDS LÄN</t>
        </is>
      </c>
      <c r="G73" t="inlineStr">
        <is>
          <t>KARLSBORG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53898-2023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45231</v>
      </c>
      <c r="E74" s="1" t="n">
        <v>46235</v>
      </c>
      <c r="F74" t="inlineStr">
        <is>
          <t>VÄSTRA GÖTALANDS LÄN</t>
        </is>
      </c>
      <c r="G74" t="inlineStr">
        <is>
          <t>KARLSBORG</t>
        </is>
      </c>
      <c r="I74" t="n">
        <v>9.5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42757-2024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45566</v>
      </c>
      <c r="E75" s="1" t="n">
        <v>46235</v>
      </c>
      <c r="F75" t="inlineStr">
        <is>
          <t>VÄSTRA GÖTALANDS LÄN</t>
        </is>
      </c>
      <c r="G75" t="inlineStr">
        <is>
          <t>KARLSBORG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42598-2024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45565</v>
      </c>
      <c r="E76" s="1" t="n">
        <v>46235</v>
      </c>
      <c r="F76" t="inlineStr">
        <is>
          <t>VÄSTRA GÖTALANDS LÄN</t>
        </is>
      </c>
      <c r="G76" t="inlineStr">
        <is>
          <t>KARLSBORG</t>
        </is>
      </c>
      <c r="I76" t="n">
        <v>8.9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29490-2025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45824</v>
      </c>
      <c r="E77" s="1" t="n">
        <v>46235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Övriga Aktiebolag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28460-2023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45103</v>
      </c>
      <c r="E78" s="1" t="n">
        <v>46235</v>
      </c>
      <c r="F78" t="inlineStr">
        <is>
          <t>VÄSTRA GÖTALANDS LÄN</t>
        </is>
      </c>
      <c r="G78" t="inlineStr">
        <is>
          <t>KARLSBORG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13076-2023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45002</v>
      </c>
      <c r="E79" s="1" t="n">
        <v>46235</v>
      </c>
      <c r="F79" t="inlineStr">
        <is>
          <t>VÄSTRA GÖTALANDS LÄN</t>
        </is>
      </c>
      <c r="G79" t="inlineStr">
        <is>
          <t>KARLSBORG</t>
        </is>
      </c>
      <c r="I79" t="n">
        <v>2.2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8053-2023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46235</v>
      </c>
      <c r="F80" t="inlineStr">
        <is>
          <t>VÄSTRA GÖTALANDS LÄN</t>
        </is>
      </c>
      <c r="G80" t="inlineStr">
        <is>
          <t>KARLSBORG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18623-2022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44687</v>
      </c>
      <c r="E81" s="1" t="n">
        <v>46235</v>
      </c>
      <c r="F81" t="inlineStr">
        <is>
          <t>VÄSTRA GÖTALANDS LÄN</t>
        </is>
      </c>
      <c r="G81" t="inlineStr">
        <is>
          <t>KARLSBORG</t>
        </is>
      </c>
      <c r="I81" t="n">
        <v>1.8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1454-2023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44937</v>
      </c>
      <c r="E82" s="1" t="n">
        <v>46235</v>
      </c>
      <c r="F82" t="inlineStr">
        <is>
          <t>VÄSTRA GÖTALANDS LÄN</t>
        </is>
      </c>
      <c r="G82" t="inlineStr">
        <is>
          <t>KARLSBORG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41350-2025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45899</v>
      </c>
      <c r="E83" s="1" t="n">
        <v>46235</v>
      </c>
      <c r="F83" t="inlineStr">
        <is>
          <t>VÄSTRA GÖTALANDS LÄN</t>
        </is>
      </c>
      <c r="G83" t="inlineStr">
        <is>
          <t>KARLSBORG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42724-2024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46235</v>
      </c>
      <c r="F84" t="inlineStr">
        <is>
          <t>VÄSTRA GÖTALANDS LÄN</t>
        </is>
      </c>
      <c r="G84" t="inlineStr">
        <is>
          <t>KARLSBORG</t>
        </is>
      </c>
      <c r="I84" t="n">
        <v>8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44985-2024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45575</v>
      </c>
      <c r="E85" s="1" t="n">
        <v>46235</v>
      </c>
      <c r="F85" t="inlineStr">
        <is>
          <t>VÄSTRA GÖTALANDS LÄN</t>
        </is>
      </c>
      <c r="G85" t="inlineStr">
        <is>
          <t>KARLSBORG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42757-2025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45908</v>
      </c>
      <c r="E86" s="1" t="n">
        <v>46235</v>
      </c>
      <c r="F86" t="inlineStr">
        <is>
          <t>VÄSTRA GÖTALANDS LÄN</t>
        </is>
      </c>
      <c r="G86" t="inlineStr">
        <is>
          <t>KARLSBORG</t>
        </is>
      </c>
      <c r="H86" t="inlineStr">
        <is>
          <t>Kyrkan</t>
        </is>
      </c>
      <c r="I86" t="n">
        <v>8.5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17002-2025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45755</v>
      </c>
      <c r="E87" s="1" t="n">
        <v>46235</v>
      </c>
      <c r="F87" t="inlineStr">
        <is>
          <t>VÄSTRA GÖTALANDS LÄN</t>
        </is>
      </c>
      <c r="G87" t="inlineStr">
        <is>
          <t>KARLSBORG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59399-2022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44906</v>
      </c>
      <c r="E88" s="1" t="n">
        <v>46235</v>
      </c>
      <c r="F88" t="inlineStr">
        <is>
          <t>VÄSTRA GÖTALANDS LÄN</t>
        </is>
      </c>
      <c r="G88" t="inlineStr">
        <is>
          <t>KARLSBORG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33122-2022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44785</v>
      </c>
      <c r="E89" s="1" t="n">
        <v>46235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Sveaskog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59401-2022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44906</v>
      </c>
      <c r="E90" s="1" t="n">
        <v>46235</v>
      </c>
      <c r="F90" t="inlineStr">
        <is>
          <t>VÄSTRA GÖTALANDS LÄN</t>
        </is>
      </c>
      <c r="G90" t="inlineStr">
        <is>
          <t>KARLSBORG</t>
        </is>
      </c>
      <c r="I90" t="n">
        <v>1.2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48888-2023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45209</v>
      </c>
      <c r="E91" s="1" t="n">
        <v>46235</v>
      </c>
      <c r="F91" t="inlineStr">
        <is>
          <t>VÄSTRA GÖTALANDS LÄN</t>
        </is>
      </c>
      <c r="G91" t="inlineStr">
        <is>
          <t>KARLSBORG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44366-2025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45916</v>
      </c>
      <c r="E92" s="1" t="n">
        <v>46235</v>
      </c>
      <c r="F92" t="inlineStr">
        <is>
          <t>VÄSTRA GÖTALANDS LÄN</t>
        </is>
      </c>
      <c r="G92" t="inlineStr">
        <is>
          <t>KARLSBORG</t>
        </is>
      </c>
      <c r="H92" t="inlineStr">
        <is>
          <t>Kyrkan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48174-2024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45589</v>
      </c>
      <c r="E93" s="1" t="n">
        <v>46235</v>
      </c>
      <c r="F93" t="inlineStr">
        <is>
          <t>VÄSTRA GÖTALANDS LÄN</t>
        </is>
      </c>
      <c r="G93" t="inlineStr">
        <is>
          <t>KARLSBORG</t>
        </is>
      </c>
      <c r="I93" t="n">
        <v>1.6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34314-2024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45524</v>
      </c>
      <c r="E94" s="1" t="n">
        <v>46235</v>
      </c>
      <c r="F94" t="inlineStr">
        <is>
          <t>VÄSTRA GÖTALANDS LÄN</t>
        </is>
      </c>
      <c r="G94" t="inlineStr">
        <is>
          <t>KARLSBORG</t>
        </is>
      </c>
      <c r="H94" t="inlineStr">
        <is>
          <t>Övriga Aktiebolag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45247-2025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45919</v>
      </c>
      <c r="E95" s="1" t="n">
        <v>46235</v>
      </c>
      <c r="F95" t="inlineStr">
        <is>
          <t>VÄSTRA GÖTALANDS LÄN</t>
        </is>
      </c>
      <c r="G95" t="inlineStr">
        <is>
          <t>KARLSBORG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45256-2025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45919</v>
      </c>
      <c r="E96" s="1" t="n">
        <v>46235</v>
      </c>
      <c r="F96" t="inlineStr">
        <is>
          <t>VÄSTRA GÖTALANDS LÄN</t>
        </is>
      </c>
      <c r="G96" t="inlineStr">
        <is>
          <t>KARLSBORG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4433-2026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46045</v>
      </c>
      <c r="E97" s="1" t="n">
        <v>46235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10.2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35441-2024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45531</v>
      </c>
      <c r="E98" s="1" t="n">
        <v>46235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Sveaskog</t>
        </is>
      </c>
      <c r="I98" t="n">
        <v>9.800000000000001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20937-2026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46142</v>
      </c>
      <c r="E99" s="1" t="n">
        <v>46235</v>
      </c>
      <c r="F99" t="inlineStr">
        <is>
          <t>VÄSTRA GÖTALANDS LÄN</t>
        </is>
      </c>
      <c r="G99" t="inlineStr">
        <is>
          <t>KARLSBORG</t>
        </is>
      </c>
      <c r="H99" t="inlineStr">
        <is>
          <t>Sveaskog</t>
        </is>
      </c>
      <c r="I99" t="n">
        <v>3.9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47265-2025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46235</v>
      </c>
      <c r="F100" t="inlineStr">
        <is>
          <t>VÄSTRA GÖTALANDS LÄN</t>
        </is>
      </c>
      <c r="G100" t="inlineStr">
        <is>
          <t>KARLSBORG</t>
        </is>
      </c>
      <c r="I100" t="n">
        <v>4.8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47262-2025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45930</v>
      </c>
      <c r="E101" s="1" t="n">
        <v>46235</v>
      </c>
      <c r="F101" t="inlineStr">
        <is>
          <t>VÄSTRA GÖTALANDS LÄN</t>
        </is>
      </c>
      <c r="G101" t="inlineStr">
        <is>
          <t>KARLSBORG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412-2023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44929</v>
      </c>
      <c r="E102" s="1" t="n">
        <v>46235</v>
      </c>
      <c r="F102" t="inlineStr">
        <is>
          <t>VÄSTRA GÖTALANDS LÄN</t>
        </is>
      </c>
      <c r="G102" t="inlineStr">
        <is>
          <t>KARLSBORG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  <c r="X102">
        <f>HYPERLINK("https://klasma.github.io/Logging_1446/kartor/A 412-2023 karta.png", "A 412-2023")</f>
        <v/>
      </c>
      <c r="Y102">
        <f>HYPERLINK("https://klasma.github.io/Logging_1446/kartor_geotiff/A 412-2023 georefererad karta.tif", "A 412-2023")</f>
        <v/>
      </c>
      <c r="AA102">
        <f>HYPERLINK("https://klasma.github.io/Logging_1446/klagomål/A 412-2023 FSC-klagomål.docx", "A 412-2023")</f>
        <v/>
      </c>
      <c r="AB102">
        <f>HYPERLINK("https://klasma.github.io/Logging_1446/klagomålsmail/A 412-2023 FSC-klagomål mail.docx", "A 412-2023")</f>
        <v/>
      </c>
      <c r="AC102">
        <f>HYPERLINK("https://klasma.github.io/Logging_1446/tillsyn/A 412-2023 tillsynsbegäran.docx", "A 412-2023")</f>
        <v/>
      </c>
      <c r="AD102">
        <f>HYPERLINK("https://klasma.github.io/Logging_1446/tillsynsmail/A 412-2023 tillsynsbegäran mail.docx", "A 412-2023")</f>
        <v/>
      </c>
    </row>
    <row r="103" ht="15" customHeight="1">
      <c r="A103" t="inlineStr">
        <is>
          <t>A 20940-2026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46142</v>
      </c>
      <c r="E103" s="1" t="n">
        <v>46235</v>
      </c>
      <c r="F103" t="inlineStr">
        <is>
          <t>VÄSTRA GÖTALANDS LÄN</t>
        </is>
      </c>
      <c r="G103" t="inlineStr">
        <is>
          <t>KARLSBORG</t>
        </is>
      </c>
      <c r="H103" t="inlineStr">
        <is>
          <t>Sveaskog</t>
        </is>
      </c>
      <c r="I103" t="n">
        <v>2.3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10828-2024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45369</v>
      </c>
      <c r="E104" s="1" t="n">
        <v>46235</v>
      </c>
      <c r="F104" t="inlineStr">
        <is>
          <t>VÄSTRA GÖTALANDS LÄN</t>
        </is>
      </c>
      <c r="G104" t="inlineStr">
        <is>
          <t>KARLSBORG</t>
        </is>
      </c>
      <c r="I104" t="n">
        <v>0.4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53251-2024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45614</v>
      </c>
      <c r="E105" s="1" t="n">
        <v>46235</v>
      </c>
      <c r="F105" t="inlineStr">
        <is>
          <t>VÄSTRA GÖTALANDS LÄN</t>
        </is>
      </c>
      <c r="G105" t="inlineStr">
        <is>
          <t>KARLSBORG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48129-2025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45933</v>
      </c>
      <c r="E106" s="1" t="n">
        <v>46235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21014-2026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46143</v>
      </c>
      <c r="E107" s="1" t="n">
        <v>46235</v>
      </c>
      <c r="F107" t="inlineStr">
        <is>
          <t>VÄSTRA GÖTALANDS LÄN</t>
        </is>
      </c>
      <c r="G107" t="inlineStr">
        <is>
          <t>KARLSBORG</t>
        </is>
      </c>
      <c r="I107" t="n">
        <v>14.6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37363-2022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44809</v>
      </c>
      <c r="E108" s="1" t="n">
        <v>46235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Sveaskog</t>
        </is>
      </c>
      <c r="I108" t="n">
        <v>4.4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7652-2023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44972</v>
      </c>
      <c r="E109" s="1" t="n">
        <v>46235</v>
      </c>
      <c r="F109" t="inlineStr">
        <is>
          <t>VÄSTRA GÖTALANDS LÄN</t>
        </is>
      </c>
      <c r="G109" t="inlineStr">
        <is>
          <t>KARLSBORG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49866-2025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45940</v>
      </c>
      <c r="E110" s="1" t="n">
        <v>46235</v>
      </c>
      <c r="F110" t="inlineStr">
        <is>
          <t>VÄSTRA GÖTALANDS LÄN</t>
        </is>
      </c>
      <c r="G110" t="inlineStr">
        <is>
          <t>KARLSBORG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49985-2025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45942</v>
      </c>
      <c r="E111" s="1" t="n">
        <v>46235</v>
      </c>
      <c r="F111" t="inlineStr">
        <is>
          <t>VÄSTRA GÖTALANDS LÄN</t>
        </is>
      </c>
      <c r="G111" t="inlineStr">
        <is>
          <t>KARLSBORG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39285-2023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45166</v>
      </c>
      <c r="E112" s="1" t="n">
        <v>46235</v>
      </c>
      <c r="F112" t="inlineStr">
        <is>
          <t>VÄSTRA GÖTALANDS LÄN</t>
        </is>
      </c>
      <c r="G112" t="inlineStr">
        <is>
          <t>KARLSBORG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39287-2023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45166</v>
      </c>
      <c r="E113" s="1" t="n">
        <v>46235</v>
      </c>
      <c r="F113" t="inlineStr">
        <is>
          <t>VÄSTRA GÖTALANDS LÄN</t>
        </is>
      </c>
      <c r="G113" t="inlineStr">
        <is>
          <t>KARLSBORG</t>
        </is>
      </c>
      <c r="I113" t="n">
        <v>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21988-2026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46153</v>
      </c>
      <c r="E114" s="1" t="n">
        <v>46235</v>
      </c>
      <c r="F114" t="inlineStr">
        <is>
          <t>VÄSTRA GÖTALANDS LÄN</t>
        </is>
      </c>
      <c r="G114" t="inlineStr">
        <is>
          <t>KARLSBORG</t>
        </is>
      </c>
      <c r="I114" t="n">
        <v>3.2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59845-2023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45257</v>
      </c>
      <c r="E115" s="1" t="n">
        <v>46235</v>
      </c>
      <c r="F115" t="inlineStr">
        <is>
          <t>VÄSTRA GÖTALANDS LÄN</t>
        </is>
      </c>
      <c r="G115" t="inlineStr">
        <is>
          <t>KARLSBORG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13077-2023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45002</v>
      </c>
      <c r="E116" s="1" t="n">
        <v>46235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58152-2022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44900</v>
      </c>
      <c r="E117" s="1" t="n">
        <v>46235</v>
      </c>
      <c r="F117" t="inlineStr">
        <is>
          <t>VÄSTRA GÖTALANDS LÄN</t>
        </is>
      </c>
      <c r="G117" t="inlineStr">
        <is>
          <t>KARLSBORG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29685-2022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44755</v>
      </c>
      <c r="E118" s="1" t="n">
        <v>46235</v>
      </c>
      <c r="F118" t="inlineStr">
        <is>
          <t>VÄSTRA GÖTALANDS LÄN</t>
        </is>
      </c>
      <c r="G118" t="inlineStr">
        <is>
          <t>KARLSBORG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24594-2022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44727</v>
      </c>
      <c r="E119" s="1" t="n">
        <v>46235</v>
      </c>
      <c r="F119" t="inlineStr">
        <is>
          <t>VÄSTRA GÖTALANDS LÄN</t>
        </is>
      </c>
      <c r="G119" t="inlineStr">
        <is>
          <t>KARLSBORG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14514-2024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45394</v>
      </c>
      <c r="E120" s="1" t="n">
        <v>46235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34670-2022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44795</v>
      </c>
      <c r="E121" s="1" t="n">
        <v>46235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Sveaskog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40128-2023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45169</v>
      </c>
      <c r="E122" s="1" t="n">
        <v>46235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Aktiebolag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58127-2024</t>
        </is>
      </c>
      <c r="B123" t="inlineStr">
        <is>
          <t>avverkningsanmälan</t>
        </is>
      </c>
      <c r="C123" t="inlineStr">
        <is>
          <t>Avverkning för att bevara och utveckla /försöksver</t>
        </is>
      </c>
      <c r="D123" s="1" t="n">
        <v>45632</v>
      </c>
      <c r="E123" s="1" t="n">
        <v>46235</v>
      </c>
      <c r="F123" t="inlineStr">
        <is>
          <t>VÄSTRA GÖTALANDS LÄN</t>
        </is>
      </c>
      <c r="G123" t="inlineStr">
        <is>
          <t>KARLSBORG</t>
        </is>
      </c>
      <c r="H123" t="inlineStr">
        <is>
          <t>Sveaskog</t>
        </is>
      </c>
      <c r="I123" t="n">
        <v>5.8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23469-2024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45453</v>
      </c>
      <c r="E124" s="1" t="n">
        <v>46235</v>
      </c>
      <c r="F124" t="inlineStr">
        <is>
          <t>VÄSTRA GÖTALANDS LÄN</t>
        </is>
      </c>
      <c r="G124" t="inlineStr">
        <is>
          <t>KARLSBORG</t>
        </is>
      </c>
      <c r="I124" t="n">
        <v>8.300000000000001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39699-2025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45890</v>
      </c>
      <c r="E125" s="1" t="n">
        <v>46235</v>
      </c>
      <c r="F125" t="inlineStr">
        <is>
          <t>VÄSTRA GÖTALANDS LÄN</t>
        </is>
      </c>
      <c r="G125" t="inlineStr">
        <is>
          <t>KARLSBORG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53247-2023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45229</v>
      </c>
      <c r="E126" s="1" t="n">
        <v>46235</v>
      </c>
      <c r="F126" t="inlineStr">
        <is>
          <t>VÄSTRA GÖTALANDS LÄN</t>
        </is>
      </c>
      <c r="G126" t="inlineStr">
        <is>
          <t>KARLSBORG</t>
        </is>
      </c>
      <c r="I126" t="n">
        <v>3.7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22886-2026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46160</v>
      </c>
      <c r="E127" s="1" t="n">
        <v>46235</v>
      </c>
      <c r="F127" t="inlineStr">
        <is>
          <t>VÄSTRA GÖTALANDS LÄN</t>
        </is>
      </c>
      <c r="G127" t="inlineStr">
        <is>
          <t>KARLSBORG</t>
        </is>
      </c>
      <c r="H127" t="inlineStr">
        <is>
          <t>Sveaskog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56110-2025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45973</v>
      </c>
      <c r="E128" s="1" t="n">
        <v>46235</v>
      </c>
      <c r="F128" t="inlineStr">
        <is>
          <t>VÄSTRA GÖTALANDS LÄN</t>
        </is>
      </c>
      <c r="G128" t="inlineStr">
        <is>
          <t>KARLSBORG</t>
        </is>
      </c>
      <c r="I128" t="n">
        <v>6.6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22890-2026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46160</v>
      </c>
      <c r="E129" s="1" t="n">
        <v>46235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57581-2025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45980</v>
      </c>
      <c r="E130" s="1" t="n">
        <v>46235</v>
      </c>
      <c r="F130" t="inlineStr">
        <is>
          <t>VÄSTRA GÖTALANDS LÄN</t>
        </is>
      </c>
      <c r="G130" t="inlineStr">
        <is>
          <t>KARLSBORG</t>
        </is>
      </c>
      <c r="I130" t="n">
        <v>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58573-2023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45251</v>
      </c>
      <c r="E131" s="1" t="n">
        <v>46235</v>
      </c>
      <c r="F131" t="inlineStr">
        <is>
          <t>VÄSTRA GÖTALANDS LÄN</t>
        </is>
      </c>
      <c r="G131" t="inlineStr">
        <is>
          <t>KARLSBORG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30262-2026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46235</v>
      </c>
      <c r="F132" t="inlineStr">
        <is>
          <t>VÄSTRA GÖTALANDS LÄN</t>
        </is>
      </c>
      <c r="G132" t="inlineStr">
        <is>
          <t>KARLSBORG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59111-2025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45988</v>
      </c>
      <c r="E133" s="1" t="n">
        <v>46235</v>
      </c>
      <c r="F133" t="inlineStr">
        <is>
          <t>VÄSTRA GÖTALANDS LÄN</t>
        </is>
      </c>
      <c r="G133" t="inlineStr">
        <is>
          <t>KARLSBORG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59697-2025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45992</v>
      </c>
      <c r="E134" s="1" t="n">
        <v>46235</v>
      </c>
      <c r="F134" t="inlineStr">
        <is>
          <t>VÄSTRA GÖTALANDS LÄN</t>
        </is>
      </c>
      <c r="G134" t="inlineStr">
        <is>
          <t>KARLSBORG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15220-2023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45019</v>
      </c>
      <c r="E135" s="1" t="n">
        <v>46235</v>
      </c>
      <c r="F135" t="inlineStr">
        <is>
          <t>VÄSTRA GÖTALANDS LÄN</t>
        </is>
      </c>
      <c r="G135" t="inlineStr">
        <is>
          <t>KARLSBORG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70945-2021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44538</v>
      </c>
      <c r="E136" s="1" t="n">
        <v>46235</v>
      </c>
      <c r="F136" t="inlineStr">
        <is>
          <t>VÄSTRA GÖTALANDS LÄN</t>
        </is>
      </c>
      <c r="G136" t="inlineStr">
        <is>
          <t>KARLSBORG</t>
        </is>
      </c>
      <c r="H136" t="inlineStr">
        <is>
          <t>Övriga Aktiebolag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42710-2024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45566</v>
      </c>
      <c r="E137" s="1" t="n">
        <v>46235</v>
      </c>
      <c r="F137" t="inlineStr">
        <is>
          <t>VÄSTRA GÖTALANDS LÄN</t>
        </is>
      </c>
      <c r="G137" t="inlineStr">
        <is>
          <t>KARLSBORG</t>
        </is>
      </c>
      <c r="I137" t="n">
        <v>5.9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25696-2023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45089</v>
      </c>
      <c r="E138" s="1" t="n">
        <v>46235</v>
      </c>
      <c r="F138" t="inlineStr">
        <is>
          <t>VÄSTRA GÖTALANDS LÄN</t>
        </is>
      </c>
      <c r="G138" t="inlineStr">
        <is>
          <t>KARLSBORG</t>
        </is>
      </c>
      <c r="I138" t="n">
        <v>1.4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42778-2024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45566</v>
      </c>
      <c r="E139" s="1" t="n">
        <v>46235</v>
      </c>
      <c r="F139" t="inlineStr">
        <is>
          <t>VÄSTRA GÖTALANDS LÄN</t>
        </is>
      </c>
      <c r="G139" t="inlineStr">
        <is>
          <t>KARLSBORG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2796-2023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44944</v>
      </c>
      <c r="E140" s="1" t="n">
        <v>46235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Övriga Aktiebolag</t>
        </is>
      </c>
      <c r="I140" t="n">
        <v>8.5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30610-2026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46210</v>
      </c>
      <c r="E141" s="1" t="n">
        <v>46235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Sveaskog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62068-2025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46006</v>
      </c>
      <c r="E142" s="1" t="n">
        <v>46235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Sveaskog</t>
        </is>
      </c>
      <c r="I142" t="n">
        <v>6.6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62072-2025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46006</v>
      </c>
      <c r="E143" s="1" t="n">
        <v>46235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Sveaskog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30609-2026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46210</v>
      </c>
      <c r="E144" s="1" t="n">
        <v>46235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3.7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2784-2023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46235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Aktiebolag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27823-2023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45098</v>
      </c>
      <c r="E146" s="1" t="n">
        <v>46235</v>
      </c>
      <c r="F146" t="inlineStr">
        <is>
          <t>VÄSTRA GÖTALANDS LÄN</t>
        </is>
      </c>
      <c r="G146" t="inlineStr">
        <is>
          <t>KARLSBORG</t>
        </is>
      </c>
      <c r="I146" t="n">
        <v>6.5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40129-2023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45169</v>
      </c>
      <c r="E147" s="1" t="n">
        <v>46235</v>
      </c>
      <c r="F147" t="inlineStr">
        <is>
          <t>VÄSTRA GÖTALANDS LÄN</t>
        </is>
      </c>
      <c r="G147" t="inlineStr">
        <is>
          <t>KARLSBORG</t>
        </is>
      </c>
      <c r="H147" t="inlineStr">
        <is>
          <t>Övriga Aktiebolag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14525-2024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45394</v>
      </c>
      <c r="E148" s="1" t="n">
        <v>46235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24541-2026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46170</v>
      </c>
      <c r="E149" s="1" t="n">
        <v>46235</v>
      </c>
      <c r="F149" t="inlineStr">
        <is>
          <t>VÄSTRA GÖTALANDS LÄN</t>
        </is>
      </c>
      <c r="G149" t="inlineStr">
        <is>
          <t>KARLSBORG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24008-2023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45078</v>
      </c>
      <c r="E150" s="1" t="n">
        <v>46235</v>
      </c>
      <c r="F150" t="inlineStr">
        <is>
          <t>VÄSTRA GÖTALANDS LÄN</t>
        </is>
      </c>
      <c r="G150" t="inlineStr">
        <is>
          <t>KARLSBORG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70783-2021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44537</v>
      </c>
      <c r="E151" s="1" t="n">
        <v>46235</v>
      </c>
      <c r="F151" t="inlineStr">
        <is>
          <t>VÄSTRA GÖTALANDS LÄN</t>
        </is>
      </c>
      <c r="G151" t="inlineStr">
        <is>
          <t>KARLSBORG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57454-2024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45630</v>
      </c>
      <c r="E152" s="1" t="n">
        <v>46235</v>
      </c>
      <c r="F152" t="inlineStr">
        <is>
          <t>VÄSTRA GÖTALANDS LÄN</t>
        </is>
      </c>
      <c r="G152" t="inlineStr">
        <is>
          <t>KARLSBORG</t>
        </is>
      </c>
      <c r="I152" t="n">
        <v>0.9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24724-2026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46171</v>
      </c>
      <c r="E153" s="1" t="n">
        <v>46235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6.5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24725-2026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46171</v>
      </c>
      <c r="E154" s="1" t="n">
        <v>46235</v>
      </c>
      <c r="F154" t="inlineStr">
        <is>
          <t>VÄSTRA GÖTALANDS LÄN</t>
        </is>
      </c>
      <c r="G154" t="inlineStr">
        <is>
          <t>KARLSBORG</t>
        </is>
      </c>
      <c r="H154" t="inlineStr">
        <is>
          <t>Sveaskog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2791-2023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44944</v>
      </c>
      <c r="E155" s="1" t="n">
        <v>46235</v>
      </c>
      <c r="F155" t="inlineStr">
        <is>
          <t>VÄSTRA GÖTALANDS LÄN</t>
        </is>
      </c>
      <c r="G155" t="inlineStr">
        <is>
          <t>KARLSBORG</t>
        </is>
      </c>
      <c r="H155" t="inlineStr">
        <is>
          <t>Övriga Aktiebolag</t>
        </is>
      </c>
      <c r="I155" t="n">
        <v>6.4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64011-2025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46021</v>
      </c>
      <c r="E156" s="1" t="n">
        <v>46235</v>
      </c>
      <c r="F156" t="inlineStr">
        <is>
          <t>VÄSTRA GÖTALANDS LÄN</t>
        </is>
      </c>
      <c r="G156" t="inlineStr">
        <is>
          <t>KARLSBORG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64012-2025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46021</v>
      </c>
      <c r="E157" s="1" t="n">
        <v>46235</v>
      </c>
      <c r="F157" t="inlineStr">
        <is>
          <t>VÄSTRA GÖTALANDS LÄN</t>
        </is>
      </c>
      <c r="G157" t="inlineStr">
        <is>
          <t>KARLSBORG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64025-2025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46021</v>
      </c>
      <c r="E158" s="1" t="n">
        <v>46235</v>
      </c>
      <c r="F158" t="inlineStr">
        <is>
          <t>VÄSTRA GÖTALANDS LÄN</t>
        </is>
      </c>
      <c r="G158" t="inlineStr">
        <is>
          <t>KARLSBORG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45019-2024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45575</v>
      </c>
      <c r="E159" s="1" t="n">
        <v>46235</v>
      </c>
      <c r="F159" t="inlineStr">
        <is>
          <t>VÄSTRA GÖTALANDS LÄN</t>
        </is>
      </c>
      <c r="G159" t="inlineStr">
        <is>
          <t>KARLSBORG</t>
        </is>
      </c>
      <c r="I159" t="n">
        <v>1.7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48884-2023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45209</v>
      </c>
      <c r="E160" s="1" t="n">
        <v>46235</v>
      </c>
      <c r="F160" t="inlineStr">
        <is>
          <t>VÄSTRA GÖTALANDS LÄN</t>
        </is>
      </c>
      <c r="G160" t="inlineStr">
        <is>
          <t>KARLSBORG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4430-2026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46045</v>
      </c>
      <c r="E161" s="1" t="n">
        <v>46235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Övriga Aktiebolag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4454-2026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46045</v>
      </c>
      <c r="E162" s="1" t="n">
        <v>46235</v>
      </c>
      <c r="F162" t="inlineStr">
        <is>
          <t>VÄSTRA GÖTALANDS LÄN</t>
        </is>
      </c>
      <c r="G162" t="inlineStr">
        <is>
          <t>KARLSBORG</t>
        </is>
      </c>
      <c r="H162" t="inlineStr">
        <is>
          <t>Övriga Aktiebolag</t>
        </is>
      </c>
      <c r="I162" t="n">
        <v>2.9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4439-2026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46045</v>
      </c>
      <c r="E163" s="1" t="n">
        <v>46235</v>
      </c>
      <c r="F163" t="inlineStr">
        <is>
          <t>VÄSTRA GÖTALANDS LÄN</t>
        </is>
      </c>
      <c r="G163" t="inlineStr">
        <is>
          <t>KARLSBORG</t>
        </is>
      </c>
      <c r="H163" t="inlineStr">
        <is>
          <t>Övriga Aktiebolag</t>
        </is>
      </c>
      <c r="I163" t="n">
        <v>14.3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34120-2024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45524</v>
      </c>
      <c r="E164" s="1" t="n">
        <v>46235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34123-2024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45524</v>
      </c>
      <c r="E165" s="1" t="n">
        <v>46235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1.8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34125-2024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45524</v>
      </c>
      <c r="E166" s="1" t="n">
        <v>46235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Övriga Aktiebolag</t>
        </is>
      </c>
      <c r="I166" t="n">
        <v>0.1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46235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6035-2026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46052</v>
      </c>
      <c r="E168" s="1" t="n">
        <v>46235</v>
      </c>
      <c r="F168" t="inlineStr">
        <is>
          <t>VÄSTRA GÖTALANDS LÄN</t>
        </is>
      </c>
      <c r="G168" t="inlineStr">
        <is>
          <t>KARLSBORG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59887-2021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44494</v>
      </c>
      <c r="E169" s="1" t="n">
        <v>46235</v>
      </c>
      <c r="F169" t="inlineStr">
        <is>
          <t>VÄSTRA GÖTALANDS LÄN</t>
        </is>
      </c>
      <c r="G169" t="inlineStr">
        <is>
          <t>KARLSBORG</t>
        </is>
      </c>
      <c r="H169" t="inlineStr">
        <is>
          <t>Övriga statliga verk och myndigheter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59890-2021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44494</v>
      </c>
      <c r="E170" s="1" t="n">
        <v>46235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Övriga statliga verk och myndigheter</t>
        </is>
      </c>
      <c r="I170" t="n">
        <v>1.7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10007-2025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45719</v>
      </c>
      <c r="E171" s="1" t="n">
        <v>46235</v>
      </c>
      <c r="F171" t="inlineStr">
        <is>
          <t>VÄSTRA GÖTALANDS LÄN</t>
        </is>
      </c>
      <c r="G171" t="inlineStr">
        <is>
          <t>KARLSBORG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6408-2026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46055</v>
      </c>
      <c r="E172" s="1" t="n">
        <v>46235</v>
      </c>
      <c r="F172" t="inlineStr">
        <is>
          <t>VÄSTRA GÖTALANDS LÄN</t>
        </is>
      </c>
      <c r="G172" t="inlineStr">
        <is>
          <t>KARLSBORG</t>
        </is>
      </c>
      <c r="I172" t="n">
        <v>7.3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63732-2025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46010</v>
      </c>
      <c r="E173" s="1" t="n">
        <v>46235</v>
      </c>
      <c r="F173" t="inlineStr">
        <is>
          <t>VÄSTRA GÖTALANDS LÄN</t>
        </is>
      </c>
      <c r="G173" t="inlineStr">
        <is>
          <t>KARLSBORG</t>
        </is>
      </c>
      <c r="H173" t="inlineStr">
        <is>
          <t>Övriga statliga verk och myndigheter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63733-2025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46010</v>
      </c>
      <c r="E174" s="1" t="n">
        <v>46235</v>
      </c>
      <c r="F174" t="inlineStr">
        <is>
          <t>VÄSTRA GÖTALANDS LÄN</t>
        </is>
      </c>
      <c r="G174" t="inlineStr">
        <is>
          <t>KARLSBORG</t>
        </is>
      </c>
      <c r="H174" t="inlineStr">
        <is>
          <t>Övriga statliga verk och myndigheter</t>
        </is>
      </c>
      <c r="I174" t="n">
        <v>5.4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7644-2026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46062</v>
      </c>
      <c r="E175" s="1" t="n">
        <v>46235</v>
      </c>
      <c r="F175" t="inlineStr">
        <is>
          <t>VÄSTRA GÖTALANDS LÄN</t>
        </is>
      </c>
      <c r="G175" t="inlineStr">
        <is>
          <t>KARLSBORG</t>
        </is>
      </c>
      <c r="I175" t="n">
        <v>5.7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56495-2023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45243</v>
      </c>
      <c r="E176" s="1" t="n">
        <v>46235</v>
      </c>
      <c r="F176" t="inlineStr">
        <is>
          <t>VÄSTRA GÖTALANDS LÄN</t>
        </is>
      </c>
      <c r="G176" t="inlineStr">
        <is>
          <t>KARLSBORG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63731-2025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46010</v>
      </c>
      <c r="E177" s="1" t="n">
        <v>46235</v>
      </c>
      <c r="F177" t="inlineStr">
        <is>
          <t>VÄSTRA GÖTALANDS LÄN</t>
        </is>
      </c>
      <c r="G177" t="inlineStr">
        <is>
          <t>KARLSBORG</t>
        </is>
      </c>
      <c r="H177" t="inlineStr">
        <is>
          <t>Övriga statliga verk och myndigheter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63734-2025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46010</v>
      </c>
      <c r="E178" s="1" t="n">
        <v>46235</v>
      </c>
      <c r="F178" t="inlineStr">
        <is>
          <t>VÄSTRA GÖTALANDS LÄN</t>
        </is>
      </c>
      <c r="G178" t="inlineStr">
        <is>
          <t>KARLSBORG</t>
        </is>
      </c>
      <c r="H178" t="inlineStr">
        <is>
          <t>Övriga statliga verk och myndigheter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31798-2026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46230</v>
      </c>
      <c r="E179" s="1" t="n">
        <v>46235</v>
      </c>
      <c r="F179" t="inlineStr">
        <is>
          <t>VÄSTRA GÖTALANDS LÄN</t>
        </is>
      </c>
      <c r="G179" t="inlineStr">
        <is>
          <t>KARLSBORG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27333-2026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46188</v>
      </c>
      <c r="E180" s="1" t="n">
        <v>46235</v>
      </c>
      <c r="F180" t="inlineStr">
        <is>
          <t>VÄSTRA GÖTALANDS LÄN</t>
        </is>
      </c>
      <c r="G180" t="inlineStr">
        <is>
          <t>KARLSBORG</t>
        </is>
      </c>
      <c r="H180" t="inlineStr">
        <is>
          <t>Sveaskog</t>
        </is>
      </c>
      <c r="I180" t="n">
        <v>2.3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69341-2021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44531</v>
      </c>
      <c r="E181" s="1" t="n">
        <v>46235</v>
      </c>
      <c r="F181" t="inlineStr">
        <is>
          <t>VÄSTRA GÖTALANDS LÄN</t>
        </is>
      </c>
      <c r="G181" t="inlineStr">
        <is>
          <t>KARLSBORG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9130-2026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46069</v>
      </c>
      <c r="E182" s="1" t="n">
        <v>46235</v>
      </c>
      <c r="F182" t="inlineStr">
        <is>
          <t>VÄSTRA GÖTALANDS LÄN</t>
        </is>
      </c>
      <c r="G182" t="inlineStr">
        <is>
          <t>KARLSBORG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43709-2024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45569</v>
      </c>
      <c r="E183" s="1" t="n">
        <v>46235</v>
      </c>
      <c r="F183" t="inlineStr">
        <is>
          <t>VÄSTRA GÖTALANDS LÄN</t>
        </is>
      </c>
      <c r="G183" t="inlineStr">
        <is>
          <t>KARLSBORG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27332-2026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46188</v>
      </c>
      <c r="E184" s="1" t="n">
        <v>46235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12.6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27349-2026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46188</v>
      </c>
      <c r="E185" s="1" t="n">
        <v>46235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3.6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51111-2024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45603</v>
      </c>
      <c r="E186" s="1" t="n">
        <v>46235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27906-2026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46191</v>
      </c>
      <c r="E187" s="1" t="n">
        <v>46235</v>
      </c>
      <c r="F187" t="inlineStr">
        <is>
          <t>VÄSTRA GÖTALANDS LÄN</t>
        </is>
      </c>
      <c r="G187" t="inlineStr">
        <is>
          <t>KARLSBORG</t>
        </is>
      </c>
      <c r="I187" t="n">
        <v>5.2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57913-2024</t>
        </is>
      </c>
      <c r="B188" t="inlineStr">
        <is>
          <t>avverkningsanmälan</t>
        </is>
      </c>
      <c r="C188" t="inlineStr">
        <is>
          <t>Avverkning för att bevara och utveckla /försöksver</t>
        </is>
      </c>
      <c r="D188" s="1" t="n">
        <v>45631</v>
      </c>
      <c r="E188" s="1" t="n">
        <v>46235</v>
      </c>
      <c r="F188" t="inlineStr">
        <is>
          <t>VÄSTRA GÖTALANDS LÄN</t>
        </is>
      </c>
      <c r="G188" t="inlineStr">
        <is>
          <t>KARLSBORG</t>
        </is>
      </c>
      <c r="H188" t="inlineStr">
        <is>
          <t>Sveaskog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14738-2025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45742</v>
      </c>
      <c r="E189" s="1" t="n">
        <v>46235</v>
      </c>
      <c r="F189" t="inlineStr">
        <is>
          <t>VÄSTRA GÖTALANDS LÄN</t>
        </is>
      </c>
      <c r="G189" t="inlineStr">
        <is>
          <t>KARLSBORG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42661-2021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44428</v>
      </c>
      <c r="E190" s="1" t="n">
        <v>46235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Kyrkan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10907-2026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46079</v>
      </c>
      <c r="E191" s="1" t="n">
        <v>46235</v>
      </c>
      <c r="F191" t="inlineStr">
        <is>
          <t>VÄSTRA GÖTALANDS LÄN</t>
        </is>
      </c>
      <c r="G191" t="inlineStr">
        <is>
          <t>KARLSBORG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23500-2023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45076</v>
      </c>
      <c r="E192" s="1" t="n">
        <v>46235</v>
      </c>
      <c r="F192" t="inlineStr">
        <is>
          <t>VÄSTRA GÖTALANDS LÄN</t>
        </is>
      </c>
      <c r="G192" t="inlineStr">
        <is>
          <t>KARLSBORG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38073-2023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45160</v>
      </c>
      <c r="E193" s="1" t="n">
        <v>46235</v>
      </c>
      <c r="F193" t="inlineStr">
        <is>
          <t>VÄSTRA GÖTALANDS LÄN</t>
        </is>
      </c>
      <c r="G193" t="inlineStr">
        <is>
          <t>KARLSBORG</t>
        </is>
      </c>
      <c r="I193" t="n">
        <v>2.9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41937-2024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45561</v>
      </c>
      <c r="E194" s="1" t="n">
        <v>46235</v>
      </c>
      <c r="F194" t="inlineStr">
        <is>
          <t>VÄSTRA GÖTALANDS LÄN</t>
        </is>
      </c>
      <c r="G194" t="inlineStr">
        <is>
          <t>KARLSBORG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54444-2023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45233</v>
      </c>
      <c r="E195" s="1" t="n">
        <v>46235</v>
      </c>
      <c r="F195" t="inlineStr">
        <is>
          <t>VÄSTRA GÖTALANDS LÄN</t>
        </is>
      </c>
      <c r="G195" t="inlineStr">
        <is>
          <t>KARLSBORG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50985-2023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45218</v>
      </c>
      <c r="E196" s="1" t="n">
        <v>46235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28528-2024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45478</v>
      </c>
      <c r="E197" s="1" t="n">
        <v>46235</v>
      </c>
      <c r="F197" t="inlineStr">
        <is>
          <t>VÄSTRA GÖTALANDS LÄN</t>
        </is>
      </c>
      <c r="G197" t="inlineStr">
        <is>
          <t>KARLSBORG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13252-2024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45386</v>
      </c>
      <c r="E198" s="1" t="n">
        <v>46235</v>
      </c>
      <c r="F198" t="inlineStr">
        <is>
          <t>VÄSTRA GÖTALANDS LÄN</t>
        </is>
      </c>
      <c r="G198" t="inlineStr">
        <is>
          <t>KARLSBORG</t>
        </is>
      </c>
      <c r="I198" t="n">
        <v>1.8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41943-2024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45561</v>
      </c>
      <c r="E199" s="1" t="n">
        <v>46235</v>
      </c>
      <c r="F199" t="inlineStr">
        <is>
          <t>VÄSTRA GÖTALANDS LÄN</t>
        </is>
      </c>
      <c r="G199" t="inlineStr">
        <is>
          <t>KARLSBORG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7977-2025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45707</v>
      </c>
      <c r="E200" s="1" t="n">
        <v>46235</v>
      </c>
      <c r="F200" t="inlineStr">
        <is>
          <t>VÄSTRA GÖTALANDS LÄN</t>
        </is>
      </c>
      <c r="G200" t="inlineStr">
        <is>
          <t>KARLSBORG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56545-2023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45243</v>
      </c>
      <c r="E201" s="1" t="n">
        <v>46235</v>
      </c>
      <c r="F201" t="inlineStr">
        <is>
          <t>VÄSTRA GÖTALANDS LÄN</t>
        </is>
      </c>
      <c r="G201" t="inlineStr">
        <is>
          <t>KARLSBORG</t>
        </is>
      </c>
      <c r="H201" t="inlineStr">
        <is>
          <t>Sveaskog</t>
        </is>
      </c>
      <c r="I201" t="n">
        <v>1.4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57915-2024</t>
        </is>
      </c>
      <c r="B202" t="inlineStr">
        <is>
          <t>avverkningsanmälan</t>
        </is>
      </c>
      <c r="C202" t="inlineStr">
        <is>
          <t>Avverkning för att bevara och utveckla /försöksver</t>
        </is>
      </c>
      <c r="D202" s="1" t="n">
        <v>45631</v>
      </c>
      <c r="E202" s="1" t="n">
        <v>46235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Sveaskog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53909-2023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45231</v>
      </c>
      <c r="E203" s="1" t="n">
        <v>46235</v>
      </c>
      <c r="F203" t="inlineStr">
        <is>
          <t>VÄSTRA GÖTALANDS LÄN</t>
        </is>
      </c>
      <c r="G203" t="inlineStr">
        <is>
          <t>KARLSBORG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44577-2023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45183</v>
      </c>
      <c r="E204" s="1" t="n">
        <v>46235</v>
      </c>
      <c r="F204" t="inlineStr">
        <is>
          <t>VÄSTRA GÖTALANDS LÄN</t>
        </is>
      </c>
      <c r="G204" t="inlineStr">
        <is>
          <t>KARLSBORG</t>
        </is>
      </c>
      <c r="I204" t="n">
        <v>2.2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53898-2021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44469</v>
      </c>
      <c r="E205" s="1" t="n">
        <v>46235</v>
      </c>
      <c r="F205" t="inlineStr">
        <is>
          <t>VÄSTRA GÖTALANDS LÄN</t>
        </is>
      </c>
      <c r="G205" t="inlineStr">
        <is>
          <t>KARLSBORG</t>
        </is>
      </c>
      <c r="I205" t="n">
        <v>2.2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18519-2026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46127</v>
      </c>
      <c r="E206" s="1" t="n">
        <v>46235</v>
      </c>
      <c r="F206" t="inlineStr">
        <is>
          <t>VÄSTRA GÖTALANDS LÄN</t>
        </is>
      </c>
      <c r="G206" t="inlineStr">
        <is>
          <t>KARLSBORG</t>
        </is>
      </c>
      <c r="H206" t="inlineStr">
        <is>
          <t>Sveaskog</t>
        </is>
      </c>
      <c r="I206" t="n">
        <v>4.1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45224-2021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44439</v>
      </c>
      <c r="E207" s="1" t="n">
        <v>46235</v>
      </c>
      <c r="F207" t="inlineStr">
        <is>
          <t>VÄSTRA GÖTALANDS LÄN</t>
        </is>
      </c>
      <c r="G207" t="inlineStr">
        <is>
          <t>KARLSBORG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18541-2026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46127</v>
      </c>
      <c r="E208" s="1" t="n">
        <v>46235</v>
      </c>
      <c r="F208" t="inlineStr">
        <is>
          <t>VÄSTRA GÖTALANDS LÄN</t>
        </is>
      </c>
      <c r="G208" t="inlineStr">
        <is>
          <t>KARLSBORG</t>
        </is>
      </c>
      <c r="H208" t="inlineStr">
        <is>
          <t>Sveaskog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18544-2026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46127</v>
      </c>
      <c r="E209" s="1" t="n">
        <v>46235</v>
      </c>
      <c r="F209" t="inlineStr">
        <is>
          <t>VÄSTRA GÖTALANDS LÄN</t>
        </is>
      </c>
      <c r="G209" t="inlineStr">
        <is>
          <t>KARLSBORG</t>
        </is>
      </c>
      <c r="H209" t="inlineStr">
        <is>
          <t>Sveaskog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18546-2026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46127</v>
      </c>
      <c r="E210" s="1" t="n">
        <v>46235</v>
      </c>
      <c r="F210" t="inlineStr">
        <is>
          <t>VÄSTRA GÖTALANDS LÄN</t>
        </is>
      </c>
      <c r="G210" t="inlineStr">
        <is>
          <t>KARLSBORG</t>
        </is>
      </c>
      <c r="H210" t="inlineStr">
        <is>
          <t>Sveaskog</t>
        </is>
      </c>
      <c r="I210" t="n">
        <v>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18518-2026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46127</v>
      </c>
      <c r="E211" s="1" t="n">
        <v>46235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18564-2026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46127</v>
      </c>
      <c r="E212" s="1" t="n">
        <v>46235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10415-2025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45720</v>
      </c>
      <c r="E213" s="1" t="n">
        <v>46235</v>
      </c>
      <c r="F213" t="inlineStr">
        <is>
          <t>VÄSTRA GÖTALANDS LÄN</t>
        </is>
      </c>
      <c r="G213" t="inlineStr">
        <is>
          <t>KARLSBORG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59047-2023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45252</v>
      </c>
      <c r="E214" s="1" t="n">
        <v>46235</v>
      </c>
      <c r="F214" t="inlineStr">
        <is>
          <t>VÄSTRA GÖTALANDS LÄN</t>
        </is>
      </c>
      <c r="G214" t="inlineStr">
        <is>
          <t>KARLSBORG</t>
        </is>
      </c>
      <c r="H214" t="inlineStr">
        <is>
          <t>Övriga Aktiebolag</t>
        </is>
      </c>
      <c r="I214" t="n">
        <v>7.4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46235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37383-2022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44809</v>
      </c>
      <c r="E216" s="1" t="n">
        <v>46235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22435-2025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45786</v>
      </c>
      <c r="E217" s="1" t="n">
        <v>46235</v>
      </c>
      <c r="F217" t="inlineStr">
        <is>
          <t>VÄSTRA GÖTALANDS LÄN</t>
        </is>
      </c>
      <c r="G217" t="inlineStr">
        <is>
          <t>KARLSBORG</t>
        </is>
      </c>
      <c r="H217" t="inlineStr">
        <is>
          <t>Sveaskog</t>
        </is>
      </c>
      <c r="I217" t="n">
        <v>1.7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48385-2025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45933</v>
      </c>
      <c r="E218" s="1" t="n">
        <v>46235</v>
      </c>
      <c r="F218" t="inlineStr">
        <is>
          <t>VÄSTRA GÖTALANDS LÄN</t>
        </is>
      </c>
      <c r="G218" t="inlineStr">
        <is>
          <t>KARLSBORG</t>
        </is>
      </c>
      <c r="H218" t="inlineStr">
        <is>
          <t>Sveaskog</t>
        </is>
      </c>
      <c r="I218" t="n">
        <v>9.4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22761-2025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45789</v>
      </c>
      <c r="E219" s="1" t="n">
        <v>46235</v>
      </c>
      <c r="F219" t="inlineStr">
        <is>
          <t>VÄSTRA GÖTALANDS LÄN</t>
        </is>
      </c>
      <c r="G219" t="inlineStr">
        <is>
          <t>KARLSBORG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42825-2024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45566</v>
      </c>
      <c r="E220" s="1" t="n">
        <v>46235</v>
      </c>
      <c r="F220" t="inlineStr">
        <is>
          <t>VÄSTRA GÖTALANDS LÄN</t>
        </is>
      </c>
      <c r="G220" t="inlineStr">
        <is>
          <t>KARLSBORG</t>
        </is>
      </c>
      <c r="I220" t="n">
        <v>4.8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59045-2023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45252</v>
      </c>
      <c r="E221" s="1" t="n">
        <v>46235</v>
      </c>
      <c r="F221" t="inlineStr">
        <is>
          <t>VÄSTRA GÖTALANDS LÄN</t>
        </is>
      </c>
      <c r="G221" t="inlineStr">
        <is>
          <t>KARLSBORG</t>
        </is>
      </c>
      <c r="H221" t="inlineStr">
        <is>
          <t>Övriga Aktiebolag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57235-2022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44895</v>
      </c>
      <c r="E222" s="1" t="n">
        <v>46235</v>
      </c>
      <c r="F222" t="inlineStr">
        <is>
          <t>VÄSTRA GÖTALANDS LÄN</t>
        </is>
      </c>
      <c r="G222" t="inlineStr">
        <is>
          <t>KARLSBORG</t>
        </is>
      </c>
      <c r="I222" t="n">
        <v>2.8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10667-2025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45721</v>
      </c>
      <c r="E223" s="1" t="n">
        <v>46235</v>
      </c>
      <c r="F223" t="inlineStr">
        <is>
          <t>VÄSTRA GÖTALANDS LÄN</t>
        </is>
      </c>
      <c r="G223" t="inlineStr">
        <is>
          <t>KARLSBORG</t>
        </is>
      </c>
      <c r="I223" t="n">
        <v>2.7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3575-2025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45680</v>
      </c>
      <c r="E224" s="1" t="n">
        <v>46235</v>
      </c>
      <c r="F224" t="inlineStr">
        <is>
          <t>VÄSTRA GÖTALANDS LÄN</t>
        </is>
      </c>
      <c r="G224" t="inlineStr">
        <is>
          <t>KARLSBORG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35040-2024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45527</v>
      </c>
      <c r="E225" s="1" t="n">
        <v>46235</v>
      </c>
      <c r="F225" t="inlineStr">
        <is>
          <t>VÄSTRA GÖTALANDS LÄN</t>
        </is>
      </c>
      <c r="G225" t="inlineStr">
        <is>
          <t>KARLSBORG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59404-2022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44906</v>
      </c>
      <c r="E226" s="1" t="n">
        <v>46235</v>
      </c>
      <c r="F226" t="inlineStr">
        <is>
          <t>VÄSTRA GÖTALANDS LÄN</t>
        </is>
      </c>
      <c r="G226" t="inlineStr">
        <is>
          <t>KARLSBORG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57727-2024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45630</v>
      </c>
      <c r="E227" s="1" t="n">
        <v>46235</v>
      </c>
      <c r="F227" t="inlineStr">
        <is>
          <t>VÄSTRA GÖTALANDS LÄN</t>
        </is>
      </c>
      <c r="G227" t="inlineStr">
        <is>
          <t>KARLSBORG</t>
        </is>
      </c>
      <c r="H227" t="inlineStr">
        <is>
          <t>Övriga Aktiebolag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62304-2021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44503</v>
      </c>
      <c r="E228" s="1" t="n">
        <v>46235</v>
      </c>
      <c r="F228" t="inlineStr">
        <is>
          <t>VÄSTRA GÖTALANDS LÄN</t>
        </is>
      </c>
      <c r="G228" t="inlineStr">
        <is>
          <t>KARLSBORG</t>
        </is>
      </c>
      <c r="H228" t="inlineStr">
        <is>
          <t>Sveaskog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15958-2022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44664</v>
      </c>
      <c r="E229" s="1" t="n">
        <v>46235</v>
      </c>
      <c r="F229" t="inlineStr">
        <is>
          <t>VÄSTRA GÖTALANDS LÄN</t>
        </is>
      </c>
      <c r="G229" t="inlineStr">
        <is>
          <t>KARLSBORG</t>
        </is>
      </c>
      <c r="H229" t="inlineStr">
        <is>
          <t>Övriga Aktiebolag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25982-2025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45804</v>
      </c>
      <c r="E230" s="1" t="n">
        <v>46235</v>
      </c>
      <c r="F230" t="inlineStr">
        <is>
          <t>VÄSTRA GÖTALANDS LÄN</t>
        </is>
      </c>
      <c r="G230" t="inlineStr">
        <is>
          <t>KARLSBORG</t>
        </is>
      </c>
      <c r="H230" t="inlineStr">
        <is>
          <t>Övriga Aktiebolag</t>
        </is>
      </c>
      <c r="I230" t="n">
        <v>6.1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7978-2025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45707</v>
      </c>
      <c r="E231" s="1" t="n">
        <v>46235</v>
      </c>
      <c r="F231" t="inlineStr">
        <is>
          <t>VÄSTRA GÖTALANDS LÄN</t>
        </is>
      </c>
      <c r="G231" t="inlineStr">
        <is>
          <t>KARLSBORG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31770-2025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45834</v>
      </c>
      <c r="E232" s="1" t="n">
        <v>46235</v>
      </c>
      <c r="F232" t="inlineStr">
        <is>
          <t>VÄSTRA GÖTALANDS LÄN</t>
        </is>
      </c>
      <c r="G232" t="inlineStr">
        <is>
          <t>KARLSBORG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31701-2025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45834</v>
      </c>
      <c r="E233" s="1" t="n">
        <v>46235</v>
      </c>
      <c r="F233" t="inlineStr">
        <is>
          <t>VÄSTRA GÖTALANDS LÄN</t>
        </is>
      </c>
      <c r="G233" t="inlineStr">
        <is>
          <t>KARLSBORG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32128-2025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45835</v>
      </c>
      <c r="E234" s="1" t="n">
        <v>46235</v>
      </c>
      <c r="F234" t="inlineStr">
        <is>
          <t>VÄSTRA GÖTALANDS LÄN</t>
        </is>
      </c>
      <c r="G234" t="inlineStr">
        <is>
          <t>KARLSBORG</t>
        </is>
      </c>
      <c r="H234" t="inlineStr">
        <is>
          <t>Sveaskog</t>
        </is>
      </c>
      <c r="I234" t="n">
        <v>3.6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9788-2025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45716</v>
      </c>
      <c r="E235" s="1" t="n">
        <v>46235</v>
      </c>
      <c r="F235" t="inlineStr">
        <is>
          <t>VÄSTRA GÖTALANDS LÄN</t>
        </is>
      </c>
      <c r="G235" t="inlineStr">
        <is>
          <t>KARLSBORG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61559-2023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45265</v>
      </c>
      <c r="E236" s="1" t="n">
        <v>46235</v>
      </c>
      <c r="F236" t="inlineStr">
        <is>
          <t>VÄSTRA GÖTALANDS LÄN</t>
        </is>
      </c>
      <c r="G236" t="inlineStr">
        <is>
          <t>KARLSBORG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35930-2025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45862</v>
      </c>
      <c r="E237" s="1" t="n">
        <v>46235</v>
      </c>
      <c r="F237" t="inlineStr">
        <is>
          <t>VÄSTRA GÖTALANDS LÄN</t>
        </is>
      </c>
      <c r="G237" t="inlineStr">
        <is>
          <t>KARLSBORG</t>
        </is>
      </c>
      <c r="I237" t="n">
        <v>0.8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S 2395-2024</t>
        </is>
      </c>
      <c r="B238" t="inlineStr">
        <is>
          <t>samrådsanmälan</t>
        </is>
      </c>
      <c r="C238" t="inlineStr">
        <is>
          <t>Annan skogsbruksåtgärd</t>
        </is>
      </c>
      <c r="D238" s="1" t="n">
        <v>45468</v>
      </c>
      <c r="E238" s="1" t="n">
        <v>46235</v>
      </c>
      <c r="F238" t="inlineStr">
        <is>
          <t>VÄSTRA GÖTALANDS LÄN</t>
        </is>
      </c>
      <c r="G238" t="inlineStr">
        <is>
          <t>KARLSBORG</t>
        </is>
      </c>
      <c r="H238" t="inlineStr">
        <is>
          <t>Sveaskog</t>
        </is>
      </c>
      <c r="I238" t="n">
        <v>0.1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>
      <c r="A239" t="inlineStr">
        <is>
          <t>S 343-2026</t>
        </is>
      </c>
      <c r="B239" t="inlineStr">
        <is>
          <t>samrådsanmälan</t>
        </is>
      </c>
      <c r="C239" t="inlineStr">
        <is>
          <t>Skogsgödsling</t>
        </is>
      </c>
      <c r="D239" s="1" t="n">
        <v>46059</v>
      </c>
      <c r="E239" s="1" t="n">
        <v>46235</v>
      </c>
      <c r="F239" t="inlineStr">
        <is>
          <t>VÄSTRA GÖTALANDS LÄN</t>
        </is>
      </c>
      <c r="G239" t="inlineStr">
        <is>
          <t>KARLSBORG</t>
        </is>
      </c>
      <c r="I239" t="n">
        <v>25.7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2026-08-01T01:47:28Z</dcterms:created>
  <dcterms:modified xmlns:dcterms="http://purl.org/dc/terms/" xmlns:xsi="http://www.w3.org/2001/XMLSchema-instance" xsi:type="dcterms:W3CDTF">2026-08-01T01:47:29Z</dcterms:modified>
</cp:coreProperties>
</file>