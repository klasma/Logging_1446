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46314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46314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46314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46314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46314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46314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46314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46314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46314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46314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46314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46314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46314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46314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8984-2025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46314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Övriga Aktiebolag</t>
        </is>
      </c>
      <c r="I16" t="n">
        <v>9.5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Tjäder</t>
        </is>
      </c>
      <c r="W16">
        <f>HYPERLINK("https://klasma.github.io/Logging_1446/artfynd/A 8984-2025 artfynd.xlsx", "A 8984-2025")</f>
        <v/>
      </c>
      <c r="X16">
        <f>HYPERLINK("https://klasma.github.io/Logging_1446/kartor/A 8984-2025 karta.png", "A 8984-2025")</f>
        <v/>
      </c>
      <c r="Y16">
        <f>HYPERLINK("https://klasma.github.io/Logging_1446/kartor_geotiff/A 8984-2025 georefererad karta.tif", "A 8984-2025")</f>
        <v/>
      </c>
      <c r="AA16">
        <f>HYPERLINK("https://klasma.github.io/Logging_1446/klagomål/A 8984-2025 FSC-klagomål.docx", "A 8984-2025")</f>
        <v/>
      </c>
      <c r="AB16">
        <f>HYPERLINK("https://klasma.github.io/Logging_1446/klagomålsmail/A 8984-2025 FSC-klagomål mail.docx", "A 8984-2025")</f>
        <v/>
      </c>
      <c r="AC16">
        <f>HYPERLINK("https://klasma.github.io/Logging_1446/tillsyn/A 8984-2025 tillsynsbegäran.docx", "A 8984-2025")</f>
        <v/>
      </c>
      <c r="AD16">
        <f>HYPERLINK("https://klasma.github.io/Logging_1446/tillsynsmail/A 8984-2025 tillsynsbegäran mail.docx", "A 8984-2025")</f>
        <v/>
      </c>
      <c r="AE16">
        <f>HYPERLINK("https://klasma.github.io/Logging_1446/fåglar/A 8984-2025 prioriterade fågelarter.docx", "A 8984-2025")</f>
        <v/>
      </c>
    </row>
    <row r="17" ht="15" customHeight="1">
      <c r="A17" t="inlineStr">
        <is>
          <t>A 42778-2024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45566</v>
      </c>
      <c r="E17" s="1" t="n">
        <v>46314</v>
      </c>
      <c r="F17" t="inlineStr">
        <is>
          <t>VÄSTRA GÖTALANDS LÄN</t>
        </is>
      </c>
      <c r="G17" t="inlineStr">
        <is>
          <t>KARLSBORG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HYPERLINK("https://klasma.github.io/Logging_1446/artfynd/A 42778-2024 artfynd.xlsx", "A 42778-2024")</f>
        <v/>
      </c>
      <c r="X17">
        <f>HYPERLINK("https://klasma.github.io/Logging_1446/kartor/A 42778-2024 karta.png", "A 42778-2024")</f>
        <v/>
      </c>
      <c r="Y17">
        <f>HYPERLINK("https://klasma.github.io/Logging_1446/kartor_geotiff/A 42778-2024 georefererad karta.tif", "A 42778-2024")</f>
        <v/>
      </c>
      <c r="AA17">
        <f>HYPERLINK("https://klasma.github.io/Logging_1446/klagomål/A 42778-2024 FSC-klagomål.docx", "A 42778-2024")</f>
        <v/>
      </c>
      <c r="AB17">
        <f>HYPERLINK("https://klasma.github.io/Logging_1446/klagomålsmail/A 42778-2024 FSC-klagomål mail.docx", "A 42778-2024")</f>
        <v/>
      </c>
      <c r="AC17">
        <f>HYPERLINK("https://klasma.github.io/Logging_1446/tillsyn/A 42778-2024 tillsynsbegäran.docx", "A 42778-2024")</f>
        <v/>
      </c>
      <c r="AD17">
        <f>HYPERLINK("https://klasma.github.io/Logging_1446/tillsynsmail/A 42778-2024 tillsynsbegäran mail.docx", "A 42778-2024")</f>
        <v/>
      </c>
    </row>
    <row r="18" ht="15" customHeight="1">
      <c r="A18" t="inlineStr">
        <is>
          <t>A 51531-2023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46314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Kommuner</t>
        </is>
      </c>
      <c r="I18" t="n">
        <v>11.2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Revlummer</t>
        </is>
      </c>
      <c r="W18">
        <f>HYPERLINK("https://klasma.github.io/Logging_1446/artfynd/A 51531-2023 artfynd.xlsx", "A 51531-2023")</f>
        <v/>
      </c>
      <c r="X18">
        <f>HYPERLINK("https://klasma.github.io/Logging_1446/kartor/A 51531-2023 karta.png", "A 51531-2023")</f>
        <v/>
      </c>
      <c r="Y18">
        <f>HYPERLINK("https://klasma.github.io/Logging_1446/kartor_geotiff/A 51531-2023 georefererad karta.tif", "A 51531-2023")</f>
        <v/>
      </c>
      <c r="AA18">
        <f>HYPERLINK("https://klasma.github.io/Logging_1446/klagomål/A 51531-2023 FSC-klagomål.docx", "A 51531-2023")</f>
        <v/>
      </c>
      <c r="AB18">
        <f>HYPERLINK("https://klasma.github.io/Logging_1446/klagomålsmail/A 51531-2023 FSC-klagomål mail.docx", "A 51531-2023")</f>
        <v/>
      </c>
      <c r="AC18">
        <f>HYPERLINK("https://klasma.github.io/Logging_1446/tillsyn/A 51531-2023 tillsynsbegäran.docx", "A 51531-2023")</f>
        <v/>
      </c>
      <c r="AD18">
        <f>HYPERLINK("https://klasma.github.io/Logging_1446/tillsynsmail/A 51531-2023 tillsynsbegäran mail.docx", "A 51531-2023")</f>
        <v/>
      </c>
    </row>
    <row r="19" ht="15" customHeight="1">
      <c r="A19" t="inlineStr">
        <is>
          <t>A 9337-2025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45714</v>
      </c>
      <c r="E19" s="1" t="n">
        <v>46314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HYPERLINK("https://klasma.github.io/Logging_1446/artfynd/A 9337-2025 artfynd.xlsx", "A 9337-2025")</f>
        <v/>
      </c>
      <c r="X19">
        <f>HYPERLINK("https://klasma.github.io/Logging_1446/kartor/A 9337-2025 karta.png", "A 9337-2025")</f>
        <v/>
      </c>
      <c r="Y19">
        <f>HYPERLINK("https://klasma.github.io/Logging_1446/kartor_geotiff/A 9337-2025 georefererad karta.tif", "A 9337-2025")</f>
        <v/>
      </c>
      <c r="AA19">
        <f>HYPERLINK("https://klasma.github.io/Logging_1446/klagomål/A 9337-2025 FSC-klagomål.docx", "A 9337-2025")</f>
        <v/>
      </c>
      <c r="AB19">
        <f>HYPERLINK("https://klasma.github.io/Logging_1446/klagomålsmail/A 9337-2025 FSC-klagomål mail.docx", "A 9337-2025")</f>
        <v/>
      </c>
      <c r="AC19">
        <f>HYPERLINK("https://klasma.github.io/Logging_1446/tillsyn/A 9337-2025 tillsynsbegäran.docx", "A 9337-2025")</f>
        <v/>
      </c>
      <c r="AD19">
        <f>HYPERLINK("https://klasma.github.io/Logging_1446/tillsynsmail/A 9337-2025 tillsynsbegäran mail.docx", "A 9337-2025")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46314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Svart trolldruva</t>
        </is>
      </c>
      <c r="W20">
        <f>HYPERLINK("https://klasma.github.io/Logging_1446/artfynd/A 4448-2026 artfynd.xlsx", "A 4448-2026")</f>
        <v/>
      </c>
      <c r="X20">
        <f>HYPERLINK("https://klasma.github.io/Logging_1446/kartor/A 4448-2026 karta.png", "A 4448-2026")</f>
        <v/>
      </c>
      <c r="Y20">
        <f>HYPERLINK("https://klasma.github.io/Logging_1446/kartor_geotiff/A 4448-2026 georefererad karta.tif", "A 4448-2026")</f>
        <v/>
      </c>
      <c r="AA20">
        <f>HYPERLINK("https://klasma.github.io/Logging_1446/klagomål/A 4448-2026 FSC-klagomål.docx", "A 4448-2026")</f>
        <v/>
      </c>
      <c r="AB20">
        <f>HYPERLINK("https://klasma.github.io/Logging_1446/klagomålsmail/A 4448-2026 FSC-klagomål mail.docx", "A 4448-2026")</f>
        <v/>
      </c>
      <c r="AC20">
        <f>HYPERLINK("https://klasma.github.io/Logging_1446/tillsyn/A 4448-2026 tillsynsbegäran.docx", "A 4448-2026")</f>
        <v/>
      </c>
      <c r="AD20">
        <f>HYPERLINK("https://klasma.github.io/Logging_1446/tillsynsmail/A 4448-2026 tillsynsbegäran mail.docx", "A 4448-2026")</f>
        <v/>
      </c>
    </row>
    <row r="21" ht="15" customHeight="1">
      <c r="A21" t="inlineStr">
        <is>
          <t>A 59712-2021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46314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3.8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2</v>
      </c>
      <c r="V21" s="2" t="inlineStr">
        <is>
          <t>Ask</t>
        </is>
      </c>
      <c r="W21">
        <f>HYPERLINK("https://klasma.github.io/Logging_1446/artfynd/A 59712-2021 artfynd.xlsx", "A 59712-2021")</f>
        <v/>
      </c>
      <c r="X21">
        <f>HYPERLINK("https://klasma.github.io/Logging_1446/kartor/A 59712-2021 karta.png", "A 59712-2021")</f>
        <v/>
      </c>
      <c r="Y21">
        <f>HYPERLINK("https://klasma.github.io/Logging_1446/kartor_geotiff/A 59712-2021 georefererad karta.tif", "A 59712-2021")</f>
        <v/>
      </c>
      <c r="AA21">
        <f>HYPERLINK("https://klasma.github.io/Logging_1446/klagomål/A 59712-2021 FSC-klagomål.docx", "A 59712-2021")</f>
        <v/>
      </c>
      <c r="AB21">
        <f>HYPERLINK("https://klasma.github.io/Logging_1446/klagomålsmail/A 59712-2021 FSC-klagomål mail.docx", "A 59712-2021")</f>
        <v/>
      </c>
      <c r="AC21">
        <f>HYPERLINK("https://klasma.github.io/Logging_1446/tillsyn/A 59712-2021 tillsynsbegäran.docx", "A 59712-2021")</f>
        <v/>
      </c>
      <c r="AD21">
        <f>HYPERLINK("https://klasma.github.io/Logging_1446/tillsynsmail/A 59712-2021 tillsynsbegäran mail.docx", "A 59712-2021")</f>
        <v/>
      </c>
    </row>
    <row r="22" ht="15" customHeight="1">
      <c r="A22" t="inlineStr">
        <is>
          <t>A 38103-2023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46314</v>
      </c>
      <c r="F22" t="inlineStr">
        <is>
          <t>VÄSTRA GÖTALANDS LÄN</t>
        </is>
      </c>
      <c r="G22" t="inlineStr">
        <is>
          <t>KARLSBORG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Lopplummer (aggregat)</t>
        </is>
      </c>
      <c r="W22">
        <f>HYPERLINK("https://klasma.github.io/Logging_1446/artfynd/A 38103-2023 artfynd.xlsx", "A 38103-2023")</f>
        <v/>
      </c>
      <c r="X22">
        <f>HYPERLINK("https://klasma.github.io/Logging_1446/kartor/A 38103-2023 karta.png", "A 38103-2023")</f>
        <v/>
      </c>
      <c r="Y22">
        <f>HYPERLINK("https://klasma.github.io/Logging_1446/kartor_geotiff/A 38103-2023 georefererad karta.tif", "A 38103-2023")</f>
        <v/>
      </c>
      <c r="AA22">
        <f>HYPERLINK("https://klasma.github.io/Logging_1446/klagomål/A 38103-2023 FSC-klagomål.docx", "A 38103-2023")</f>
        <v/>
      </c>
      <c r="AB22">
        <f>HYPERLINK("https://klasma.github.io/Logging_1446/klagomålsmail/A 38103-2023 FSC-klagomål mail.docx", "A 38103-2023")</f>
        <v/>
      </c>
      <c r="AC22">
        <f>HYPERLINK("https://klasma.github.io/Logging_1446/tillsyn/A 38103-2023 tillsynsbegäran.docx", "A 38103-2023")</f>
        <v/>
      </c>
      <c r="AD22">
        <f>HYPERLINK("https://klasma.github.io/Logging_1446/tillsynsmail/A 38103-2023 tillsynsbegäran mail.docx", "A 38103-2023")</f>
        <v/>
      </c>
    </row>
    <row r="23" ht="15" customHeight="1">
      <c r="A23" t="inlineStr">
        <is>
          <t>A 29156-2026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46202</v>
      </c>
      <c r="E23" s="1" t="n">
        <v>46314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HYPERLINK("https://klasma.github.io/Logging_1446/artfynd/A 29156-2026 artfynd.xlsx", "A 29156-2026")</f>
        <v/>
      </c>
      <c r="X23">
        <f>HYPERLINK("https://klasma.github.io/Logging_1446/kartor/A 29156-2026 karta.png", "A 29156-2026")</f>
        <v/>
      </c>
      <c r="Y23">
        <f>HYPERLINK("https://klasma.github.io/Logging_1446/kartor_geotiff/A 29156-2026 georefererad karta.tif", "A 29156-2026")</f>
        <v/>
      </c>
      <c r="AA23">
        <f>HYPERLINK("https://klasma.github.io/Logging_1446/klagomål/A 29156-2026 FSC-klagomål.docx", "A 29156-2026")</f>
        <v/>
      </c>
      <c r="AB23">
        <f>HYPERLINK("https://klasma.github.io/Logging_1446/klagomålsmail/A 29156-2026 FSC-klagomål mail.docx", "A 29156-2026")</f>
        <v/>
      </c>
      <c r="AC23">
        <f>HYPERLINK("https://klasma.github.io/Logging_1446/tillsyn/A 29156-2026 tillsynsbegäran.docx", "A 29156-2026")</f>
        <v/>
      </c>
      <c r="AD23">
        <f>HYPERLINK("https://klasma.github.io/Logging_1446/tillsynsmail/A 29156-2026 tillsynsbegäran mail.docx", "A 29156-2026")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46314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46314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46314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23973-2023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45075</v>
      </c>
      <c r="E27" s="1" t="n">
        <v>46314</v>
      </c>
      <c r="F27" t="inlineStr">
        <is>
          <t>VÄSTRA GÖTALANDS LÄN</t>
        </is>
      </c>
      <c r="G27" t="inlineStr">
        <is>
          <t>KARLSBORG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Orre</t>
        </is>
      </c>
      <c r="W27">
        <f>HYPERLINK("https://klasma.github.io/Logging_1446/artfynd/A 23973-2023 artfynd.xlsx", "A 23973-2023")</f>
        <v/>
      </c>
      <c r="X27">
        <f>HYPERLINK("https://klasma.github.io/Logging_1446/kartor/A 23973-2023 karta.png", "A 23973-2023")</f>
        <v/>
      </c>
      <c r="Y27">
        <f>HYPERLINK("https://klasma.github.io/Logging_1446/kartor_geotiff/A 23973-2023 georefererad karta.tif", "A 23973-2023")</f>
        <v/>
      </c>
      <c r="AA27">
        <f>HYPERLINK("https://klasma.github.io/Logging_1446/klagomål/A 23973-2023 FSC-klagomål.docx", "A 23973-2023")</f>
        <v/>
      </c>
      <c r="AB27">
        <f>HYPERLINK("https://klasma.github.io/Logging_1446/klagomålsmail/A 23973-2023 FSC-klagomål mail.docx", "A 23973-2023")</f>
        <v/>
      </c>
      <c r="AC27">
        <f>HYPERLINK("https://klasma.github.io/Logging_1446/tillsyn/A 23973-2023 tillsynsbegäran.docx", "A 23973-2023")</f>
        <v/>
      </c>
      <c r="AD27">
        <f>HYPERLINK("https://klasma.github.io/Logging_1446/tillsynsmail/A 23973-2023 tillsynsbegäran mail.docx", "A 23973-2023")</f>
        <v/>
      </c>
      <c r="AE27">
        <f>HYPERLINK("https://klasma.github.io/Logging_1446/fåglar/A 23973-2023 prioriterade fågelarter.docx", "A 23973-2023")</f>
        <v/>
      </c>
    </row>
    <row r="28" ht="15" customHeight="1">
      <c r="A28" t="inlineStr">
        <is>
          <t>A 28315-2025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46314</v>
      </c>
      <c r="F28" t="inlineStr">
        <is>
          <t>VÄSTRA GÖTALANDS LÄN</t>
        </is>
      </c>
      <c r="G28" t="inlineStr">
        <is>
          <t>KARLSBORG</t>
        </is>
      </c>
      <c r="I28" t="n">
        <v>2.3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Rostfläck</t>
        </is>
      </c>
      <c r="W28">
        <f>HYPERLINK("https://klasma.github.io/Logging_1446/artfynd/A 28315-2025 artfynd.xlsx", "A 28315-2025")</f>
        <v/>
      </c>
      <c r="X28">
        <f>HYPERLINK("https://klasma.github.io/Logging_1446/kartor/A 28315-2025 karta.png", "A 28315-2025")</f>
        <v/>
      </c>
      <c r="Y28">
        <f>HYPERLINK("https://klasma.github.io/Logging_1446/kartor_geotiff/A 28315-2025 georefererad karta.tif", "A 28315-2025")</f>
        <v/>
      </c>
      <c r="AA28">
        <f>HYPERLINK("https://klasma.github.io/Logging_1446/klagomål/A 28315-2025 FSC-klagomål.docx", "A 28315-2025")</f>
        <v/>
      </c>
      <c r="AB28">
        <f>HYPERLINK("https://klasma.github.io/Logging_1446/klagomålsmail/A 28315-2025 FSC-klagomål mail.docx", "A 28315-2025")</f>
        <v/>
      </c>
      <c r="AC28">
        <f>HYPERLINK("https://klasma.github.io/Logging_1446/tillsyn/A 28315-2025 tillsynsbegäran.docx", "A 28315-2025")</f>
        <v/>
      </c>
      <c r="AD28">
        <f>HYPERLINK("https://klasma.github.io/Logging_1446/tillsynsmail/A 28315-2025 tillsynsbegäran mail.docx", "A 28315-2025")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46314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46314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46314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46314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46314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46314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46314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46314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46314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46314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59883-2021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44494</v>
      </c>
      <c r="E39" s="1" t="n">
        <v>46314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statliga verk och myndigheter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46314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23469-2024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45453</v>
      </c>
      <c r="E41" s="1" t="n">
        <v>46314</v>
      </c>
      <c r="F41" t="inlineStr">
        <is>
          <t>VÄSTRA GÖTALANDS LÄN</t>
        </is>
      </c>
      <c r="G41" t="inlineStr">
        <is>
          <t>KARLSBORG</t>
        </is>
      </c>
      <c r="I41" t="n">
        <v>8.300000000000001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5439-2022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44595</v>
      </c>
      <c r="E42" s="1" t="n">
        <v>46314</v>
      </c>
      <c r="F42" t="inlineStr">
        <is>
          <t>VÄSTRA GÖTALANDS LÄN</t>
        </is>
      </c>
      <c r="G42" t="inlineStr">
        <is>
          <t>KARLSBORG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13076-2023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46314</v>
      </c>
      <c r="F43" t="inlineStr">
        <is>
          <t>VÄSTRA GÖTALANDS LÄN</t>
        </is>
      </c>
      <c r="G43" t="inlineStr">
        <is>
          <t>KARLSBORG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34120-2024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45524</v>
      </c>
      <c r="E44" s="1" t="n">
        <v>46314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45524</v>
      </c>
      <c r="E45" s="1" t="n">
        <v>46314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Aktiebolag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38073-2023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45160</v>
      </c>
      <c r="E46" s="1" t="n">
        <v>46314</v>
      </c>
      <c r="F46" t="inlineStr">
        <is>
          <t>VÄSTRA GÖTALANDS LÄN</t>
        </is>
      </c>
      <c r="G46" t="inlineStr">
        <is>
          <t>KARLSBORG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70945-2021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46314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42757-2024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45566</v>
      </c>
      <c r="E48" s="1" t="n">
        <v>46314</v>
      </c>
      <c r="F48" t="inlineStr">
        <is>
          <t>VÄSTRA GÖTALANDS LÄN</t>
        </is>
      </c>
      <c r="G48" t="inlineStr">
        <is>
          <t>KARLSBORG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57454-2024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45630</v>
      </c>
      <c r="E49" s="1" t="n">
        <v>46314</v>
      </c>
      <c r="F49" t="inlineStr">
        <is>
          <t>VÄSTRA GÖTALANDS LÄN</t>
        </is>
      </c>
      <c r="G49" t="inlineStr">
        <is>
          <t>KARLSBORG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56541-2023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45243</v>
      </c>
      <c r="E50" s="1" t="n">
        <v>46314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45166</v>
      </c>
      <c r="E51" s="1" t="n">
        <v>46314</v>
      </c>
      <c r="F51" t="inlineStr">
        <is>
          <t>VÄSTRA GÖTALANDS LÄN</t>
        </is>
      </c>
      <c r="G51" t="inlineStr">
        <is>
          <t>KARLSBORG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45166</v>
      </c>
      <c r="E52" s="1" t="n">
        <v>46314</v>
      </c>
      <c r="F52" t="inlineStr">
        <is>
          <t>VÄSTRA GÖTALANDS LÄN</t>
        </is>
      </c>
      <c r="G52" t="inlineStr">
        <is>
          <t>KARLSBORG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62304-2021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44503</v>
      </c>
      <c r="E53" s="1" t="n">
        <v>46314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14514-2024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46314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25696-2023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45089</v>
      </c>
      <c r="E55" s="1" t="n">
        <v>46314</v>
      </c>
      <c r="F55" t="inlineStr">
        <is>
          <t>VÄSTRA GÖTALANDS LÄN</t>
        </is>
      </c>
      <c r="G55" t="inlineStr">
        <is>
          <t>KARLSBORG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15220-2023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46314</v>
      </c>
      <c r="F56" t="inlineStr">
        <is>
          <t>VÄSTRA GÖTALANDS LÄN</t>
        </is>
      </c>
      <c r="G56" t="inlineStr">
        <is>
          <t>KARLSBORG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28528-2024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45478</v>
      </c>
      <c r="E57" s="1" t="n">
        <v>46314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26016-2023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46314</v>
      </c>
      <c r="F58" t="inlineStr">
        <is>
          <t>VÄSTRA GÖTALANDS LÄN</t>
        </is>
      </c>
      <c r="G58" t="inlineStr">
        <is>
          <t>KARLSBORG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44577-2023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45183</v>
      </c>
      <c r="E59" s="1" t="n">
        <v>46314</v>
      </c>
      <c r="F59" t="inlineStr">
        <is>
          <t>VÄSTRA GÖTALANDS LÄN</t>
        </is>
      </c>
      <c r="G59" t="inlineStr">
        <is>
          <t>KARLSBORG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51111-2024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45603</v>
      </c>
      <c r="E60" s="1" t="n">
        <v>46314</v>
      </c>
      <c r="F60" t="inlineStr">
        <is>
          <t>VÄSTRA GÖTALANDS LÄN</t>
        </is>
      </c>
      <c r="G60" t="inlineStr">
        <is>
          <t>KARLSBORG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46314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5.8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44494</v>
      </c>
      <c r="E62" s="1" t="n">
        <v>46314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statliga verk och myndigheter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38995-2024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45548</v>
      </c>
      <c r="E63" s="1" t="n">
        <v>46314</v>
      </c>
      <c r="F63" t="inlineStr">
        <is>
          <t>VÄSTRA GÖTALANDS LÄN</t>
        </is>
      </c>
      <c r="G63" t="inlineStr">
        <is>
          <t>KARLSBORG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45257</v>
      </c>
      <c r="E64" s="1" t="n">
        <v>46314</v>
      </c>
      <c r="F64" t="inlineStr">
        <is>
          <t>VÄSTRA GÖTALANDS LÄN</t>
        </is>
      </c>
      <c r="G64" t="inlineStr">
        <is>
          <t>KARLSBORG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14703-2025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45742</v>
      </c>
      <c r="E65" s="1" t="n">
        <v>46314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70783-2021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44537</v>
      </c>
      <c r="E66" s="1" t="n">
        <v>46314</v>
      </c>
      <c r="F66" t="inlineStr">
        <is>
          <t>VÄSTRA GÖTALANDS LÄN</t>
        </is>
      </c>
      <c r="G66" t="inlineStr">
        <is>
          <t>KARLSBORG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46314</v>
      </c>
      <c r="F67" t="inlineStr">
        <is>
          <t>VÄSTRA GÖTALANDS LÄN</t>
        </is>
      </c>
      <c r="G67" t="inlineStr">
        <is>
          <t>KARLSBORG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46314</v>
      </c>
      <c r="F68" t="inlineStr">
        <is>
          <t>VÄSTRA GÖTALANDS LÄN</t>
        </is>
      </c>
      <c r="G68" t="inlineStr">
        <is>
          <t>KARLSBORG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46314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40129-2023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46314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46314</v>
      </c>
      <c r="F71" t="inlineStr">
        <is>
          <t>VÄSTRA GÖTALANDS LÄN</t>
        </is>
      </c>
      <c r="G71" t="inlineStr">
        <is>
          <t>KARLSBORG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46314</v>
      </c>
      <c r="F72" t="inlineStr">
        <is>
          <t>VÄSTRA GÖTALANDS LÄN</t>
        </is>
      </c>
      <c r="G72" t="inlineStr">
        <is>
          <t>KARLSBORG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13077-2023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45002</v>
      </c>
      <c r="E73" s="1" t="n">
        <v>46314</v>
      </c>
      <c r="F73" t="inlineStr">
        <is>
          <t>VÄSTRA GÖTALANDS LÄN</t>
        </is>
      </c>
      <c r="G73" t="inlineStr">
        <is>
          <t>KARLSBORG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48175-2024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45589</v>
      </c>
      <c r="E74" s="1" t="n">
        <v>46314</v>
      </c>
      <c r="F74" t="inlineStr">
        <is>
          <t>VÄSTRA GÖTALANDS LÄN</t>
        </is>
      </c>
      <c r="G74" t="inlineStr">
        <is>
          <t>KARLSBORG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14525-2024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45394</v>
      </c>
      <c r="E75" s="1" t="n">
        <v>46314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44906</v>
      </c>
      <c r="E76" s="1" t="n">
        <v>46314</v>
      </c>
      <c r="F76" t="inlineStr">
        <is>
          <t>VÄSTRA GÖTALANDS LÄN</t>
        </is>
      </c>
      <c r="G76" t="inlineStr">
        <is>
          <t>KARLSBORG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18623-2022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44687</v>
      </c>
      <c r="E77" s="1" t="n">
        <v>46314</v>
      </c>
      <c r="F77" t="inlineStr">
        <is>
          <t>VÄSTRA GÖTALANDS LÄN</t>
        </is>
      </c>
      <c r="G77" t="inlineStr">
        <is>
          <t>KARLSBORG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44944</v>
      </c>
      <c r="E78" s="1" t="n">
        <v>46314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Aktiebolag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46314</v>
      </c>
      <c r="F79" t="inlineStr">
        <is>
          <t>VÄSTRA GÖTALANDS LÄN</t>
        </is>
      </c>
      <c r="G79" t="inlineStr">
        <is>
          <t>KARLSBORG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46314</v>
      </c>
      <c r="F80" t="inlineStr">
        <is>
          <t>VÄSTRA GÖTALANDS LÄN</t>
        </is>
      </c>
      <c r="G80" t="inlineStr">
        <is>
          <t>KARLSBORG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45614</v>
      </c>
      <c r="E81" s="1" t="n">
        <v>46314</v>
      </c>
      <c r="F81" t="inlineStr">
        <is>
          <t>VÄSTRA GÖTALANDS LÄN</t>
        </is>
      </c>
      <c r="G81" t="inlineStr">
        <is>
          <t>KARLSBORG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45524</v>
      </c>
      <c r="E82" s="1" t="n">
        <v>46314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Övriga Aktiebolag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41684-2023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45176</v>
      </c>
      <c r="E83" s="1" t="n">
        <v>46314</v>
      </c>
      <c r="F83" t="inlineStr">
        <is>
          <t>VÄSTRA GÖTALANDS LÄN</t>
        </is>
      </c>
      <c r="G83" t="inlineStr">
        <is>
          <t>KARLSBORG</t>
        </is>
      </c>
      <c r="I83" t="n">
        <v>7.3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17002-2025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45755</v>
      </c>
      <c r="E84" s="1" t="n">
        <v>46314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48385-2025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46314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Sveaskog</t>
        </is>
      </c>
      <c r="I85" t="n">
        <v>9.4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33122-2022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46314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44944</v>
      </c>
      <c r="E87" s="1" t="n">
        <v>46314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35441-2024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45531</v>
      </c>
      <c r="E88" s="1" t="n">
        <v>46314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Sveaskog</t>
        </is>
      </c>
      <c r="I88" t="n">
        <v>9.800000000000001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10828-2024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45369</v>
      </c>
      <c r="E89" s="1" t="n">
        <v>46314</v>
      </c>
      <c r="F89" t="inlineStr">
        <is>
          <t>VÄSTRA GÖTALANDS LÄN</t>
        </is>
      </c>
      <c r="G89" t="inlineStr">
        <is>
          <t>KARLSBORG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28460-2023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45103</v>
      </c>
      <c r="E90" s="1" t="n">
        <v>46314</v>
      </c>
      <c r="F90" t="inlineStr">
        <is>
          <t>VÄSTRA GÖTALANDS LÄN</t>
        </is>
      </c>
      <c r="G90" t="inlineStr">
        <is>
          <t>KARLSBORG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29490-2025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46314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26914-2024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46314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Övriga Aktiebolag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45899</v>
      </c>
      <c r="E93" s="1" t="n">
        <v>46314</v>
      </c>
      <c r="F93" t="inlineStr">
        <is>
          <t>VÄSTRA GÖTALANDS LÄN</t>
        </is>
      </c>
      <c r="G93" t="inlineStr">
        <is>
          <t>KARLSBORG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44795</v>
      </c>
      <c r="E94" s="1" t="n">
        <v>46314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25999-2023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45090</v>
      </c>
      <c r="E95" s="1" t="n">
        <v>46314</v>
      </c>
      <c r="F95" t="inlineStr">
        <is>
          <t>VÄSTRA GÖTALANDS LÄN</t>
        </is>
      </c>
      <c r="G95" t="inlineStr">
        <is>
          <t>KARLSBORG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45561</v>
      </c>
      <c r="E96" s="1" t="n">
        <v>46314</v>
      </c>
      <c r="F96" t="inlineStr">
        <is>
          <t>VÄSTRA GÖTALANDS LÄN</t>
        </is>
      </c>
      <c r="G96" t="inlineStr">
        <is>
          <t>KARLSBORG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46314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Kyrkan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46143</v>
      </c>
      <c r="E98" s="1" t="n">
        <v>46314</v>
      </c>
      <c r="F98" t="inlineStr">
        <is>
          <t>VÄSTRA GÖTALANDS LÄN</t>
        </is>
      </c>
      <c r="G98" t="inlineStr">
        <is>
          <t>KARLSBORG</t>
        </is>
      </c>
      <c r="I98" t="n">
        <v>14.6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46142</v>
      </c>
      <c r="E99" s="1" t="n">
        <v>46314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46314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45247-2025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46314</v>
      </c>
      <c r="F101" t="inlineStr">
        <is>
          <t>VÄSTRA GÖTALANDS LÄN</t>
        </is>
      </c>
      <c r="G101" t="inlineStr">
        <is>
          <t>KARLSBORG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45919</v>
      </c>
      <c r="E102" s="1" t="n">
        <v>46314</v>
      </c>
      <c r="F102" t="inlineStr">
        <is>
          <t>VÄSTRA GÖTALANDS LÄN</t>
        </is>
      </c>
      <c r="G102" t="inlineStr">
        <is>
          <t>KARLSBORG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24594-2022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46314</v>
      </c>
      <c r="F103" t="inlineStr">
        <is>
          <t>VÄSTRA GÖTALANDS LÄN</t>
        </is>
      </c>
      <c r="G103" t="inlineStr">
        <is>
          <t>KARLSBORG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45233</v>
      </c>
      <c r="E104" s="1" t="n">
        <v>46314</v>
      </c>
      <c r="F104" t="inlineStr">
        <is>
          <t>VÄSTRA GÖTALANDS LÄN</t>
        </is>
      </c>
      <c r="G104" t="inlineStr">
        <is>
          <t>KARLSBORG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47265-2025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46314</v>
      </c>
      <c r="F105" t="inlineStr">
        <is>
          <t>VÄSTRA GÖTALANDS LÄN</t>
        </is>
      </c>
      <c r="G105" t="inlineStr">
        <is>
          <t>KARLSBORG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45930</v>
      </c>
      <c r="E106" s="1" t="n">
        <v>46314</v>
      </c>
      <c r="F106" t="inlineStr">
        <is>
          <t>VÄSTRA GÖTALANDS LÄN</t>
        </is>
      </c>
      <c r="G106" t="inlineStr">
        <is>
          <t>KARLSBORG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46314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46314</v>
      </c>
      <c r="F108" t="inlineStr">
        <is>
          <t>VÄSTRA GÖTALANDS LÄN</t>
        </is>
      </c>
      <c r="G108" t="inlineStr">
        <is>
          <t>KARLSBORG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30136-2024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45489</v>
      </c>
      <c r="E109" s="1" t="n">
        <v>46314</v>
      </c>
      <c r="F109" t="inlineStr">
        <is>
          <t>VÄSTRA GÖTALANDS LÄN</t>
        </is>
      </c>
      <c r="G109" t="inlineStr">
        <is>
          <t>KARLSBORG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46314</v>
      </c>
      <c r="F110" t="inlineStr">
        <is>
          <t>VÄSTRA GÖTALANDS LÄN</t>
        </is>
      </c>
      <c r="G110" t="inlineStr">
        <is>
          <t>KARLSBORG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46314</v>
      </c>
      <c r="F111" t="inlineStr">
        <is>
          <t>VÄSTRA GÖTALANDS LÄN</t>
        </is>
      </c>
      <c r="G111" t="inlineStr">
        <is>
          <t>KARLSBORG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65313-2021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44515</v>
      </c>
      <c r="E112" s="1" t="n">
        <v>46314</v>
      </c>
      <c r="F112" t="inlineStr">
        <is>
          <t>VÄSTRA GÖTALANDS LÄN</t>
        </is>
      </c>
      <c r="G112" t="inlineStr">
        <is>
          <t>KARLSBORG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46314</v>
      </c>
      <c r="F113" t="inlineStr">
        <is>
          <t>VÄSTRA GÖTALANDS LÄN</t>
        </is>
      </c>
      <c r="G113" t="inlineStr">
        <is>
          <t>KARLSBORG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46314</v>
      </c>
      <c r="F114" t="inlineStr">
        <is>
          <t>VÄSTRA GÖTALANDS LÄN</t>
        </is>
      </c>
      <c r="G114" t="inlineStr">
        <is>
          <t>KARLSBORG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46314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46314</v>
      </c>
      <c r="F116" t="inlineStr">
        <is>
          <t>VÄSTRA GÖTALANDS LÄN</t>
        </is>
      </c>
      <c r="G116" t="inlineStr">
        <is>
          <t>KARLSBORG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39699-2025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46314</v>
      </c>
      <c r="F117" t="inlineStr">
        <is>
          <t>VÄSTRA GÖTALANDS LÄN</t>
        </is>
      </c>
      <c r="G117" t="inlineStr">
        <is>
          <t>KARLSBORG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57915-2024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45631</v>
      </c>
      <c r="E118" s="1" t="n">
        <v>46314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46314</v>
      </c>
      <c r="F119" t="inlineStr">
        <is>
          <t>VÄSTRA GÖTALANDS LÄN</t>
        </is>
      </c>
      <c r="G119" t="inlineStr">
        <is>
          <t>KARLSBORG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56110-2025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45973</v>
      </c>
      <c r="E120" s="1" t="n">
        <v>46314</v>
      </c>
      <c r="F120" t="inlineStr">
        <is>
          <t>VÄSTRA GÖTALANDS LÄN</t>
        </is>
      </c>
      <c r="G120" t="inlineStr">
        <is>
          <t>KARLSBORG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45386</v>
      </c>
      <c r="E121" s="1" t="n">
        <v>46314</v>
      </c>
      <c r="F121" t="inlineStr">
        <is>
          <t>VÄSTRA GÖTALANDS LÄN</t>
        </is>
      </c>
      <c r="G121" t="inlineStr">
        <is>
          <t>KARLSBORG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45252</v>
      </c>
      <c r="E122" s="1" t="n">
        <v>46314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46314</v>
      </c>
      <c r="F123" t="inlineStr">
        <is>
          <t>VÄSTRA GÖTALANDS LÄN</t>
        </is>
      </c>
      <c r="G123" t="inlineStr">
        <is>
          <t>KARLSBORG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59399-2022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44906</v>
      </c>
      <c r="E124" s="1" t="n">
        <v>46314</v>
      </c>
      <c r="F124" t="inlineStr">
        <is>
          <t>VÄSTRA GÖTALANDS LÄN</t>
        </is>
      </c>
      <c r="G124" t="inlineStr">
        <is>
          <t>KARLSBORG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48888-2023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46314</v>
      </c>
      <c r="F125" t="inlineStr">
        <is>
          <t>VÄSTRA GÖTALANDS LÄN</t>
        </is>
      </c>
      <c r="G125" t="inlineStr">
        <is>
          <t>KARLSBORG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46314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46314</v>
      </c>
      <c r="F127" t="inlineStr">
        <is>
          <t>VÄSTRA GÖTALANDS LÄN</t>
        </is>
      </c>
      <c r="G127" t="inlineStr">
        <is>
          <t>KARLSBORG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48174-2024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46314</v>
      </c>
      <c r="F128" t="inlineStr">
        <is>
          <t>VÄSTRA GÖTALANDS LÄN</t>
        </is>
      </c>
      <c r="G128" t="inlineStr">
        <is>
          <t>KARLSBORG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44972</v>
      </c>
      <c r="E129" s="1" t="n">
        <v>46314</v>
      </c>
      <c r="F129" t="inlineStr">
        <is>
          <t>VÄSTRA GÖTALANDS LÄN</t>
        </is>
      </c>
      <c r="G129" t="inlineStr">
        <is>
          <t>KARLSBORG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23500-2023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45076</v>
      </c>
      <c r="E130" s="1" t="n">
        <v>46314</v>
      </c>
      <c r="F130" t="inlineStr">
        <is>
          <t>VÄSTRA GÖTALANDS LÄN</t>
        </is>
      </c>
      <c r="G130" t="inlineStr">
        <is>
          <t>KARLSBORG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46314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61542-2023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46314</v>
      </c>
      <c r="F132" t="inlineStr">
        <is>
          <t>VÄSTRA GÖTALANDS LÄN</t>
        </is>
      </c>
      <c r="G132" t="inlineStr">
        <is>
          <t>KARLSBORG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46314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62072-2025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46314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46314</v>
      </c>
      <c r="F135" t="inlineStr">
        <is>
          <t>VÄSTRA GÖTALANDS LÄN</t>
        </is>
      </c>
      <c r="G135" t="inlineStr">
        <is>
          <t>KARLSBORG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46314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46314</v>
      </c>
      <c r="F137" t="inlineStr">
        <is>
          <t>VÄSTRA GÖTALANDS LÄN</t>
        </is>
      </c>
      <c r="G137" t="inlineStr">
        <is>
          <t>KARLSBORG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58533-2023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45251</v>
      </c>
      <c r="E138" s="1" t="n">
        <v>46314</v>
      </c>
      <c r="F138" t="inlineStr">
        <is>
          <t>VÄSTRA GÖTALANDS LÄN</t>
        </is>
      </c>
      <c r="G138" t="inlineStr">
        <is>
          <t>KARLSBORG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46314</v>
      </c>
      <c r="F139" t="inlineStr">
        <is>
          <t>VÄSTRA GÖTALANDS LÄN</t>
        </is>
      </c>
      <c r="G139" t="inlineStr">
        <is>
          <t>KARLSBORG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4439-2026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46314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14.3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46314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44809</v>
      </c>
      <c r="E142" s="1" t="n">
        <v>46314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29357-2024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45483</v>
      </c>
      <c r="E143" s="1" t="n">
        <v>46314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10007-2025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45719</v>
      </c>
      <c r="E144" s="1" t="n">
        <v>46314</v>
      </c>
      <c r="F144" t="inlineStr">
        <is>
          <t>VÄSTRA GÖTALANDS LÄN</t>
        </is>
      </c>
      <c r="G144" t="inlineStr">
        <is>
          <t>KARLSBORG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46181</v>
      </c>
      <c r="E145" s="1" t="n">
        <v>46314</v>
      </c>
      <c r="F145" t="inlineStr">
        <is>
          <t>VÄSTRA GÖTALANDS LÄN</t>
        </is>
      </c>
      <c r="G145" t="inlineStr">
        <is>
          <t>KARLSBORG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6035-2026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46314</v>
      </c>
      <c r="F146" t="inlineStr">
        <is>
          <t>VÄSTRA GÖTALANDS LÄN</t>
        </is>
      </c>
      <c r="G146" t="inlineStr">
        <is>
          <t>KARLSBORG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46055</v>
      </c>
      <c r="E147" s="1" t="n">
        <v>46314</v>
      </c>
      <c r="F147" t="inlineStr">
        <is>
          <t>VÄSTRA GÖTALANDS LÄN</t>
        </is>
      </c>
      <c r="G147" t="inlineStr">
        <is>
          <t>KARLSBORG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46314</v>
      </c>
      <c r="F148" t="inlineStr">
        <is>
          <t>VÄSTRA GÖTALANDS LÄN</t>
        </is>
      </c>
      <c r="G148" t="inlineStr">
        <is>
          <t>KARLSBORG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46314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44929</v>
      </c>
      <c r="E150" s="1" t="n">
        <v>46314</v>
      </c>
      <c r="F150" t="inlineStr">
        <is>
          <t>VÄSTRA GÖTALANDS LÄN</t>
        </is>
      </c>
      <c r="G150" t="inlineStr">
        <is>
          <t>KARLSBORG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  <c r="X150">
        <f>HYPERLINK("https://klasma.github.io/Logging_1446/kartor/A 412-2023 karta.png", "A 412-2023")</f>
        <v/>
      </c>
      <c r="Y150">
        <f>HYPERLINK("https://klasma.github.io/Logging_1446/kartor_geotiff/A 412-2023 georefererad karta.tif", "A 412-2023")</f>
        <v/>
      </c>
      <c r="AA150">
        <f>HYPERLINK("https://klasma.github.io/Logging_1446/klagomål/A 412-2023 FSC-klagomål.docx", "A 412-2023")</f>
        <v/>
      </c>
      <c r="AB150">
        <f>HYPERLINK("https://klasma.github.io/Logging_1446/klagomålsmail/A 412-2023 FSC-klagomål mail.docx", "A 412-2023")</f>
        <v/>
      </c>
      <c r="AC150">
        <f>HYPERLINK("https://klasma.github.io/Logging_1446/tillsyn/A 412-2023 tillsynsbegäran.docx", "A 412-2023")</f>
        <v/>
      </c>
      <c r="AD150">
        <f>HYPERLINK("https://klasma.github.io/Logging_1446/tillsynsmail/A 412-2023 tillsynsbegäran mail.docx", "A 412-2023")</f>
        <v/>
      </c>
    </row>
    <row r="151" ht="15" customHeight="1">
      <c r="A151" t="inlineStr">
        <is>
          <t>A 63731-2025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46314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46314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46314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46062</v>
      </c>
      <c r="E154" s="1" t="n">
        <v>46314</v>
      </c>
      <c r="F154" t="inlineStr">
        <is>
          <t>VÄSTRA GÖTALANDS LÄN</t>
        </is>
      </c>
      <c r="G154" t="inlineStr">
        <is>
          <t>KARLSBORG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46069</v>
      </c>
      <c r="E155" s="1" t="n">
        <v>46314</v>
      </c>
      <c r="F155" t="inlineStr">
        <is>
          <t>VÄSTRA GÖTALANDS LÄN</t>
        </is>
      </c>
      <c r="G155" t="inlineStr">
        <is>
          <t>KARLSBORG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46314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12.6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27349-2026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46188</v>
      </c>
      <c r="E157" s="1" t="n">
        <v>46314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29685-2022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44755</v>
      </c>
      <c r="E158" s="1" t="n">
        <v>46314</v>
      </c>
      <c r="F158" t="inlineStr">
        <is>
          <t>VÄSTRA GÖTALANDS LÄN</t>
        </is>
      </c>
      <c r="G158" t="inlineStr">
        <is>
          <t>KARLSBORG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27333-2026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46314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46079</v>
      </c>
      <c r="E160" s="1" t="n">
        <v>46314</v>
      </c>
      <c r="F160" t="inlineStr">
        <is>
          <t>VÄSTRA GÖTALANDS LÄN</t>
        </is>
      </c>
      <c r="G160" t="inlineStr">
        <is>
          <t>KARLSBORG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46314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44908</v>
      </c>
      <c r="E162" s="1" t="n">
        <v>46314</v>
      </c>
      <c r="F162" t="inlineStr">
        <is>
          <t>VÄSTRA GÖTALANDS LÄN</t>
        </is>
      </c>
      <c r="G162" t="inlineStr">
        <is>
          <t>KARLSBORG</t>
        </is>
      </c>
      <c r="I162" t="n">
        <v>8.1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57913-2024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45631</v>
      </c>
      <c r="E163" s="1" t="n">
        <v>46314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7977-2025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45707</v>
      </c>
      <c r="E164" s="1" t="n">
        <v>46314</v>
      </c>
      <c r="F164" t="inlineStr">
        <is>
          <t>VÄSTRA GÖTALANDS LÄN</t>
        </is>
      </c>
      <c r="G164" t="inlineStr">
        <is>
          <t>KARLSBORG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46314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58129-2024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45632</v>
      </c>
      <c r="E166" s="1" t="n">
        <v>46314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18564-2026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46314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45394</v>
      </c>
      <c r="E168" s="1" t="n">
        <v>46314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30262-2026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46206</v>
      </c>
      <c r="E169" s="1" t="n">
        <v>46314</v>
      </c>
      <c r="F169" t="inlineStr">
        <is>
          <t>VÄSTRA GÖTALANDS LÄN</t>
        </is>
      </c>
      <c r="G169" t="inlineStr">
        <is>
          <t>KARLSBORG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22890-2026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46314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30610-2026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46210</v>
      </c>
      <c r="E171" s="1" t="n">
        <v>46314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30609-2026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46210</v>
      </c>
      <c r="E172" s="1" t="n">
        <v>46314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45209</v>
      </c>
      <c r="E173" s="1" t="n">
        <v>46314</v>
      </c>
      <c r="F173" t="inlineStr">
        <is>
          <t>VÄSTRA GÖTALANDS LÄN</t>
        </is>
      </c>
      <c r="G173" t="inlineStr">
        <is>
          <t>KARLSBORG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59890-2021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46314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59404-2022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44906</v>
      </c>
      <c r="E175" s="1" t="n">
        <v>46314</v>
      </c>
      <c r="F175" t="inlineStr">
        <is>
          <t>VÄSTRA GÖTALANDS LÄN</t>
        </is>
      </c>
      <c r="G175" t="inlineStr">
        <is>
          <t>KARLSBORG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31798-2026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46230</v>
      </c>
      <c r="E176" s="1" t="n">
        <v>46314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46314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46314</v>
      </c>
      <c r="F178" t="inlineStr">
        <is>
          <t>VÄSTRA GÖTALANDS LÄN</t>
        </is>
      </c>
      <c r="G178" t="inlineStr">
        <is>
          <t>KARLSBORG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46314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Aktiebolag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46276</v>
      </c>
      <c r="E180" s="1" t="n">
        <v>46314</v>
      </c>
      <c r="F180" t="inlineStr">
        <is>
          <t>VÄSTRA GÖTALANDS LÄN</t>
        </is>
      </c>
      <c r="G180" t="inlineStr">
        <is>
          <t>KARLSBORG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15396-2024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45401</v>
      </c>
      <c r="E181" s="1" t="n">
        <v>46314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59877-2021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44494</v>
      </c>
      <c r="E182" s="1" t="n">
        <v>46314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Övriga statliga verk och myndigheter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27823-2023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45098</v>
      </c>
      <c r="E183" s="1" t="n">
        <v>46314</v>
      </c>
      <c r="F183" t="inlineStr">
        <is>
          <t>VÄSTRA GÖTALANDS LÄN</t>
        </is>
      </c>
      <c r="G183" t="inlineStr">
        <is>
          <t>KARLSBORG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53898-2023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45231</v>
      </c>
      <c r="E184" s="1" t="n">
        <v>46314</v>
      </c>
      <c r="F184" t="inlineStr">
        <is>
          <t>VÄSTRA GÖTALANDS LÄN</t>
        </is>
      </c>
      <c r="G184" t="inlineStr">
        <is>
          <t>KARLSBORG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45019-2024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45575</v>
      </c>
      <c r="E185" s="1" t="n">
        <v>46314</v>
      </c>
      <c r="F185" t="inlineStr">
        <is>
          <t>VÄSTRA GÖTALANDS LÄN</t>
        </is>
      </c>
      <c r="G185" t="inlineStr">
        <is>
          <t>KARLSBORG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24008-2023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45078</v>
      </c>
      <c r="E186" s="1" t="n">
        <v>46314</v>
      </c>
      <c r="F186" t="inlineStr">
        <is>
          <t>VÄSTRA GÖTALANDS LÄN</t>
        </is>
      </c>
      <c r="G186" t="inlineStr">
        <is>
          <t>KARLSBORG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45566</v>
      </c>
      <c r="E187" s="1" t="n">
        <v>46314</v>
      </c>
      <c r="F187" t="inlineStr">
        <is>
          <t>VÄSTRA GÖTALANDS LÄN</t>
        </is>
      </c>
      <c r="G187" t="inlineStr">
        <is>
          <t>KARLSBORG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46314</v>
      </c>
      <c r="F188" t="inlineStr">
        <is>
          <t>VÄSTRA GÖTALANDS LÄN</t>
        </is>
      </c>
      <c r="G188" t="inlineStr">
        <is>
          <t>KARLSBORG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46314</v>
      </c>
      <c r="F189" t="inlineStr">
        <is>
          <t>VÄSTRA GÖTALANDS LÄN</t>
        </is>
      </c>
      <c r="G189" t="inlineStr">
        <is>
          <t>KARLSBORG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44809</v>
      </c>
      <c r="E190" s="1" t="n">
        <v>46314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56495-2023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45243</v>
      </c>
      <c r="E191" s="1" t="n">
        <v>46314</v>
      </c>
      <c r="F191" t="inlineStr">
        <is>
          <t>VÄSTRA GÖTALANDS LÄN</t>
        </is>
      </c>
      <c r="G191" t="inlineStr">
        <is>
          <t>KARLSBORG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46171</v>
      </c>
      <c r="E192" s="1" t="n">
        <v>46314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44939</v>
      </c>
      <c r="E193" s="1" t="n">
        <v>46314</v>
      </c>
      <c r="F193" t="inlineStr">
        <is>
          <t>VÄSTRA GÖTALANDS LÄN</t>
        </is>
      </c>
      <c r="G193" t="inlineStr">
        <is>
          <t>KARLSBORG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42598-2024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45565</v>
      </c>
      <c r="E194" s="1" t="n">
        <v>46314</v>
      </c>
      <c r="F194" t="inlineStr">
        <is>
          <t>VÄSTRA GÖTALANDS LÄN</t>
        </is>
      </c>
      <c r="G194" t="inlineStr">
        <is>
          <t>KARLSBORG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40128-2023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46314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Övriga Aktiebolag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42724-2024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46314</v>
      </c>
      <c r="F196" t="inlineStr">
        <is>
          <t>VÄSTRA GÖTALANDS LÄN</t>
        </is>
      </c>
      <c r="G196" t="inlineStr">
        <is>
          <t>KARLSBORG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41295-2026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46300</v>
      </c>
      <c r="E197" s="1" t="n">
        <v>46314</v>
      </c>
      <c r="F197" t="inlineStr">
        <is>
          <t>VÄSTRA GÖTALANDS LÄN</t>
        </is>
      </c>
      <c r="G197" t="inlineStr">
        <is>
          <t>KARLSBORG</t>
        </is>
      </c>
      <c r="I197" t="n">
        <v>6.9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15958-2022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44664</v>
      </c>
      <c r="E198" s="1" t="n">
        <v>46314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Övriga Aktiebolag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20564-2024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45436</v>
      </c>
      <c r="E199" s="1" t="n">
        <v>46314</v>
      </c>
      <c r="F199" t="inlineStr">
        <is>
          <t>VÄSTRA GÖTALANDS LÄN</t>
        </is>
      </c>
      <c r="G199" t="inlineStr">
        <is>
          <t>KARLSBORG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46314</v>
      </c>
      <c r="F200" t="inlineStr">
        <is>
          <t>VÄSTRA GÖTALANDS LÄN</t>
        </is>
      </c>
      <c r="G200" t="inlineStr">
        <is>
          <t>KARLSBORG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41297-2026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46300</v>
      </c>
      <c r="E201" s="1" t="n">
        <v>46314</v>
      </c>
      <c r="F201" t="inlineStr">
        <is>
          <t>VÄSTRA GÖTALANDS LÄN</t>
        </is>
      </c>
      <c r="G201" t="inlineStr">
        <is>
          <t>KARLSBORG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46300</v>
      </c>
      <c r="E202" s="1" t="n">
        <v>46314</v>
      </c>
      <c r="F202" t="inlineStr">
        <is>
          <t>VÄSTRA GÖTALANDS LÄN</t>
        </is>
      </c>
      <c r="G202" t="inlineStr">
        <is>
          <t>KARLSBORG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45617</v>
      </c>
      <c r="E203" s="1" t="n">
        <v>46314</v>
      </c>
      <c r="F203" t="inlineStr">
        <is>
          <t>VÄSTRA GÖTALANDS LÄN</t>
        </is>
      </c>
      <c r="G203" t="inlineStr">
        <is>
          <t>KARLSBORG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45786</v>
      </c>
      <c r="E204" s="1" t="n">
        <v>46314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22761-2025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46314</v>
      </c>
      <c r="F205" t="inlineStr">
        <is>
          <t>VÄSTRA GÖTALANDS LÄN</t>
        </is>
      </c>
      <c r="G205" t="inlineStr">
        <is>
          <t>KARLSBORG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46302</v>
      </c>
      <c r="E206" s="1" t="n">
        <v>46314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35151-2026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46260</v>
      </c>
      <c r="E207" s="1" t="n">
        <v>46314</v>
      </c>
      <c r="F207" t="inlineStr">
        <is>
          <t>VÄSTRA GÖTALANDS LÄN</t>
        </is>
      </c>
      <c r="G207" t="inlineStr">
        <is>
          <t>KARLSBORG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45721</v>
      </c>
      <c r="E208" s="1" t="n">
        <v>46314</v>
      </c>
      <c r="F208" t="inlineStr">
        <is>
          <t>VÄSTRA GÖTALANDS LÄN</t>
        </is>
      </c>
      <c r="G208" t="inlineStr">
        <is>
          <t>KARLSBORG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45630</v>
      </c>
      <c r="E209" s="1" t="n">
        <v>46314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46314</v>
      </c>
      <c r="F210" t="inlineStr">
        <is>
          <t>VÄSTRA GÖTALANDS LÄN</t>
        </is>
      </c>
      <c r="G210" t="inlineStr">
        <is>
          <t>KARLSBORG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46314</v>
      </c>
      <c r="F211" t="inlineStr">
        <is>
          <t>VÄSTRA GÖTALANDS LÄN</t>
        </is>
      </c>
      <c r="G211" t="inlineStr">
        <is>
          <t>KARLSBORG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25982-2025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45804</v>
      </c>
      <c r="E212" s="1" t="n">
        <v>46314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Övriga Aktiebolag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45707</v>
      </c>
      <c r="E213" s="1" t="n">
        <v>46314</v>
      </c>
      <c r="F213" t="inlineStr">
        <is>
          <t>VÄSTRA GÖTALANDS LÄN</t>
        </is>
      </c>
      <c r="G213" t="inlineStr">
        <is>
          <t>KARLSBORG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46311</v>
      </c>
      <c r="E214" s="1" t="n">
        <v>46314</v>
      </c>
      <c r="F214" t="inlineStr">
        <is>
          <t>VÄSTRA GÖTALANDS LÄN</t>
        </is>
      </c>
      <c r="G214" t="inlineStr">
        <is>
          <t>KARLSBORG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31770-2025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46314</v>
      </c>
      <c r="F215" t="inlineStr">
        <is>
          <t>VÄSTRA GÖTALANDS LÄN</t>
        </is>
      </c>
      <c r="G215" t="inlineStr">
        <is>
          <t>KARLSBORG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32128-2025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45835</v>
      </c>
      <c r="E216" s="1" t="n">
        <v>46314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31701-2025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45834</v>
      </c>
      <c r="E217" s="1" t="n">
        <v>46314</v>
      </c>
      <c r="F217" t="inlineStr">
        <is>
          <t>VÄSTRA GÖTALANDS LÄN</t>
        </is>
      </c>
      <c r="G217" t="inlineStr">
        <is>
          <t>KARLSBORG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45716</v>
      </c>
      <c r="E218" s="1" t="n">
        <v>46314</v>
      </c>
      <c r="F218" t="inlineStr">
        <is>
          <t>VÄSTRA GÖTALANDS LÄN</t>
        </is>
      </c>
      <c r="G218" t="inlineStr">
        <is>
          <t>KARLSBORG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45265</v>
      </c>
      <c r="E219" s="1" t="n">
        <v>46314</v>
      </c>
      <c r="F219" t="inlineStr">
        <is>
          <t>VÄSTRA GÖTALANDS LÄN</t>
        </is>
      </c>
      <c r="G219" t="inlineStr">
        <is>
          <t>KARLSBORG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35930-2025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45862</v>
      </c>
      <c r="E220" s="1" t="n">
        <v>46314</v>
      </c>
      <c r="F220" t="inlineStr">
        <is>
          <t>VÄSTRA GÖTALANDS LÄN</t>
        </is>
      </c>
      <c r="G220" t="inlineStr">
        <is>
          <t>KARLSBORG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38290-2025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46314</v>
      </c>
      <c r="F221" t="inlineStr">
        <is>
          <t>VÄSTRA GÖTALANDS LÄN</t>
        </is>
      </c>
      <c r="G221" t="inlineStr">
        <is>
          <t>KARLSBORG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46314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46314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2026-10-19T02:03:30Z</dcterms:created>
  <dcterms:modified xmlns:dcterms="http://purl.org/dc/terms/" xmlns:xsi="http://www.w3.org/2001/XMLSchema-instance" xsi:type="dcterms:W3CDTF">2026-10-19T02:03:30Z</dcterms:modified>
</cp:coreProperties>
</file>