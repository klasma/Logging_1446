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46163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46163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46163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46163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46163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46163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46163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46163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46163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46163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46163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29484-2025</t>
        </is>
      </c>
      <c r="B13" s="1" t="n">
        <v>45824.74599537037</v>
      </c>
      <c r="C13" s="1" t="n">
        <v>46163</v>
      </c>
      <c r="D13" t="inlineStr">
        <is>
          <t>VÄSTRA GÖTALANDS LÄN</t>
        </is>
      </c>
      <c r="E13" t="inlineStr">
        <is>
          <t>KARLSBORG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HYPERLINK("https://klasma.github.io/Logging_1446/artfynd/A 29484-2025 artfynd.xlsx", "A 29484-2025")</f>
        <v/>
      </c>
      <c r="T13">
        <f>HYPERLINK("https://klasma.github.io/Logging_1446/kartor/A 29484-2025 karta.png", "A 29484-2025")</f>
        <v/>
      </c>
      <c r="V13">
        <f>HYPERLINK("https://klasma.github.io/Logging_1446/klagomål/A 29484-2025 FSC-klagomål.docx", "A 29484-2025")</f>
        <v/>
      </c>
      <c r="W13">
        <f>HYPERLINK("https://klasma.github.io/Logging_1446/klagomålsmail/A 29484-2025 FSC-klagomål mail.docx", "A 29484-2025")</f>
        <v/>
      </c>
      <c r="X13">
        <f>HYPERLINK("https://klasma.github.io/Logging_1446/tillsyn/A 29484-2025 tillsynsbegäran.docx", "A 29484-2025")</f>
        <v/>
      </c>
      <c r="Y13">
        <f>HYPERLINK("https://klasma.github.io/Logging_1446/tillsynsmail/A 29484-2025 tillsynsbegäran mail.docx", "A 29484-2025")</f>
        <v/>
      </c>
    </row>
    <row r="14" ht="15" customHeight="1">
      <c r="A14" t="inlineStr">
        <is>
          <t>A 18881-2025</t>
        </is>
      </c>
      <c r="B14" s="1" t="n">
        <v>45764.43978009259</v>
      </c>
      <c r="C14" s="1" t="n">
        <v>46163</v>
      </c>
      <c r="D14" t="inlineStr">
        <is>
          <t>VÄSTRA GÖTALANDS LÄN</t>
        </is>
      </c>
      <c r="E14" t="inlineStr">
        <is>
          <t>KARLSBORG</t>
        </is>
      </c>
      <c r="G14" t="n">
        <v>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Hasselsnok</t>
        </is>
      </c>
      <c r="S14">
        <f>HYPERLINK("https://klasma.github.io/Logging_1446/artfynd/A 18881-2025 artfynd.xlsx", "A 18881-2025")</f>
        <v/>
      </c>
      <c r="T14">
        <f>HYPERLINK("https://klasma.github.io/Logging_1446/kartor/A 18881-2025 karta.png", "A 18881-2025")</f>
        <v/>
      </c>
      <c r="V14">
        <f>HYPERLINK("https://klasma.github.io/Logging_1446/klagomål/A 18881-2025 FSC-klagomål.docx", "A 18881-2025")</f>
        <v/>
      </c>
      <c r="W14">
        <f>HYPERLINK("https://klasma.github.io/Logging_1446/klagomålsmail/A 18881-2025 FSC-klagomål mail.docx", "A 18881-2025")</f>
        <v/>
      </c>
      <c r="X14">
        <f>HYPERLINK("https://klasma.github.io/Logging_1446/tillsyn/A 18881-2025 tillsynsbegäran.docx", "A 18881-2025")</f>
        <v/>
      </c>
      <c r="Y14">
        <f>HYPERLINK("https://klasma.github.io/Logging_1446/tillsynsmail/A 18881-2025 tillsynsbegäran mail.docx", "A 18881-2025")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46163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46163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8984-2025</t>
        </is>
      </c>
      <c r="B17" s="1" t="n">
        <v>45713.53513888889</v>
      </c>
      <c r="C17" s="1" t="n">
        <v>46163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8984-2025 artfynd.xlsx", "A 8984-2025")</f>
        <v/>
      </c>
      <c r="T17">
        <f>HYPERLINK("https://klasma.github.io/Logging_1446/kartor/A 8984-2025 karta.png", "A 8984-2025")</f>
        <v/>
      </c>
      <c r="V17">
        <f>HYPERLINK("https://klasma.github.io/Logging_1446/klagomål/A 8984-2025 FSC-klagomål.docx", "A 8984-2025")</f>
        <v/>
      </c>
      <c r="W17">
        <f>HYPERLINK("https://klasma.github.io/Logging_1446/klagomålsmail/A 8984-2025 FSC-klagomål mail.docx", "A 8984-2025")</f>
        <v/>
      </c>
      <c r="X17">
        <f>HYPERLINK("https://klasma.github.io/Logging_1446/tillsyn/A 8984-2025 tillsynsbegäran.docx", "A 8984-2025")</f>
        <v/>
      </c>
      <c r="Y17">
        <f>HYPERLINK("https://klasma.github.io/Logging_1446/tillsynsmail/A 8984-2025 tillsynsbegäran mail.docx", "A 8984-2025")</f>
        <v/>
      </c>
      <c r="Z17">
        <f>HYPERLINK("https://klasma.github.io/Logging_1446/fåglar/A 8984-2025 prioriterade fågelarter.docx", "A 8984-2025")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46163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46163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46163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46163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46163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46163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46163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46163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46163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46163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18625-2022</t>
        </is>
      </c>
      <c r="B28" s="1" t="n">
        <v>44687.44456018518</v>
      </c>
      <c r="C28" s="1" t="n">
        <v>46163</v>
      </c>
      <c r="D28" t="inlineStr">
        <is>
          <t>VÄSTRA GÖTALANDS LÄN</t>
        </is>
      </c>
      <c r="E28" t="inlineStr">
        <is>
          <t>KARLSBORG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41954-2021</t>
        </is>
      </c>
      <c r="B29" s="1" t="n">
        <v>44426</v>
      </c>
      <c r="C29" s="1" t="n">
        <v>46163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42501-2021</t>
        </is>
      </c>
      <c r="B30" s="1" t="n">
        <v>44427</v>
      </c>
      <c r="C30" s="1" t="n">
        <v>46163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46163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46163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46163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46163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46163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46163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46163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46163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46163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23469-2024</t>
        </is>
      </c>
      <c r="B40" s="1" t="n">
        <v>45453</v>
      </c>
      <c r="C40" s="1" t="n">
        <v>46163</v>
      </c>
      <c r="D40" t="inlineStr">
        <is>
          <t>VÄSTRA GÖTALANDS LÄN</t>
        </is>
      </c>
      <c r="E40" t="inlineStr">
        <is>
          <t>KARLSBORG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5439-2022</t>
        </is>
      </c>
      <c r="B41" s="1" t="n">
        <v>44595</v>
      </c>
      <c r="C41" s="1" t="n">
        <v>46163</v>
      </c>
      <c r="D41" t="inlineStr">
        <is>
          <t>VÄSTRA GÖTALANDS LÄN</t>
        </is>
      </c>
      <c r="E41" t="inlineStr">
        <is>
          <t>KARLSBORG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13076-2023</t>
        </is>
      </c>
      <c r="B42" s="1" t="n">
        <v>45002</v>
      </c>
      <c r="C42" s="1" t="n">
        <v>46163</v>
      </c>
      <c r="D42" t="inlineStr">
        <is>
          <t>VÄSTRA GÖTALANDS LÄN</t>
        </is>
      </c>
      <c r="E42" t="inlineStr">
        <is>
          <t>KARLSBORG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34120-2024</t>
        </is>
      </c>
      <c r="B43" s="1" t="n">
        <v>45524.30751157407</v>
      </c>
      <c r="C43" s="1" t="n">
        <v>46163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34123-2024</t>
        </is>
      </c>
      <c r="B44" s="1" t="n">
        <v>45524</v>
      </c>
      <c r="C44" s="1" t="n">
        <v>46163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10897-2025</t>
        </is>
      </c>
      <c r="B45" s="1" t="n">
        <v>45722.68349537037</v>
      </c>
      <c r="C45" s="1" t="n">
        <v>46163</v>
      </c>
      <c r="D45" t="inlineStr">
        <is>
          <t>VÄSTRA GÖTALANDS LÄN</t>
        </is>
      </c>
      <c r="E45" t="inlineStr">
        <is>
          <t>KARLSBORG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19125-2025</t>
        </is>
      </c>
      <c r="B46" s="1" t="n">
        <v>45768.8713425926</v>
      </c>
      <c r="C46" s="1" t="n">
        <v>46163</v>
      </c>
      <c r="D46" t="inlineStr">
        <is>
          <t>VÄSTRA GÖTALANDS LÄN</t>
        </is>
      </c>
      <c r="E46" t="inlineStr">
        <is>
          <t>KARLSBORG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19126-2025</t>
        </is>
      </c>
      <c r="B47" s="1" t="n">
        <v>45768.87210648148</v>
      </c>
      <c r="C47" s="1" t="n">
        <v>46163</v>
      </c>
      <c r="D47" t="inlineStr">
        <is>
          <t>VÄSTRA GÖTALANDS LÄN</t>
        </is>
      </c>
      <c r="E47" t="inlineStr">
        <is>
          <t>KARLSBORG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38073-2023</t>
        </is>
      </c>
      <c r="B48" s="1" t="n">
        <v>45160.77502314815</v>
      </c>
      <c r="C48" s="1" t="n">
        <v>46163</v>
      </c>
      <c r="D48" t="inlineStr">
        <is>
          <t>VÄSTRA GÖTALANDS LÄN</t>
        </is>
      </c>
      <c r="E48" t="inlineStr">
        <is>
          <t>KARLSBORG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70945-2021</t>
        </is>
      </c>
      <c r="B49" s="1" t="n">
        <v>44538.50564814815</v>
      </c>
      <c r="C49" s="1" t="n">
        <v>46163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32737-2021</t>
        </is>
      </c>
      <c r="B50" s="1" t="n">
        <v>44375</v>
      </c>
      <c r="C50" s="1" t="n">
        <v>46163</v>
      </c>
      <c r="D50" t="inlineStr">
        <is>
          <t>VÄSTRA GÖTALANDS LÄN</t>
        </is>
      </c>
      <c r="E50" t="inlineStr">
        <is>
          <t>KARLSBORG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42757-2024</t>
        </is>
      </c>
      <c r="B51" s="1" t="n">
        <v>45566.496875</v>
      </c>
      <c r="C51" s="1" t="n">
        <v>46163</v>
      </c>
      <c r="D51" t="inlineStr">
        <is>
          <t>VÄSTRA GÖTALANDS LÄN</t>
        </is>
      </c>
      <c r="E51" t="inlineStr">
        <is>
          <t>KARLSBORG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57454-2024</t>
        </is>
      </c>
      <c r="B52" s="1" t="n">
        <v>45630</v>
      </c>
      <c r="C52" s="1" t="n">
        <v>46163</v>
      </c>
      <c r="D52" t="inlineStr">
        <is>
          <t>VÄSTRA GÖTALANDS LÄN</t>
        </is>
      </c>
      <c r="E52" t="inlineStr">
        <is>
          <t>KARLSBORG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56541-2023</t>
        </is>
      </c>
      <c r="B53" s="1" t="n">
        <v>45243.57956018519</v>
      </c>
      <c r="C53" s="1" t="n">
        <v>46163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39285-2023</t>
        </is>
      </c>
      <c r="B54" s="1" t="n">
        <v>45166</v>
      </c>
      <c r="C54" s="1" t="n">
        <v>46163</v>
      </c>
      <c r="D54" t="inlineStr">
        <is>
          <t>VÄSTRA GÖTALANDS LÄN</t>
        </is>
      </c>
      <c r="E54" t="inlineStr">
        <is>
          <t>KARLSBORG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39287-2023</t>
        </is>
      </c>
      <c r="B55" s="1" t="n">
        <v>45166</v>
      </c>
      <c r="C55" s="1" t="n">
        <v>46163</v>
      </c>
      <c r="D55" t="inlineStr">
        <is>
          <t>VÄSTRA GÖTALANDS LÄN</t>
        </is>
      </c>
      <c r="E55" t="inlineStr">
        <is>
          <t>KARLSBORG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62304-2021</t>
        </is>
      </c>
      <c r="B56" s="1" t="n">
        <v>44503.38475694445</v>
      </c>
      <c r="C56" s="1" t="n">
        <v>46163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23268-2022</t>
        </is>
      </c>
      <c r="B57" s="1" t="n">
        <v>44720.40994212963</v>
      </c>
      <c r="C57" s="1" t="n">
        <v>46163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35441-2024</t>
        </is>
      </c>
      <c r="B58" s="1" t="n">
        <v>45531.4332175926</v>
      </c>
      <c r="C58" s="1" t="n">
        <v>46163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35443-2024</t>
        </is>
      </c>
      <c r="B59" s="1" t="n">
        <v>45531.43494212963</v>
      </c>
      <c r="C59" s="1" t="n">
        <v>46163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14514-2024</t>
        </is>
      </c>
      <c r="B60" s="1" t="n">
        <v>45394</v>
      </c>
      <c r="C60" s="1" t="n">
        <v>46163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15699-2025</t>
        </is>
      </c>
      <c r="B61" s="1" t="n">
        <v>45748.47081018519</v>
      </c>
      <c r="C61" s="1" t="n">
        <v>46163</v>
      </c>
      <c r="D61" t="inlineStr">
        <is>
          <t>VÄSTRA GÖTALANDS LÄN</t>
        </is>
      </c>
      <c r="E61" t="inlineStr">
        <is>
          <t>KARLSBORG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25696-2023</t>
        </is>
      </c>
      <c r="B62" s="1" t="n">
        <v>45089.96881944445</v>
      </c>
      <c r="C62" s="1" t="n">
        <v>46163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15220-2023</t>
        </is>
      </c>
      <c r="B63" s="1" t="n">
        <v>45019.30383101852</v>
      </c>
      <c r="C63" s="1" t="n">
        <v>46163</v>
      </c>
      <c r="D63" t="inlineStr">
        <is>
          <t>VÄSTRA GÖTALANDS LÄN</t>
        </is>
      </c>
      <c r="E63" t="inlineStr">
        <is>
          <t>KARLSBORG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37521-2024</t>
        </is>
      </c>
      <c r="B64" s="1" t="n">
        <v>45541.39284722223</v>
      </c>
      <c r="C64" s="1" t="n">
        <v>46163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28528-2024</t>
        </is>
      </c>
      <c r="B65" s="1" t="n">
        <v>45478.3252199074</v>
      </c>
      <c r="C65" s="1" t="n">
        <v>46163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9771-2024</t>
        </is>
      </c>
      <c r="B66" s="1" t="n">
        <v>45362</v>
      </c>
      <c r="C66" s="1" t="n">
        <v>46163</v>
      </c>
      <c r="D66" t="inlineStr">
        <is>
          <t>VÄSTRA GÖTALANDS LÄN</t>
        </is>
      </c>
      <c r="E66" t="inlineStr">
        <is>
          <t>KARLSBORG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26016-2023</t>
        </is>
      </c>
      <c r="B67" s="1" t="n">
        <v>45090.9447337963</v>
      </c>
      <c r="C67" s="1" t="n">
        <v>46163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44577-2023</t>
        </is>
      </c>
      <c r="B68" s="1" t="n">
        <v>45183</v>
      </c>
      <c r="C68" s="1" t="n">
        <v>46163</v>
      </c>
      <c r="D68" t="inlineStr">
        <is>
          <t>VÄSTRA GÖTALANDS LÄN</t>
        </is>
      </c>
      <c r="E68" t="inlineStr">
        <is>
          <t>KARLSBORG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51111-2024</t>
        </is>
      </c>
      <c r="B69" s="1" t="n">
        <v>45603.49332175926</v>
      </c>
      <c r="C69" s="1" t="n">
        <v>46163</v>
      </c>
      <c r="D69" t="inlineStr">
        <is>
          <t>VÄSTRA GÖTALANDS LÄN</t>
        </is>
      </c>
      <c r="E69" t="inlineStr">
        <is>
          <t>KARLSBORG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32314-2021</t>
        </is>
      </c>
      <c r="B70" s="1" t="n">
        <v>44371.53730324074</v>
      </c>
      <c r="C70" s="1" t="n">
        <v>46163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58127-2024</t>
        </is>
      </c>
      <c r="B71" s="1" t="n">
        <v>45632.40393518518</v>
      </c>
      <c r="C71" s="1" t="n">
        <v>46163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59887-2021</t>
        </is>
      </c>
      <c r="B72" s="1" t="n">
        <v>44494</v>
      </c>
      <c r="C72" s="1" t="n">
        <v>46163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38995-2024</t>
        </is>
      </c>
      <c r="B73" s="1" t="n">
        <v>45548.41292824074</v>
      </c>
      <c r="C73" s="1" t="n">
        <v>46163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13077-2023</t>
        </is>
      </c>
      <c r="B74" s="1" t="n">
        <v>45002.40217592593</v>
      </c>
      <c r="C74" s="1" t="n">
        <v>46163</v>
      </c>
      <c r="D74" t="inlineStr">
        <is>
          <t>VÄSTRA GÖTALANDS LÄN</t>
        </is>
      </c>
      <c r="E74" t="inlineStr">
        <is>
          <t>KARLSBORG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59845-2023</t>
        </is>
      </c>
      <c r="B75" s="1" t="n">
        <v>45257.56932870371</v>
      </c>
      <c r="C75" s="1" t="n">
        <v>46163</v>
      </c>
      <c r="D75" t="inlineStr">
        <is>
          <t>VÄSTRA GÖTALANDS LÄN</t>
        </is>
      </c>
      <c r="E75" t="inlineStr">
        <is>
          <t>KARLSBORG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14703-2025</t>
        </is>
      </c>
      <c r="B76" s="1" t="n">
        <v>45742.60491898148</v>
      </c>
      <c r="C76" s="1" t="n">
        <v>46163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29485-2025</t>
        </is>
      </c>
      <c r="B77" s="1" t="n">
        <v>45824.74728009259</v>
      </c>
      <c r="C77" s="1" t="n">
        <v>46163</v>
      </c>
      <c r="D77" t="inlineStr">
        <is>
          <t>VÄSTRA GÖTALANDS LÄN</t>
        </is>
      </c>
      <c r="E77" t="inlineStr">
        <is>
          <t>KARLSBORG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70783-2021</t>
        </is>
      </c>
      <c r="B78" s="1" t="n">
        <v>44537</v>
      </c>
      <c r="C78" s="1" t="n">
        <v>46163</v>
      </c>
      <c r="D78" t="inlineStr">
        <is>
          <t>VÄSTRA GÖTALANDS LÄN</t>
        </is>
      </c>
      <c r="E78" t="inlineStr">
        <is>
          <t>KARLSBORG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29486-2025</t>
        </is>
      </c>
      <c r="B79" s="1" t="n">
        <v>45824.75438657407</v>
      </c>
      <c r="C79" s="1" t="n">
        <v>46163</v>
      </c>
      <c r="D79" t="inlineStr">
        <is>
          <t>VÄSTRA GÖTALANDS LÄN</t>
        </is>
      </c>
      <c r="E79" t="inlineStr">
        <is>
          <t>KARLSBORG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44985-2024</t>
        </is>
      </c>
      <c r="B80" s="1" t="n">
        <v>45575.47465277778</v>
      </c>
      <c r="C80" s="1" t="n">
        <v>46163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57235-2022</t>
        </is>
      </c>
      <c r="B81" s="1" t="n">
        <v>44895.67813657408</v>
      </c>
      <c r="C81" s="1" t="n">
        <v>46163</v>
      </c>
      <c r="D81" t="inlineStr">
        <is>
          <t>VÄSTRA GÖTALANDS LÄN</t>
        </is>
      </c>
      <c r="E81" t="inlineStr">
        <is>
          <t>KARLSBORG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30676-2025</t>
        </is>
      </c>
      <c r="B82" s="1" t="n">
        <v>45831.52273148148</v>
      </c>
      <c r="C82" s="1" t="n">
        <v>46163</v>
      </c>
      <c r="D82" t="inlineStr">
        <is>
          <t>VÄSTRA GÖTALANDS LÄN</t>
        </is>
      </c>
      <c r="E82" t="inlineStr">
        <is>
          <t>KARLSBORG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30772-2025</t>
        </is>
      </c>
      <c r="B83" s="1" t="n">
        <v>45831.61435185185</v>
      </c>
      <c r="C83" s="1" t="n">
        <v>46163</v>
      </c>
      <c r="D83" t="inlineStr">
        <is>
          <t>VÄSTRA GÖTALANDS LÄN</t>
        </is>
      </c>
      <c r="E83" t="inlineStr">
        <is>
          <t>KARLSBORG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8052-2023</t>
        </is>
      </c>
      <c r="B84" s="1" t="n">
        <v>44974</v>
      </c>
      <c r="C84" s="1" t="n">
        <v>46163</v>
      </c>
      <c r="D84" t="inlineStr">
        <is>
          <t>VÄSTRA GÖTALANDS LÄN</t>
        </is>
      </c>
      <c r="E84" t="inlineStr">
        <is>
          <t>KARLSBORG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8053-2023</t>
        </is>
      </c>
      <c r="B85" s="1" t="n">
        <v>44974</v>
      </c>
      <c r="C85" s="1" t="n">
        <v>46163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52381-2024</t>
        </is>
      </c>
      <c r="B86" s="1" t="n">
        <v>45609.41010416667</v>
      </c>
      <c r="C86" s="1" t="n">
        <v>46163</v>
      </c>
      <c r="D86" t="inlineStr">
        <is>
          <t>VÄSTRA GÖTALANDS LÄN</t>
        </is>
      </c>
      <c r="E86" t="inlineStr">
        <is>
          <t>KARLSBORG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HYPERLINK("https://klasma.github.io/Logging_1446/knärot/A 52381-2024 karta knärot.png", "A 52381-2024")</f>
        <v/>
      </c>
      <c r="V86">
        <f>HYPERLINK("https://klasma.github.io/Logging_1446/klagomål/A 52381-2024 FSC-klagomål.docx", "A 52381-2024")</f>
        <v/>
      </c>
      <c r="W86">
        <f>HYPERLINK("https://klasma.github.io/Logging_1446/klagomålsmail/A 52381-2024 FSC-klagomål mail.docx", "A 52381-2024")</f>
        <v/>
      </c>
      <c r="X86">
        <f>HYPERLINK("https://klasma.github.io/Logging_1446/tillsyn/A 52381-2024 tillsynsbegäran.docx", "A 52381-2024")</f>
        <v/>
      </c>
      <c r="Y86">
        <f>HYPERLINK("https://klasma.github.io/Logging_1446/tillsynsmail/A 52381-2024 tillsynsbegäran mail.docx", "A 52381-2024")</f>
        <v/>
      </c>
    </row>
    <row r="87" ht="15" customHeight="1">
      <c r="A87" t="inlineStr">
        <is>
          <t>A 2796-2023</t>
        </is>
      </c>
      <c r="B87" s="1" t="n">
        <v>44944.70200231481</v>
      </c>
      <c r="C87" s="1" t="n">
        <v>46163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63732-2025</t>
        </is>
      </c>
      <c r="B88" s="1" t="n">
        <v>46010</v>
      </c>
      <c r="C88" s="1" t="n">
        <v>46163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statliga verk och myndigheter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31538-2025</t>
        </is>
      </c>
      <c r="B89" s="1" t="n">
        <v>45833.6284375</v>
      </c>
      <c r="C89" s="1" t="n">
        <v>46163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31440-2025</t>
        </is>
      </c>
      <c r="B90" s="1" t="n">
        <v>45833.51048611111</v>
      </c>
      <c r="C90" s="1" t="n">
        <v>46163</v>
      </c>
      <c r="D90" t="inlineStr">
        <is>
          <t>VÄSTRA GÖTALANDS LÄN</t>
        </is>
      </c>
      <c r="E90" t="inlineStr">
        <is>
          <t>KARLSBORG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40129-2023</t>
        </is>
      </c>
      <c r="B91" s="1" t="n">
        <v>45169</v>
      </c>
      <c r="C91" s="1" t="n">
        <v>46163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31444-2025</t>
        </is>
      </c>
      <c r="B92" s="1" t="n">
        <v>45833.51385416667</v>
      </c>
      <c r="C92" s="1" t="n">
        <v>46163</v>
      </c>
      <c r="D92" t="inlineStr">
        <is>
          <t>VÄSTRA GÖTALANDS LÄN</t>
        </is>
      </c>
      <c r="E92" t="inlineStr">
        <is>
          <t>KARLSBORG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29489-2025</t>
        </is>
      </c>
      <c r="B93" s="1" t="n">
        <v>45824.76096064815</v>
      </c>
      <c r="C93" s="1" t="n">
        <v>46163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43021-2021</t>
        </is>
      </c>
      <c r="B94" s="1" t="n">
        <v>44431.48305555555</v>
      </c>
      <c r="C94" s="1" t="n">
        <v>46163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48175-2024</t>
        </is>
      </c>
      <c r="B95" s="1" t="n">
        <v>45589.8465162037</v>
      </c>
      <c r="C95" s="1" t="n">
        <v>46163</v>
      </c>
      <c r="D95" t="inlineStr">
        <is>
          <t>VÄSTRA GÖTALANDS LÄN</t>
        </is>
      </c>
      <c r="E95" t="inlineStr">
        <is>
          <t>KARLSBORG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14525-2024</t>
        </is>
      </c>
      <c r="B96" s="1" t="n">
        <v>45394</v>
      </c>
      <c r="C96" s="1" t="n">
        <v>46163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31770-2025</t>
        </is>
      </c>
      <c r="B97" s="1" t="n">
        <v>45834.50756944445</v>
      </c>
      <c r="C97" s="1" t="n">
        <v>46163</v>
      </c>
      <c r="D97" t="inlineStr">
        <is>
          <t>VÄSTRA GÖTALANDS LÄN</t>
        </is>
      </c>
      <c r="E97" t="inlineStr">
        <is>
          <t>KARLSBORG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32128-2025</t>
        </is>
      </c>
      <c r="B98" s="1" t="n">
        <v>45835.50236111111</v>
      </c>
      <c r="C98" s="1" t="n">
        <v>46163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59401-2022</t>
        </is>
      </c>
      <c r="B99" s="1" t="n">
        <v>44906.90962962963</v>
      </c>
      <c r="C99" s="1" t="n">
        <v>46163</v>
      </c>
      <c r="D99" t="inlineStr">
        <is>
          <t>VÄSTRA GÖTALANDS LÄN</t>
        </is>
      </c>
      <c r="E99" t="inlineStr">
        <is>
          <t>KARLSBORG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31701-2025</t>
        </is>
      </c>
      <c r="B100" s="1" t="n">
        <v>45834</v>
      </c>
      <c r="C100" s="1" t="n">
        <v>46163</v>
      </c>
      <c r="D100" t="inlineStr">
        <is>
          <t>VÄSTRA GÖTALANDS LÄN</t>
        </is>
      </c>
      <c r="E100" t="inlineStr">
        <is>
          <t>KARLSBORG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63731-2025</t>
        </is>
      </c>
      <c r="B101" s="1" t="n">
        <v>46010</v>
      </c>
      <c r="C101" s="1" t="n">
        <v>46163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statliga verk och myndigheter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18868-2025</t>
        </is>
      </c>
      <c r="B102" s="1" t="n">
        <v>45764.43010416667</v>
      </c>
      <c r="C102" s="1" t="n">
        <v>46163</v>
      </c>
      <c r="D102" t="inlineStr">
        <is>
          <t>VÄSTRA GÖTALANDS LÄN</t>
        </is>
      </c>
      <c r="E102" t="inlineStr">
        <is>
          <t>KARLSBORG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18623-2022</t>
        </is>
      </c>
      <c r="B103" s="1" t="n">
        <v>44687.44261574074</v>
      </c>
      <c r="C103" s="1" t="n">
        <v>46163</v>
      </c>
      <c r="D103" t="inlineStr">
        <is>
          <t>VÄSTRA GÖTALANDS LÄN</t>
        </is>
      </c>
      <c r="E103" t="inlineStr">
        <is>
          <t>KARLSBORG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63734-2025</t>
        </is>
      </c>
      <c r="B104" s="1" t="n">
        <v>46010</v>
      </c>
      <c r="C104" s="1" t="n">
        <v>46163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statliga verk och myndigheter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28460-2023</t>
        </is>
      </c>
      <c r="B105" s="1" t="n">
        <v>45103.36616898148</v>
      </c>
      <c r="C105" s="1" t="n">
        <v>46163</v>
      </c>
      <c r="D105" t="inlineStr">
        <is>
          <t>VÄSTRA GÖTALANDS LÄN</t>
        </is>
      </c>
      <c r="E105" t="inlineStr">
        <is>
          <t>KARLSBORG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29490-2025</t>
        </is>
      </c>
      <c r="B106" s="1" t="n">
        <v>45824.76346064815</v>
      </c>
      <c r="C106" s="1" t="n">
        <v>46163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63733-2025</t>
        </is>
      </c>
      <c r="B107" s="1" t="n">
        <v>46010</v>
      </c>
      <c r="C107" s="1" t="n">
        <v>46163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statliga verk och myndigheter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7644-2026</t>
        </is>
      </c>
      <c r="B108" s="1" t="n">
        <v>46062.37766203703</v>
      </c>
      <c r="C108" s="1" t="n">
        <v>46163</v>
      </c>
      <c r="D108" t="inlineStr">
        <is>
          <t>VÄSTRA GÖTALANDS LÄN</t>
        </is>
      </c>
      <c r="E108" t="inlineStr">
        <is>
          <t>KARLSBORG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2784-2023</t>
        </is>
      </c>
      <c r="B109" s="1" t="n">
        <v>44944.66162037037</v>
      </c>
      <c r="C109" s="1" t="n">
        <v>46163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41350-2025</t>
        </is>
      </c>
      <c r="B110" s="1" t="n">
        <v>45899.65248842593</v>
      </c>
      <c r="C110" s="1" t="n">
        <v>46163</v>
      </c>
      <c r="D110" t="inlineStr">
        <is>
          <t>VÄSTRA GÖTALANDS LÄN</t>
        </is>
      </c>
      <c r="E110" t="inlineStr">
        <is>
          <t>KARLSBORG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9788-2025</t>
        </is>
      </c>
      <c r="B111" s="1" t="n">
        <v>45716.54331018519</v>
      </c>
      <c r="C111" s="1" t="n">
        <v>46163</v>
      </c>
      <c r="D111" t="inlineStr">
        <is>
          <t>VÄSTRA GÖTALANDS LÄN</t>
        </is>
      </c>
      <c r="E111" t="inlineStr">
        <is>
          <t>KARLSBORG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18248-2025</t>
        </is>
      </c>
      <c r="B112" s="1" t="n">
        <v>45761</v>
      </c>
      <c r="C112" s="1" t="n">
        <v>46163</v>
      </c>
      <c r="D112" t="inlineStr">
        <is>
          <t>VÄSTRA GÖTALANDS LÄN</t>
        </is>
      </c>
      <c r="E112" t="inlineStr">
        <is>
          <t>KARLSBORG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1454-2023</t>
        </is>
      </c>
      <c r="B113" s="1" t="n">
        <v>44937</v>
      </c>
      <c r="C113" s="1" t="n">
        <v>46163</v>
      </c>
      <c r="D113" t="inlineStr">
        <is>
          <t>VÄSTRA GÖTALANDS LÄN</t>
        </is>
      </c>
      <c r="E113" t="inlineStr">
        <is>
          <t>KARLSBORG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42710-2024</t>
        </is>
      </c>
      <c r="B114" s="1" t="n">
        <v>45566.44601851852</v>
      </c>
      <c r="C114" s="1" t="n">
        <v>46163</v>
      </c>
      <c r="D114" t="inlineStr">
        <is>
          <t>VÄSTRA GÖTALANDS LÄN</t>
        </is>
      </c>
      <c r="E114" t="inlineStr">
        <is>
          <t>KARLSBORG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53251-2024</t>
        </is>
      </c>
      <c r="B115" s="1" t="n">
        <v>45614.3022337963</v>
      </c>
      <c r="C115" s="1" t="n">
        <v>46163</v>
      </c>
      <c r="D115" t="inlineStr">
        <is>
          <t>VÄSTRA GÖTALANDS LÄN</t>
        </is>
      </c>
      <c r="E115" t="inlineStr">
        <is>
          <t>KARLSBORG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61559-2023</t>
        </is>
      </c>
      <c r="B116" s="1" t="n">
        <v>45265</v>
      </c>
      <c r="C116" s="1" t="n">
        <v>46163</v>
      </c>
      <c r="D116" t="inlineStr">
        <is>
          <t>VÄSTRA GÖTALANDS LÄN</t>
        </is>
      </c>
      <c r="E116" t="inlineStr">
        <is>
          <t>KARLSBORG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34314-2024</t>
        </is>
      </c>
      <c r="B117" s="1" t="n">
        <v>45524</v>
      </c>
      <c r="C117" s="1" t="n">
        <v>46163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41684-2023</t>
        </is>
      </c>
      <c r="B118" s="1" t="n">
        <v>45176.35422453703</v>
      </c>
      <c r="C118" s="1" t="n">
        <v>46163</v>
      </c>
      <c r="D118" t="inlineStr">
        <is>
          <t>VÄSTRA GÖTALANDS LÄN</t>
        </is>
      </c>
      <c r="E118" t="inlineStr">
        <is>
          <t>KARLSBORG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35929-2025</t>
        </is>
      </c>
      <c r="B119" s="1" t="n">
        <v>45862.61262731482</v>
      </c>
      <c r="C119" s="1" t="n">
        <v>46163</v>
      </c>
      <c r="D119" t="inlineStr">
        <is>
          <t>VÄSTRA GÖTALANDS LÄN</t>
        </is>
      </c>
      <c r="E119" t="inlineStr">
        <is>
          <t>KARLSBORG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35930-2025</t>
        </is>
      </c>
      <c r="B120" s="1" t="n">
        <v>45862</v>
      </c>
      <c r="C120" s="1" t="n">
        <v>46163</v>
      </c>
      <c r="D120" t="inlineStr">
        <is>
          <t>VÄSTRA GÖTALANDS LÄN</t>
        </is>
      </c>
      <c r="E120" t="inlineStr">
        <is>
          <t>KARLSBORG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18083-2024</t>
        </is>
      </c>
      <c r="B121" s="1" t="n">
        <v>45420.44768518519</v>
      </c>
      <c r="C121" s="1" t="n">
        <v>46163</v>
      </c>
      <c r="D121" t="inlineStr">
        <is>
          <t>VÄSTRA GÖTALANDS LÄN</t>
        </is>
      </c>
      <c r="E121" t="inlineStr">
        <is>
          <t>KARLSBORG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9130-2026</t>
        </is>
      </c>
      <c r="B122" s="1" t="n">
        <v>46069.71768518518</v>
      </c>
      <c r="C122" s="1" t="n">
        <v>46163</v>
      </c>
      <c r="D122" t="inlineStr">
        <is>
          <t>VÄSTRA GÖTALANDS LÄN</t>
        </is>
      </c>
      <c r="E122" t="inlineStr">
        <is>
          <t>KARLSBORG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42757-2025</t>
        </is>
      </c>
      <c r="B123" s="1" t="n">
        <v>45908.45122685185</v>
      </c>
      <c r="C123" s="1" t="n">
        <v>46163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Kyrkan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2791-2023</t>
        </is>
      </c>
      <c r="B124" s="1" t="n">
        <v>44944.67371527778</v>
      </c>
      <c r="C124" s="1" t="n">
        <v>46163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10828-2024</t>
        </is>
      </c>
      <c r="B125" s="1" t="n">
        <v>45369.69503472222</v>
      </c>
      <c r="C125" s="1" t="n">
        <v>46163</v>
      </c>
      <c r="D125" t="inlineStr">
        <is>
          <t>VÄSTRA GÖTALANDS LÄN</t>
        </is>
      </c>
      <c r="E125" t="inlineStr">
        <is>
          <t>KARLSBORG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37036-2025</t>
        </is>
      </c>
      <c r="B126" s="1" t="n">
        <v>45875</v>
      </c>
      <c r="C126" s="1" t="n">
        <v>46163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39699-2025</t>
        </is>
      </c>
      <c r="B127" s="1" t="n">
        <v>45890</v>
      </c>
      <c r="C127" s="1" t="n">
        <v>46163</v>
      </c>
      <c r="D127" t="inlineStr">
        <is>
          <t>VÄSTRA GÖTALANDS LÄN</t>
        </is>
      </c>
      <c r="E127" t="inlineStr">
        <is>
          <t>KARLSBORG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26914-2024</t>
        </is>
      </c>
      <c r="B128" s="1" t="n">
        <v>45470.79201388889</v>
      </c>
      <c r="C128" s="1" t="n">
        <v>46163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44366-2025</t>
        </is>
      </c>
      <c r="B129" s="1" t="n">
        <v>45916.45835648148</v>
      </c>
      <c r="C129" s="1" t="n">
        <v>46163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Kyrkan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44595-2025</t>
        </is>
      </c>
      <c r="B130" s="1" t="n">
        <v>45917.42762731481</v>
      </c>
      <c r="C130" s="1" t="n">
        <v>46163</v>
      </c>
      <c r="D130" t="inlineStr">
        <is>
          <t>VÄSTRA GÖTALANDS LÄN</t>
        </is>
      </c>
      <c r="E130" t="inlineStr">
        <is>
          <t>KARLSBORG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34670-2022</t>
        </is>
      </c>
      <c r="B131" s="1" t="n">
        <v>44795.48201388889</v>
      </c>
      <c r="C131" s="1" t="n">
        <v>46163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45247-2025</t>
        </is>
      </c>
      <c r="B132" s="1" t="n">
        <v>45919.60940972222</v>
      </c>
      <c r="C132" s="1" t="n">
        <v>46163</v>
      </c>
      <c r="D132" t="inlineStr">
        <is>
          <t>VÄSTRA GÖTALANDS LÄN</t>
        </is>
      </c>
      <c r="E132" t="inlineStr">
        <is>
          <t>KARLSBORG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45256-2025</t>
        </is>
      </c>
      <c r="B133" s="1" t="n">
        <v>45919.62141203704</v>
      </c>
      <c r="C133" s="1" t="n">
        <v>46163</v>
      </c>
      <c r="D133" t="inlineStr">
        <is>
          <t>VÄSTRA GÖTALANDS LÄN</t>
        </is>
      </c>
      <c r="E133" t="inlineStr">
        <is>
          <t>KARLSBORG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38290-2025</t>
        </is>
      </c>
      <c r="B134" s="1" t="n">
        <v>45883.44046296296</v>
      </c>
      <c r="C134" s="1" t="n">
        <v>46163</v>
      </c>
      <c r="D134" t="inlineStr">
        <is>
          <t>VÄSTRA GÖTALANDS LÄN</t>
        </is>
      </c>
      <c r="E134" t="inlineStr">
        <is>
          <t>KARLSBORG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25999-2023</t>
        </is>
      </c>
      <c r="B135" s="1" t="n">
        <v>45090.93861111111</v>
      </c>
      <c r="C135" s="1" t="n">
        <v>46163</v>
      </c>
      <c r="D135" t="inlineStr">
        <is>
          <t>VÄSTRA GÖTALANDS LÄN</t>
        </is>
      </c>
      <c r="E135" t="inlineStr">
        <is>
          <t>KARLSBORG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41937-2024</t>
        </is>
      </c>
      <c r="B136" s="1" t="n">
        <v>45561.57283564815</v>
      </c>
      <c r="C136" s="1" t="n">
        <v>46163</v>
      </c>
      <c r="D136" t="inlineStr">
        <is>
          <t>VÄSTRA GÖTALANDS LÄN</t>
        </is>
      </c>
      <c r="E136" t="inlineStr">
        <is>
          <t>KARLSBORG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22960-2025</t>
        </is>
      </c>
      <c r="B137" s="1" t="n">
        <v>45790.53807870371</v>
      </c>
      <c r="C137" s="1" t="n">
        <v>46163</v>
      </c>
      <c r="D137" t="inlineStr">
        <is>
          <t>VÄSTRA GÖTALANDS LÄN</t>
        </is>
      </c>
      <c r="E137" t="inlineStr">
        <is>
          <t>KARLSBORG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5402-2022</t>
        </is>
      </c>
      <c r="B138" s="1" t="n">
        <v>44595</v>
      </c>
      <c r="C138" s="1" t="n">
        <v>46163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17002-2025</t>
        </is>
      </c>
      <c r="B139" s="1" t="n">
        <v>45755</v>
      </c>
      <c r="C139" s="1" t="n">
        <v>46163</v>
      </c>
      <c r="D139" t="inlineStr">
        <is>
          <t>VÄSTRA GÖTALANDS LÄN</t>
        </is>
      </c>
      <c r="E139" t="inlineStr">
        <is>
          <t>KARLSBORG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10907-2026</t>
        </is>
      </c>
      <c r="B140" s="1" t="n">
        <v>46079.30614583333</v>
      </c>
      <c r="C140" s="1" t="n">
        <v>46163</v>
      </c>
      <c r="D140" t="inlineStr">
        <is>
          <t>VÄSTRA GÖTALANDS LÄN</t>
        </is>
      </c>
      <c r="E140" t="inlineStr">
        <is>
          <t>KARLSBORG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24594-2022</t>
        </is>
      </c>
      <c r="B141" s="1" t="n">
        <v>44727.4684837963</v>
      </c>
      <c r="C141" s="1" t="n">
        <v>46163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47265-2025</t>
        </is>
      </c>
      <c r="B142" s="1" t="n">
        <v>45930.45715277778</v>
      </c>
      <c r="C142" s="1" t="n">
        <v>46163</v>
      </c>
      <c r="D142" t="inlineStr">
        <is>
          <t>VÄSTRA GÖTALANDS LÄN</t>
        </is>
      </c>
      <c r="E142" t="inlineStr">
        <is>
          <t>KARLSBORG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54444-2023</t>
        </is>
      </c>
      <c r="B143" s="1" t="n">
        <v>45233.4384375</v>
      </c>
      <c r="C143" s="1" t="n">
        <v>46163</v>
      </c>
      <c r="D143" t="inlineStr">
        <is>
          <t>VÄSTRA GÖTALANDS LÄN</t>
        </is>
      </c>
      <c r="E143" t="inlineStr">
        <is>
          <t>KARLSBORG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47262-2025</t>
        </is>
      </c>
      <c r="B144" s="1" t="n">
        <v>45930.45395833333</v>
      </c>
      <c r="C144" s="1" t="n">
        <v>46163</v>
      </c>
      <c r="D144" t="inlineStr">
        <is>
          <t>VÄSTRA GÖTALANDS LÄN</t>
        </is>
      </c>
      <c r="E144" t="inlineStr">
        <is>
          <t>KARLSBORG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18519-2026</t>
        </is>
      </c>
      <c r="B145" s="1" t="n">
        <v>46127.52006944444</v>
      </c>
      <c r="C145" s="1" t="n">
        <v>46163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18518-2026</t>
        </is>
      </c>
      <c r="B146" s="1" t="n">
        <v>46127.5178125</v>
      </c>
      <c r="C146" s="1" t="n">
        <v>46163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18541-2026</t>
        </is>
      </c>
      <c r="B147" s="1" t="n">
        <v>46127.56465277778</v>
      </c>
      <c r="C147" s="1" t="n">
        <v>46163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18546-2026</t>
        </is>
      </c>
      <c r="B148" s="1" t="n">
        <v>46127.56579861111</v>
      </c>
      <c r="C148" s="1" t="n">
        <v>46163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18544-2026</t>
        </is>
      </c>
      <c r="B149" s="1" t="n">
        <v>46127.56519675926</v>
      </c>
      <c r="C149" s="1" t="n">
        <v>46163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48129-2025</t>
        </is>
      </c>
      <c r="B150" s="1" t="n">
        <v>45933.36778935185</v>
      </c>
      <c r="C150" s="1" t="n">
        <v>46163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42778-2024</t>
        </is>
      </c>
      <c r="B151" s="1" t="n">
        <v>45566.52706018519</v>
      </c>
      <c r="C151" s="1" t="n">
        <v>46163</v>
      </c>
      <c r="D151" t="inlineStr">
        <is>
          <t>VÄSTRA GÖTALANDS LÄN</t>
        </is>
      </c>
      <c r="E151" t="inlineStr">
        <is>
          <t>KARLSBORG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18567-2026</t>
        </is>
      </c>
      <c r="B152" s="1" t="n">
        <v>46127.58752314815</v>
      </c>
      <c r="C152" s="1" t="n">
        <v>46163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30136-2024</t>
        </is>
      </c>
      <c r="B153" s="1" t="n">
        <v>45489.56859953704</v>
      </c>
      <c r="C153" s="1" t="n">
        <v>46163</v>
      </c>
      <c r="D153" t="inlineStr">
        <is>
          <t>VÄSTRA GÖTALANDS LÄN</t>
        </is>
      </c>
      <c r="E153" t="inlineStr">
        <is>
          <t>KARLSBORG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14738-2025</t>
        </is>
      </c>
      <c r="B154" s="1" t="n">
        <v>45742.64620370371</v>
      </c>
      <c r="C154" s="1" t="n">
        <v>46163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48386-2025</t>
        </is>
      </c>
      <c r="B155" s="1" t="n">
        <v>45933.85197916667</v>
      </c>
      <c r="C155" s="1" t="n">
        <v>46163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65313-2021</t>
        </is>
      </c>
      <c r="B156" s="1" t="n">
        <v>44515.62417824074</v>
      </c>
      <c r="C156" s="1" t="n">
        <v>46163</v>
      </c>
      <c r="D156" t="inlineStr">
        <is>
          <t>VÄSTRA GÖTALANDS LÄN</t>
        </is>
      </c>
      <c r="E156" t="inlineStr">
        <is>
          <t>KARLSBORG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16918-2025</t>
        </is>
      </c>
      <c r="B157" s="1" t="n">
        <v>45755.37185185185</v>
      </c>
      <c r="C157" s="1" t="n">
        <v>46163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26017-2023</t>
        </is>
      </c>
      <c r="B158" s="1" t="n">
        <v>45090.95387731482</v>
      </c>
      <c r="C158" s="1" t="n">
        <v>46163</v>
      </c>
      <c r="D158" t="inlineStr">
        <is>
          <t>VÄSTRA GÖTALANDS LÄN</t>
        </is>
      </c>
      <c r="E158" t="inlineStr">
        <is>
          <t>KARLSBORG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50985-2023</t>
        </is>
      </c>
      <c r="B159" s="1" t="n">
        <v>45218.53603009259</v>
      </c>
      <c r="C159" s="1" t="n">
        <v>46163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10415-2025</t>
        </is>
      </c>
      <c r="B160" s="1" t="n">
        <v>45720.63358796296</v>
      </c>
      <c r="C160" s="1" t="n">
        <v>46163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49864-2025</t>
        </is>
      </c>
      <c r="B161" s="1" t="n">
        <v>45940.52149305555</v>
      </c>
      <c r="C161" s="1" t="n">
        <v>46163</v>
      </c>
      <c r="D161" t="inlineStr">
        <is>
          <t>VÄSTRA GÖTALANDS LÄN</t>
        </is>
      </c>
      <c r="E161" t="inlineStr">
        <is>
          <t>KARLSBORG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49985-2025</t>
        </is>
      </c>
      <c r="B162" s="1" t="n">
        <v>45942.7809837963</v>
      </c>
      <c r="C162" s="1" t="n">
        <v>46163</v>
      </c>
      <c r="D162" t="inlineStr">
        <is>
          <t>VÄSTRA GÖTALANDS LÄN</t>
        </is>
      </c>
      <c r="E162" t="inlineStr">
        <is>
          <t>KARLSBORG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49866-2025</t>
        </is>
      </c>
      <c r="B163" s="1" t="n">
        <v>45940.53121527778</v>
      </c>
      <c r="C163" s="1" t="n">
        <v>46163</v>
      </c>
      <c r="D163" t="inlineStr">
        <is>
          <t>VÄSTRA GÖTALANDS LÄN</t>
        </is>
      </c>
      <c r="E163" t="inlineStr">
        <is>
          <t>KARLSBORG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41689-2023</t>
        </is>
      </c>
      <c r="B164" s="1" t="n">
        <v>45176</v>
      </c>
      <c r="C164" s="1" t="n">
        <v>46163</v>
      </c>
      <c r="D164" t="inlineStr">
        <is>
          <t>VÄSTRA GÖTALANDS LÄN</t>
        </is>
      </c>
      <c r="E164" t="inlineStr">
        <is>
          <t>KARLSBORG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57915-2024</t>
        </is>
      </c>
      <c r="B165" s="1" t="n">
        <v>45631.49766203704</v>
      </c>
      <c r="C165" s="1" t="n">
        <v>46163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41943-2024</t>
        </is>
      </c>
      <c r="B166" s="1" t="n">
        <v>45561.57412037037</v>
      </c>
      <c r="C166" s="1" t="n">
        <v>46163</v>
      </c>
      <c r="D166" t="inlineStr">
        <is>
          <t>VÄSTRA GÖTALANDS LÄN</t>
        </is>
      </c>
      <c r="E166" t="inlineStr">
        <is>
          <t>KARLSBORG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18564-2026</t>
        </is>
      </c>
      <c r="B167" s="1" t="n">
        <v>46127.58626157408</v>
      </c>
      <c r="C167" s="1" t="n">
        <v>46163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13252-2024</t>
        </is>
      </c>
      <c r="B168" s="1" t="n">
        <v>45386.57976851852</v>
      </c>
      <c r="C168" s="1" t="n">
        <v>46163</v>
      </c>
      <c r="D168" t="inlineStr">
        <is>
          <t>VÄSTRA GÖTALANDS LÄN</t>
        </is>
      </c>
      <c r="E168" t="inlineStr">
        <is>
          <t>KARLSBORG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59045-2023</t>
        </is>
      </c>
      <c r="B169" s="1" t="n">
        <v>45252.7372800926</v>
      </c>
      <c r="C169" s="1" t="n">
        <v>46163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53647-2025</t>
        </is>
      </c>
      <c r="B170" s="1" t="n">
        <v>45960.52046296297</v>
      </c>
      <c r="C170" s="1" t="n">
        <v>46163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53645-2025</t>
        </is>
      </c>
      <c r="B171" s="1" t="n">
        <v>45960.51917824074</v>
      </c>
      <c r="C171" s="1" t="n">
        <v>46163</v>
      </c>
      <c r="D171" t="inlineStr">
        <is>
          <t>VÄSTRA GÖTALANDS LÄN</t>
        </is>
      </c>
      <c r="E171" t="inlineStr">
        <is>
          <t>KARLSBORG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59399-2022</t>
        </is>
      </c>
      <c r="B172" s="1" t="n">
        <v>44906.89612268518</v>
      </c>
      <c r="C172" s="1" t="n">
        <v>46163</v>
      </c>
      <c r="D172" t="inlineStr">
        <is>
          <t>VÄSTRA GÖTALANDS LÄN</t>
        </is>
      </c>
      <c r="E172" t="inlineStr">
        <is>
          <t>KARLSBORG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54454-2025</t>
        </is>
      </c>
      <c r="B173" s="1" t="n">
        <v>45965.55086805556</v>
      </c>
      <c r="C173" s="1" t="n">
        <v>46163</v>
      </c>
      <c r="D173" t="inlineStr">
        <is>
          <t>VÄSTRA GÖTALANDS LÄN</t>
        </is>
      </c>
      <c r="E173" t="inlineStr">
        <is>
          <t>KARLSBORG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48888-2023</t>
        </is>
      </c>
      <c r="B174" s="1" t="n">
        <v>45209</v>
      </c>
      <c r="C174" s="1" t="n">
        <v>46163</v>
      </c>
      <c r="D174" t="inlineStr">
        <is>
          <t>VÄSTRA GÖTALANDS LÄN</t>
        </is>
      </c>
      <c r="E174" t="inlineStr">
        <is>
          <t>KARLSBORG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48174-2024</t>
        </is>
      </c>
      <c r="B175" s="1" t="n">
        <v>45589.84282407408</v>
      </c>
      <c r="C175" s="1" t="n">
        <v>46163</v>
      </c>
      <c r="D175" t="inlineStr">
        <is>
          <t>VÄSTRA GÖTALANDS LÄN</t>
        </is>
      </c>
      <c r="E175" t="inlineStr">
        <is>
          <t>KARLSBORG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56110-2025</t>
        </is>
      </c>
      <c r="B176" s="1" t="n">
        <v>45973.73524305555</v>
      </c>
      <c r="C176" s="1" t="n">
        <v>46163</v>
      </c>
      <c r="D176" t="inlineStr">
        <is>
          <t>VÄSTRA GÖTALANDS LÄN</t>
        </is>
      </c>
      <c r="E176" t="inlineStr">
        <is>
          <t>KARLSBORG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7652-2023</t>
        </is>
      </c>
      <c r="B177" s="1" t="n">
        <v>44972</v>
      </c>
      <c r="C177" s="1" t="n">
        <v>46163</v>
      </c>
      <c r="D177" t="inlineStr">
        <is>
          <t>VÄSTRA GÖTALANDS LÄN</t>
        </is>
      </c>
      <c r="E177" t="inlineStr">
        <is>
          <t>KARLSBORG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20937-2026</t>
        </is>
      </c>
      <c r="B178" s="1" t="n">
        <v>46142.49815972222</v>
      </c>
      <c r="C178" s="1" t="n">
        <v>46163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23500-2023</t>
        </is>
      </c>
      <c r="B179" s="1" t="n">
        <v>45076</v>
      </c>
      <c r="C179" s="1" t="n">
        <v>46163</v>
      </c>
      <c r="D179" t="inlineStr">
        <is>
          <t>VÄSTRA GÖTALANDS LÄN</t>
        </is>
      </c>
      <c r="E179" t="inlineStr">
        <is>
          <t>KARLSBORG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61542-2023</t>
        </is>
      </c>
      <c r="B180" s="1" t="n">
        <v>45265</v>
      </c>
      <c r="C180" s="1" t="n">
        <v>46163</v>
      </c>
      <c r="D180" t="inlineStr">
        <is>
          <t>VÄSTRA GÖTALANDS LÄN</t>
        </is>
      </c>
      <c r="E180" t="inlineStr">
        <is>
          <t>KARLSBORG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20940-2026</t>
        </is>
      </c>
      <c r="B181" s="1" t="n">
        <v>46142.4990625</v>
      </c>
      <c r="C181" s="1" t="n">
        <v>46163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57581-2025</t>
        </is>
      </c>
      <c r="B182" s="1" t="n">
        <v>45980</v>
      </c>
      <c r="C182" s="1" t="n">
        <v>46163</v>
      </c>
      <c r="D182" t="inlineStr">
        <is>
          <t>VÄSTRA GÖTALANDS LÄN</t>
        </is>
      </c>
      <c r="E182" t="inlineStr">
        <is>
          <t>KARLSBORG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42661-2021</t>
        </is>
      </c>
      <c r="B183" s="1" t="n">
        <v>44428</v>
      </c>
      <c r="C183" s="1" t="n">
        <v>46163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Kyrkan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53439-2025</t>
        </is>
      </c>
      <c r="B184" s="1" t="n">
        <v>45959</v>
      </c>
      <c r="C184" s="1" t="n">
        <v>46163</v>
      </c>
      <c r="D184" t="inlineStr">
        <is>
          <t>VÄSTRA GÖTALANDS LÄN</t>
        </is>
      </c>
      <c r="E184" t="inlineStr">
        <is>
          <t>KARLSBORG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9337-2025</t>
        </is>
      </c>
      <c r="B185" s="1" t="n">
        <v>45714</v>
      </c>
      <c r="C185" s="1" t="n">
        <v>46163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21014-2026</t>
        </is>
      </c>
      <c r="B186" s="1" t="n">
        <v>46143.38006944444</v>
      </c>
      <c r="C186" s="1" t="n">
        <v>46163</v>
      </c>
      <c r="D186" t="inlineStr">
        <is>
          <t>VÄSTRA GÖTALANDS LÄN</t>
        </is>
      </c>
      <c r="E186" t="inlineStr">
        <is>
          <t>KARLSBORG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58533-2023</t>
        </is>
      </c>
      <c r="B187" s="1" t="n">
        <v>45251</v>
      </c>
      <c r="C187" s="1" t="n">
        <v>46163</v>
      </c>
      <c r="D187" t="inlineStr">
        <is>
          <t>VÄSTRA GÖTALANDS LÄN</t>
        </is>
      </c>
      <c r="E187" t="inlineStr">
        <is>
          <t>KARLSBORG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59111-2025</t>
        </is>
      </c>
      <c r="B188" s="1" t="n">
        <v>45988.48037037037</v>
      </c>
      <c r="C188" s="1" t="n">
        <v>46163</v>
      </c>
      <c r="D188" t="inlineStr">
        <is>
          <t>VÄSTRA GÖTALANDS LÄN</t>
        </is>
      </c>
      <c r="E188" t="inlineStr">
        <is>
          <t>KARLSBORG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58152-2022</t>
        </is>
      </c>
      <c r="B189" s="1" t="n">
        <v>44900</v>
      </c>
      <c r="C189" s="1" t="n">
        <v>46163</v>
      </c>
      <c r="D189" t="inlineStr">
        <is>
          <t>VÄSTRA GÖTALANDS LÄN</t>
        </is>
      </c>
      <c r="E189" t="inlineStr">
        <is>
          <t>KARLSBORG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59697-2025</t>
        </is>
      </c>
      <c r="B190" s="1" t="n">
        <v>45992.49255787037</v>
      </c>
      <c r="C190" s="1" t="n">
        <v>46163</v>
      </c>
      <c r="D190" t="inlineStr">
        <is>
          <t>VÄSTRA GÖTALANDS LÄN</t>
        </is>
      </c>
      <c r="E190" t="inlineStr">
        <is>
          <t>KARLSBORG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873-2025</t>
        </is>
      </c>
      <c r="B191" s="1" t="n">
        <v>45665.63168981481</v>
      </c>
      <c r="C191" s="1" t="n">
        <v>46163</v>
      </c>
      <c r="D191" t="inlineStr">
        <is>
          <t>VÄSTRA GÖTALANDS LÄN</t>
        </is>
      </c>
      <c r="E191" t="inlineStr">
        <is>
          <t>KARLSBORG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37363-2022</t>
        </is>
      </c>
      <c r="B192" s="1" t="n">
        <v>44809</v>
      </c>
      <c r="C192" s="1" t="n">
        <v>46163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29357-2024</t>
        </is>
      </c>
      <c r="B193" s="1" t="n">
        <v>45483</v>
      </c>
      <c r="C193" s="1" t="n">
        <v>46163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10007-2025</t>
        </is>
      </c>
      <c r="B194" s="1" t="n">
        <v>45719.45627314815</v>
      </c>
      <c r="C194" s="1" t="n">
        <v>46163</v>
      </c>
      <c r="D194" t="inlineStr">
        <is>
          <t>VÄSTRA GÖTALANDS LÄN</t>
        </is>
      </c>
      <c r="E194" t="inlineStr">
        <is>
          <t>KARLSBORG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60878-2025</t>
        </is>
      </c>
      <c r="B195" s="1" t="n">
        <v>45999.55688657407</v>
      </c>
      <c r="C195" s="1" t="n">
        <v>46163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60877-2025</t>
        </is>
      </c>
      <c r="B196" s="1" t="n">
        <v>45999.55611111111</v>
      </c>
      <c r="C196" s="1" t="n">
        <v>46163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53247-2023</t>
        </is>
      </c>
      <c r="B197" s="1" t="n">
        <v>45229.50737268518</v>
      </c>
      <c r="C197" s="1" t="n">
        <v>46163</v>
      </c>
      <c r="D197" t="inlineStr">
        <is>
          <t>VÄSTRA GÖTALANDS LÄN</t>
        </is>
      </c>
      <c r="E197" t="inlineStr">
        <is>
          <t>KARLSBORG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412-2023</t>
        </is>
      </c>
      <c r="B198" s="1" t="n">
        <v>44929</v>
      </c>
      <c r="C198" s="1" t="n">
        <v>46163</v>
      </c>
      <c r="D198" t="inlineStr">
        <is>
          <t>VÄSTRA GÖTALANDS LÄN</t>
        </is>
      </c>
      <c r="E198" t="inlineStr">
        <is>
          <t>KARLSBORG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T198">
        <f>HYPERLINK("https://klasma.github.io/Logging_1446/kartor/A 412-2023 karta.png", "A 412-2023")</f>
        <v/>
      </c>
      <c r="V198">
        <f>HYPERLINK("https://klasma.github.io/Logging_1446/klagomål/A 412-2023 FSC-klagomål.docx", "A 412-2023")</f>
        <v/>
      </c>
      <c r="W198">
        <f>HYPERLINK("https://klasma.github.io/Logging_1446/klagomålsmail/A 412-2023 FSC-klagomål mail.docx", "A 412-2023")</f>
        <v/>
      </c>
      <c r="X198">
        <f>HYPERLINK("https://klasma.github.io/Logging_1446/tillsyn/A 412-2023 tillsynsbegäran.docx", "A 412-2023")</f>
        <v/>
      </c>
      <c r="Y198">
        <f>HYPERLINK("https://klasma.github.io/Logging_1446/tillsynsmail/A 412-2023 tillsynsbegäran mail.docx", "A 412-2023")</f>
        <v/>
      </c>
    </row>
    <row r="199" ht="15" customHeight="1">
      <c r="A199" t="inlineStr">
        <is>
          <t>A 54623-2024</t>
        </is>
      </c>
      <c r="B199" s="1" t="n">
        <v>45617.76770833333</v>
      </c>
      <c r="C199" s="1" t="n">
        <v>46163</v>
      </c>
      <c r="D199" t="inlineStr">
        <is>
          <t>VÄSTRA GÖTALANDS LÄN</t>
        </is>
      </c>
      <c r="E199" t="inlineStr">
        <is>
          <t>KARLSBORG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62068-2025</t>
        </is>
      </c>
      <c r="B200" s="1" t="n">
        <v>46006.35954861111</v>
      </c>
      <c r="C200" s="1" t="n">
        <v>46163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62072-2025</t>
        </is>
      </c>
      <c r="B201" s="1" t="n">
        <v>46006.36180555556</v>
      </c>
      <c r="C201" s="1" t="n">
        <v>46163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43709-2024</t>
        </is>
      </c>
      <c r="B202" s="1" t="n">
        <v>45569</v>
      </c>
      <c r="C202" s="1" t="n">
        <v>46163</v>
      </c>
      <c r="D202" t="inlineStr">
        <is>
          <t>VÄSTRA GÖTALANDS LÄN</t>
        </is>
      </c>
      <c r="E202" t="inlineStr">
        <is>
          <t>KARLSBORG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29685-2022</t>
        </is>
      </c>
      <c r="B203" s="1" t="n">
        <v>44755.30305555555</v>
      </c>
      <c r="C203" s="1" t="n">
        <v>46163</v>
      </c>
      <c r="D203" t="inlineStr">
        <is>
          <t>VÄSTRA GÖTALANDS LÄN</t>
        </is>
      </c>
      <c r="E203" t="inlineStr">
        <is>
          <t>KARLSBORG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21988-2026</t>
        </is>
      </c>
      <c r="B204" s="1" t="n">
        <v>46153.33217592593</v>
      </c>
      <c r="C204" s="1" t="n">
        <v>46163</v>
      </c>
      <c r="D204" t="inlineStr">
        <is>
          <t>VÄSTRA GÖTALANDS LÄN</t>
        </is>
      </c>
      <c r="E204" t="inlineStr">
        <is>
          <t>KARLSBORG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59712-2021</t>
        </is>
      </c>
      <c r="B205" s="1" t="n">
        <v>44494</v>
      </c>
      <c r="C205" s="1" t="n">
        <v>46163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64011-2025</t>
        </is>
      </c>
      <c r="B206" s="1" t="n">
        <v>46021.43207175926</v>
      </c>
      <c r="C206" s="1" t="n">
        <v>46163</v>
      </c>
      <c r="D206" t="inlineStr">
        <is>
          <t>VÄSTRA GÖTALANDS LÄN</t>
        </is>
      </c>
      <c r="E206" t="inlineStr">
        <is>
          <t>KARLSBORG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64012-2025</t>
        </is>
      </c>
      <c r="B207" s="1" t="n">
        <v>46021.43547453704</v>
      </c>
      <c r="C207" s="1" t="n">
        <v>46163</v>
      </c>
      <c r="D207" t="inlineStr">
        <is>
          <t>VÄSTRA GÖTALANDS LÄN</t>
        </is>
      </c>
      <c r="E207" t="inlineStr">
        <is>
          <t>KARLSBORG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64025-2025</t>
        </is>
      </c>
      <c r="B208" s="1" t="n">
        <v>46021.47168981482</v>
      </c>
      <c r="C208" s="1" t="n">
        <v>46163</v>
      </c>
      <c r="D208" t="inlineStr">
        <is>
          <t>VÄSTRA GÖTALANDS LÄN</t>
        </is>
      </c>
      <c r="E208" t="inlineStr">
        <is>
          <t>KARLSBORG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56545-2023</t>
        </is>
      </c>
      <c r="B209" s="1" t="n">
        <v>45243.58105324074</v>
      </c>
      <c r="C209" s="1" t="n">
        <v>46163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61211-2022</t>
        </is>
      </c>
      <c r="B210" s="1" t="n">
        <v>44908</v>
      </c>
      <c r="C210" s="1" t="n">
        <v>46163</v>
      </c>
      <c r="D210" t="inlineStr">
        <is>
          <t>VÄSTRA GÖTALANDS LÄN</t>
        </is>
      </c>
      <c r="E210" t="inlineStr">
        <is>
          <t>KARLSBORG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22886-2026</t>
        </is>
      </c>
      <c r="B211" s="1" t="n">
        <v>46160.47539351852</v>
      </c>
      <c r="C211" s="1" t="n">
        <v>46163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22877-2026</t>
        </is>
      </c>
      <c r="B212" s="1" t="n">
        <v>46160.45571759259</v>
      </c>
      <c r="C212" s="1" t="n">
        <v>46163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57913-2024</t>
        </is>
      </c>
      <c r="B213" s="1" t="n">
        <v>45631.49569444444</v>
      </c>
      <c r="C213" s="1" t="n">
        <v>46163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7977-2025</t>
        </is>
      </c>
      <c r="B214" s="1" t="n">
        <v>45707.46462962963</v>
      </c>
      <c r="C214" s="1" t="n">
        <v>46163</v>
      </c>
      <c r="D214" t="inlineStr">
        <is>
          <t>VÄSTRA GÖTALANDS LÄN</t>
        </is>
      </c>
      <c r="E214" t="inlineStr">
        <is>
          <t>KARLSBORG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59047-2023</t>
        </is>
      </c>
      <c r="B215" s="1" t="n">
        <v>45252.73967592593</v>
      </c>
      <c r="C215" s="1" t="n">
        <v>46163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22890-2026</t>
        </is>
      </c>
      <c r="B216" s="1" t="n">
        <v>46160.47850694445</v>
      </c>
      <c r="C216" s="1" t="n">
        <v>46163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41923-2024</t>
        </is>
      </c>
      <c r="B217" s="1" t="n">
        <v>45561</v>
      </c>
      <c r="C217" s="1" t="n">
        <v>46163</v>
      </c>
      <c r="D217" t="inlineStr">
        <is>
          <t>VÄSTRA GÖTALANDS LÄN</t>
        </is>
      </c>
      <c r="E217" t="inlineStr">
        <is>
          <t>KARLSBORG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38103-2023</t>
        </is>
      </c>
      <c r="B218" s="1" t="n">
        <v>45161</v>
      </c>
      <c r="C218" s="1" t="n">
        <v>46163</v>
      </c>
      <c r="D218" t="inlineStr">
        <is>
          <t>VÄSTRA GÖTALANDS LÄN</t>
        </is>
      </c>
      <c r="E218" t="inlineStr">
        <is>
          <t>KARLSBORG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4430-2026</t>
        </is>
      </c>
      <c r="B219" s="1" t="n">
        <v>46045.62002314815</v>
      </c>
      <c r="C219" s="1" t="n">
        <v>46163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4436-2026</t>
        </is>
      </c>
      <c r="B220" s="1" t="n">
        <v>46045.62513888889</v>
      </c>
      <c r="C220" s="1" t="n">
        <v>46163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4439-2026</t>
        </is>
      </c>
      <c r="B221" s="1" t="n">
        <v>46045.63331018519</v>
      </c>
      <c r="C221" s="1" t="n">
        <v>46163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14.3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4454-2026</t>
        </is>
      </c>
      <c r="B222" s="1" t="n">
        <v>46045.64197916666</v>
      </c>
      <c r="C222" s="1" t="n">
        <v>46163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4448-2026</t>
        </is>
      </c>
      <c r="B223" s="1" t="n">
        <v>46045.63888888889</v>
      </c>
      <c r="C223" s="1" t="n">
        <v>46163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4433-2026</t>
        </is>
      </c>
      <c r="B224" s="1" t="n">
        <v>46045.62255787037</v>
      </c>
      <c r="C224" s="1" t="n">
        <v>46163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4435-2026</t>
        </is>
      </c>
      <c r="B225" s="1" t="n">
        <v>46045.62402777778</v>
      </c>
      <c r="C225" s="1" t="n">
        <v>46163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58129-2024</t>
        </is>
      </c>
      <c r="B226" s="1" t="n">
        <v>45632.40585648148</v>
      </c>
      <c r="C226" s="1" t="n">
        <v>46163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13010-2025</t>
        </is>
      </c>
      <c r="B227" s="1" t="n">
        <v>45734.52155092593</v>
      </c>
      <c r="C227" s="1" t="n">
        <v>46163</v>
      </c>
      <c r="D227" t="inlineStr">
        <is>
          <t>VÄSTRA GÖTALANDS LÄN</t>
        </is>
      </c>
      <c r="E227" t="inlineStr">
        <is>
          <t>KARLSBORG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48385-2025</t>
        </is>
      </c>
      <c r="B228" s="1" t="n">
        <v>45933.84990740741</v>
      </c>
      <c r="C228" s="1" t="n">
        <v>46163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14522-2024</t>
        </is>
      </c>
      <c r="B229" s="1" t="n">
        <v>45394.62971064815</v>
      </c>
      <c r="C229" s="1" t="n">
        <v>46163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5441-2026</t>
        </is>
      </c>
      <c r="B230" s="1" t="n">
        <v>46050.56890046296</v>
      </c>
      <c r="C230" s="1" t="n">
        <v>46163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6463-2025</t>
        </is>
      </c>
      <c r="B231" s="1" t="n">
        <v>45699.56878472222</v>
      </c>
      <c r="C231" s="1" t="n">
        <v>46163</v>
      </c>
      <c r="D231" t="inlineStr">
        <is>
          <t>VÄSTRA GÖTALANDS LÄN</t>
        </is>
      </c>
      <c r="E231" t="inlineStr">
        <is>
          <t>KARLSBORG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6035-2026</t>
        </is>
      </c>
      <c r="B232" s="1" t="n">
        <v>46052.61423611111</v>
      </c>
      <c r="C232" s="1" t="n">
        <v>46163</v>
      </c>
      <c r="D232" t="inlineStr">
        <is>
          <t>VÄSTRA GÖTALANDS LÄN</t>
        </is>
      </c>
      <c r="E232" t="inlineStr">
        <is>
          <t>KARLSBORG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6408-2026</t>
        </is>
      </c>
      <c r="B233" s="1" t="n">
        <v>46055.67207175926</v>
      </c>
      <c r="C233" s="1" t="n">
        <v>46163</v>
      </c>
      <c r="D233" t="inlineStr">
        <is>
          <t>VÄSTRA GÖTALANDS LÄN</t>
        </is>
      </c>
      <c r="E233" t="inlineStr">
        <is>
          <t>KARLSBORG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48884-2023</t>
        </is>
      </c>
      <c r="B234" s="1" t="n">
        <v>45209</v>
      </c>
      <c r="C234" s="1" t="n">
        <v>46163</v>
      </c>
      <c r="D234" t="inlineStr">
        <is>
          <t>VÄSTRA GÖTALANDS LÄN</t>
        </is>
      </c>
      <c r="E234" t="inlineStr">
        <is>
          <t>KARLSBORG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59890-2021</t>
        </is>
      </c>
      <c r="B235" s="1" t="n">
        <v>44494</v>
      </c>
      <c r="C235" s="1" t="n">
        <v>46163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59404-2022</t>
        </is>
      </c>
      <c r="B236" s="1" t="n">
        <v>44906.9374537037</v>
      </c>
      <c r="C236" s="1" t="n">
        <v>46163</v>
      </c>
      <c r="D236" t="inlineStr">
        <is>
          <t>VÄSTRA GÖTALANDS LÄN</t>
        </is>
      </c>
      <c r="E236" t="inlineStr">
        <is>
          <t>KARLSBORG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36820-2022</t>
        </is>
      </c>
      <c r="B237" s="1" t="n">
        <v>44805.55697916666</v>
      </c>
      <c r="C237" s="1" t="n">
        <v>46163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69341-2021</t>
        </is>
      </c>
      <c r="B238" s="1" t="n">
        <v>44531</v>
      </c>
      <c r="C238" s="1" t="n">
        <v>46163</v>
      </c>
      <c r="D238" t="inlineStr">
        <is>
          <t>VÄSTRA GÖTALANDS LÄN</t>
        </is>
      </c>
      <c r="E238" t="inlineStr">
        <is>
          <t>KARLSBORG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45089.98043981481</v>
      </c>
      <c r="C239" s="1" t="n">
        <v>46163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34125-2024</t>
        </is>
      </c>
      <c r="B240" s="1" t="n">
        <v>45524.31809027777</v>
      </c>
      <c r="C240" s="1" t="n">
        <v>46163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15396-2024</t>
        </is>
      </c>
      <c r="B241" s="1" t="n">
        <v>45401</v>
      </c>
      <c r="C241" s="1" t="n">
        <v>46163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59877-2021</t>
        </is>
      </c>
      <c r="B242" s="1" t="n">
        <v>44494</v>
      </c>
      <c r="C242" s="1" t="n">
        <v>46163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statliga verk och myndigheter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8990-2025</t>
        </is>
      </c>
      <c r="B243" s="1" t="n">
        <v>45713.54516203704</v>
      </c>
      <c r="C243" s="1" t="n">
        <v>46163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27823-2023</t>
        </is>
      </c>
      <c r="B244" s="1" t="n">
        <v>45098.5205787037</v>
      </c>
      <c r="C244" s="1" t="n">
        <v>46163</v>
      </c>
      <c r="D244" t="inlineStr">
        <is>
          <t>VÄSTRA GÖTALANDS LÄN</t>
        </is>
      </c>
      <c r="E244" t="inlineStr">
        <is>
          <t>KARLSBORG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53898-2023</t>
        </is>
      </c>
      <c r="B245" s="1" t="n">
        <v>45231.54010416667</v>
      </c>
      <c r="C245" s="1" t="n">
        <v>46163</v>
      </c>
      <c r="D245" t="inlineStr">
        <is>
          <t>VÄSTRA GÖTALANDS LÄN</t>
        </is>
      </c>
      <c r="E245" t="inlineStr">
        <is>
          <t>KARLSBORG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45019-2024</t>
        </is>
      </c>
      <c r="B246" s="1" t="n">
        <v>45575.49673611111</v>
      </c>
      <c r="C246" s="1" t="n">
        <v>46163</v>
      </c>
      <c r="D246" t="inlineStr">
        <is>
          <t>VÄSTRA GÖTALANDS LÄN</t>
        </is>
      </c>
      <c r="E246" t="inlineStr">
        <is>
          <t>KARLSBORG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24008-2023</t>
        </is>
      </c>
      <c r="B247" s="1" t="n">
        <v>45078.67081018518</v>
      </c>
      <c r="C247" s="1" t="n">
        <v>46163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42825-2024</t>
        </is>
      </c>
      <c r="B248" s="1" t="n">
        <v>45566.60034722222</v>
      </c>
      <c r="C248" s="1" t="n">
        <v>46163</v>
      </c>
      <c r="D248" t="inlineStr">
        <is>
          <t>VÄSTRA GÖTALANDS LÄN</t>
        </is>
      </c>
      <c r="E248" t="inlineStr">
        <is>
          <t>KARLSBORG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13659-2024</t>
        </is>
      </c>
      <c r="B249" s="1" t="n">
        <v>45390.48613425926</v>
      </c>
      <c r="C249" s="1" t="n">
        <v>46163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58573-2023</t>
        </is>
      </c>
      <c r="B250" s="1" t="n">
        <v>45251</v>
      </c>
      <c r="C250" s="1" t="n">
        <v>46163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37383-2022</t>
        </is>
      </c>
      <c r="B251" s="1" t="n">
        <v>44809.40762731482</v>
      </c>
      <c r="C251" s="1" t="n">
        <v>46163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56495-2023</t>
        </is>
      </c>
      <c r="B252" s="1" t="n">
        <v>45243.52725694444</v>
      </c>
      <c r="C252" s="1" t="n">
        <v>46163</v>
      </c>
      <c r="D252" t="inlineStr">
        <is>
          <t>VÄSTRA GÖTALANDS LÄN</t>
        </is>
      </c>
      <c r="E252" t="inlineStr">
        <is>
          <t>KARLSBORG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26467-2021</t>
        </is>
      </c>
      <c r="B253" s="1" t="n">
        <v>44348.39732638889</v>
      </c>
      <c r="C253" s="1" t="n">
        <v>46163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53909-2023</t>
        </is>
      </c>
      <c r="B254" s="1" t="n">
        <v>45231.55700231482</v>
      </c>
      <c r="C254" s="1" t="n">
        <v>46163</v>
      </c>
      <c r="D254" t="inlineStr">
        <is>
          <t>VÄSTRA GÖTALANDS LÄN</t>
        </is>
      </c>
      <c r="E254" t="inlineStr">
        <is>
          <t>KARLSBORG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37519-2024</t>
        </is>
      </c>
      <c r="B255" s="1" t="n">
        <v>45541.39113425926</v>
      </c>
      <c r="C255" s="1" t="n">
        <v>46163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2100-2023</t>
        </is>
      </c>
      <c r="B256" s="1" t="n">
        <v>44939.71349537037</v>
      </c>
      <c r="C256" s="1" t="n">
        <v>46163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17908-2025</t>
        </is>
      </c>
      <c r="B257" s="1" t="n">
        <v>45758.73297453704</v>
      </c>
      <c r="C257" s="1" t="n">
        <v>46163</v>
      </c>
      <c r="D257" t="inlineStr">
        <is>
          <t>VÄSTRA GÖTALANDS LÄN</t>
        </is>
      </c>
      <c r="E257" t="inlineStr">
        <is>
          <t>KARLSBORG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42598-2024</t>
        </is>
      </c>
      <c r="B258" s="1" t="n">
        <v>45565.70193287037</v>
      </c>
      <c r="C258" s="1" t="n">
        <v>46163</v>
      </c>
      <c r="D258" t="inlineStr">
        <is>
          <t>VÄSTRA GÖTALANDS LÄN</t>
        </is>
      </c>
      <c r="E258" t="inlineStr">
        <is>
          <t>KARLSBORG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40128-2023</t>
        </is>
      </c>
      <c r="B259" s="1" t="n">
        <v>45169</v>
      </c>
      <c r="C259" s="1" t="n">
        <v>46163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15656-2024</t>
        </is>
      </c>
      <c r="B260" s="1" t="n">
        <v>45404</v>
      </c>
      <c r="C260" s="1" t="n">
        <v>46163</v>
      </c>
      <c r="D260" t="inlineStr">
        <is>
          <t>VÄSTRA GÖTALANDS LÄN</t>
        </is>
      </c>
      <c r="E260" t="inlineStr">
        <is>
          <t>KARLSBORG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42724-2024</t>
        </is>
      </c>
      <c r="B261" s="1" t="n">
        <v>45566.46574074074</v>
      </c>
      <c r="C261" s="1" t="n">
        <v>46163</v>
      </c>
      <c r="D261" t="inlineStr">
        <is>
          <t>VÄSTRA GÖTALANDS LÄN</t>
        </is>
      </c>
      <c r="E261" t="inlineStr">
        <is>
          <t>KARLSBORG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15958-2022</t>
        </is>
      </c>
      <c r="B262" s="1" t="n">
        <v>44664.84104166667</v>
      </c>
      <c r="C262" s="1" t="n">
        <v>46163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20564-2024</t>
        </is>
      </c>
      <c r="B263" s="1" t="n">
        <v>45436</v>
      </c>
      <c r="C263" s="1" t="n">
        <v>46163</v>
      </c>
      <c r="D263" t="inlineStr">
        <is>
          <t>VÄSTRA GÖTALANDS LÄN</t>
        </is>
      </c>
      <c r="E263" t="inlineStr">
        <is>
          <t>KARLSBORG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53898-2021</t>
        </is>
      </c>
      <c r="B264" s="1" t="n">
        <v>44469.70724537037</v>
      </c>
      <c r="C264" s="1" t="n">
        <v>46163</v>
      </c>
      <c r="D264" t="inlineStr">
        <is>
          <t>VÄSTRA GÖTALANDS LÄN</t>
        </is>
      </c>
      <c r="E264" t="inlineStr">
        <is>
          <t>KARLSBORG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45224-2021</t>
        </is>
      </c>
      <c r="B265" s="1" t="n">
        <v>44439.5778587963</v>
      </c>
      <c r="C265" s="1" t="n">
        <v>46163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54416-2024</t>
        </is>
      </c>
      <c r="B266" s="1" t="n">
        <v>45617</v>
      </c>
      <c r="C266" s="1" t="n">
        <v>46163</v>
      </c>
      <c r="D266" t="inlineStr">
        <is>
          <t>VÄSTRA GÖTALANDS LÄN</t>
        </is>
      </c>
      <c r="E266" t="inlineStr">
        <is>
          <t>KARLSBORG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22435-2025</t>
        </is>
      </c>
      <c r="B267" s="1" t="n">
        <v>45786.58416666667</v>
      </c>
      <c r="C267" s="1" t="n">
        <v>46163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22761-2025</t>
        </is>
      </c>
      <c r="B268" s="1" t="n">
        <v>45789.6207175926</v>
      </c>
      <c r="C268" s="1" t="n">
        <v>46163</v>
      </c>
      <c r="D268" t="inlineStr">
        <is>
          <t>VÄSTRA GÖTALANDS LÄN</t>
        </is>
      </c>
      <c r="E268" t="inlineStr">
        <is>
          <t>KARLSBORG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13008-2025</t>
        </is>
      </c>
      <c r="B269" s="1" t="n">
        <v>45734.51854166666</v>
      </c>
      <c r="C269" s="1" t="n">
        <v>46163</v>
      </c>
      <c r="D269" t="inlineStr">
        <is>
          <t>VÄSTRA GÖTALANDS LÄN</t>
        </is>
      </c>
      <c r="E269" t="inlineStr">
        <is>
          <t>KARLSBORG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14862-2025</t>
        </is>
      </c>
      <c r="B270" s="1" t="n">
        <v>45743.4346875</v>
      </c>
      <c r="C270" s="1" t="n">
        <v>46163</v>
      </c>
      <c r="D270" t="inlineStr">
        <is>
          <t>VÄSTRA GÖTALANDS LÄN</t>
        </is>
      </c>
      <c r="E270" t="inlineStr">
        <is>
          <t>KARLSBORG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10667-2025</t>
        </is>
      </c>
      <c r="B271" s="1" t="n">
        <v>45721.76960648148</v>
      </c>
      <c r="C271" s="1" t="n">
        <v>46163</v>
      </c>
      <c r="D271" t="inlineStr">
        <is>
          <t>VÄSTRA GÖTALANDS LÄN</t>
        </is>
      </c>
      <c r="E271" t="inlineStr">
        <is>
          <t>KARLSBORG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57727-2024</t>
        </is>
      </c>
      <c r="B272" s="1" t="n">
        <v>45630.70841435185</v>
      </c>
      <c r="C272" s="1" t="n">
        <v>46163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35040-2024</t>
        </is>
      </c>
      <c r="B273" s="1" t="n">
        <v>45527.61861111111</v>
      </c>
      <c r="C273" s="1" t="n">
        <v>46163</v>
      </c>
      <c r="D273" t="inlineStr">
        <is>
          <t>VÄSTRA GÖTALANDS LÄN</t>
        </is>
      </c>
      <c r="E273" t="inlineStr">
        <is>
          <t>KARLSBORG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3575-2025</t>
        </is>
      </c>
      <c r="B274" s="1" t="n">
        <v>45680.72295138889</v>
      </c>
      <c r="C274" s="1" t="n">
        <v>46163</v>
      </c>
      <c r="D274" t="inlineStr">
        <is>
          <t>VÄSTRA GÖTALANDS LÄN</t>
        </is>
      </c>
      <c r="E274" t="inlineStr">
        <is>
          <t>KARLSBORG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25982-2025</t>
        </is>
      </c>
      <c r="B275" s="1" t="n">
        <v>45804.63818287037</v>
      </c>
      <c r="C275" s="1" t="n">
        <v>46163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Övriga Aktiebolag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7978-2025</t>
        </is>
      </c>
      <c r="B276" s="1" t="n">
        <v>45707.46611111111</v>
      </c>
      <c r="C276" s="1" t="n">
        <v>46163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46904-2024</t>
        </is>
      </c>
      <c r="B277" s="1" t="n">
        <v>45583.70912037037</v>
      </c>
      <c r="C277" s="1" t="n">
        <v>46163</v>
      </c>
      <c r="D277" t="inlineStr">
        <is>
          <t>VÄSTRA GÖTALANDS LÄN</t>
        </is>
      </c>
      <c r="E277" t="inlineStr">
        <is>
          <t>KARLSBORG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28315-2025</t>
        </is>
      </c>
      <c r="B278" s="1" t="n">
        <v>45818.62765046296</v>
      </c>
      <c r="C278" s="1" t="n">
        <v>46163</v>
      </c>
      <c r="D278" t="inlineStr">
        <is>
          <t>VÄSTRA GÖTALANDS LÄN</t>
        </is>
      </c>
      <c r="E278" t="inlineStr">
        <is>
          <t>KARLSBORG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29488-2025</t>
        </is>
      </c>
      <c r="B279" s="1" t="n">
        <v>45824</v>
      </c>
      <c r="C279" s="1" t="n">
        <v>46163</v>
      </c>
      <c r="D279" t="inlineStr">
        <is>
          <t>VÄSTRA GÖTALANDS LÄN</t>
        </is>
      </c>
      <c r="E279" t="inlineStr">
        <is>
          <t>KARLSBORG</t>
        </is>
      </c>
      <c r="F279" t="inlineStr">
        <is>
          <t>Övriga Aktiebolag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2026-05-21T10:48:42Z</dcterms:created>
  <dcterms:modified xmlns:dcterms="http://purl.org/dc/terms/" xmlns:xsi="http://www.w3.org/2001/XMLSchema-instance" xsi:type="dcterms:W3CDTF">2026-05-21T10:48:42Z</dcterms:modified>
</cp:coreProperties>
</file>