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46308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46308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46308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46308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46308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46308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46308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46308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46308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46308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46308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46308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46308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53909-2023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45231</v>
      </c>
      <c r="E15" s="1" t="n">
        <v>46308</v>
      </c>
      <c r="F15" t="inlineStr">
        <is>
          <t>VÄSTRA GÖTALANDS LÄN</t>
        </is>
      </c>
      <c r="G15" t="inlineStr">
        <is>
          <t>KARLSBORG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HYPERLINK("https://klasma.github.io/Logging_1446/artfynd/A 53909-2023 artfynd.xlsx", "A 53909-2023")</f>
        <v/>
      </c>
      <c r="X15">
        <f>HYPERLINK("https://klasma.github.io/Logging_1446/kartor/A 53909-2023 karta.png", "A 53909-2023")</f>
        <v/>
      </c>
      <c r="Y15">
        <f>HYPERLINK("https://klasma.github.io/Logging_1446/kartor_geotiff/A 53909-2023 georefererad karta.tif", "A 53909-2023")</f>
        <v/>
      </c>
      <c r="AA15">
        <f>HYPERLINK("https://klasma.github.io/Logging_1446/klagomål/A 53909-2023 FSC-klagomål.docx", "A 53909-2023")</f>
        <v/>
      </c>
      <c r="AB15">
        <f>HYPERLINK("https://klasma.github.io/Logging_1446/klagomålsmail/A 53909-2023 FSC-klagomål mail.docx", "A 53909-2023")</f>
        <v/>
      </c>
      <c r="AC15">
        <f>HYPERLINK("https://klasma.github.io/Logging_1446/tillsyn/A 53909-2023 tillsynsbegäran.docx", "A 53909-2023")</f>
        <v/>
      </c>
      <c r="AD15">
        <f>HYPERLINK("https://klasma.github.io/Logging_1446/tillsynsmail/A 53909-2023 tillsynsbegäran mail.docx", "A 53909-2023")</f>
        <v/>
      </c>
    </row>
    <row r="16" ht="15" customHeight="1">
      <c r="A16" t="inlineStr">
        <is>
          <t>A 23973-2023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45075</v>
      </c>
      <c r="E16" s="1" t="n">
        <v>46308</v>
      </c>
      <c r="F16" t="inlineStr">
        <is>
          <t>VÄSTRA GÖTALANDS LÄN</t>
        </is>
      </c>
      <c r="G16" t="inlineStr">
        <is>
          <t>KARLSBORG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Orre</t>
        </is>
      </c>
      <c r="W16">
        <f>HYPERLINK("https://klasma.github.io/Logging_1446/artfynd/A 23973-2023 artfynd.xlsx", "A 23973-2023")</f>
        <v/>
      </c>
      <c r="X16">
        <f>HYPERLINK("https://klasma.github.io/Logging_1446/kartor/A 23973-2023 karta.png", "A 23973-2023")</f>
        <v/>
      </c>
      <c r="Y16">
        <f>HYPERLINK("https://klasma.github.io/Logging_1446/kartor_geotiff/A 23973-2023 georefererad karta.tif", "A 23973-2023")</f>
        <v/>
      </c>
      <c r="AA16">
        <f>HYPERLINK("https://klasma.github.io/Logging_1446/klagomål/A 23973-2023 FSC-klagomål.docx", "A 23973-2023")</f>
        <v/>
      </c>
      <c r="AB16">
        <f>HYPERLINK("https://klasma.github.io/Logging_1446/klagomålsmail/A 23973-2023 FSC-klagomål mail.docx", "A 23973-2023")</f>
        <v/>
      </c>
      <c r="AC16">
        <f>HYPERLINK("https://klasma.github.io/Logging_1446/tillsyn/A 23973-2023 tillsynsbegäran.docx", "A 23973-2023")</f>
        <v/>
      </c>
      <c r="AD16">
        <f>HYPERLINK("https://klasma.github.io/Logging_1446/tillsynsmail/A 23973-2023 tillsynsbegäran mail.docx", "A 23973-2023")</f>
        <v/>
      </c>
      <c r="AE16">
        <f>HYPERLINK("https://klasma.github.io/Logging_1446/fåglar/A 23973-2023 prioriterade fågelarter.docx", "A 23973-2023")</f>
        <v/>
      </c>
    </row>
    <row r="17" ht="15" customHeight="1">
      <c r="A17" t="inlineStr">
        <is>
          <t>A 29156-2026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46202</v>
      </c>
      <c r="E17" s="1" t="n">
        <v>46308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1.2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HYPERLINK("https://klasma.github.io/Logging_1446/artfynd/A 29156-2026 artfynd.xlsx", "A 29156-2026")</f>
        <v/>
      </c>
      <c r="X17">
        <f>HYPERLINK("https://klasma.github.io/Logging_1446/kartor/A 29156-2026 karta.png", "A 29156-2026")</f>
        <v/>
      </c>
      <c r="Y17">
        <f>HYPERLINK("https://klasma.github.io/Logging_1446/kartor_geotiff/A 29156-2026 georefererad karta.tif", "A 29156-2026")</f>
        <v/>
      </c>
      <c r="AA17">
        <f>HYPERLINK("https://klasma.github.io/Logging_1446/klagomål/A 29156-2026 FSC-klagomål.docx", "A 29156-2026")</f>
        <v/>
      </c>
      <c r="AB17">
        <f>HYPERLINK("https://klasma.github.io/Logging_1446/klagomålsmail/A 29156-2026 FSC-klagomål mail.docx", "A 29156-2026")</f>
        <v/>
      </c>
      <c r="AC17">
        <f>HYPERLINK("https://klasma.github.io/Logging_1446/tillsyn/A 29156-2026 tillsynsbegäran.docx", "A 29156-2026")</f>
        <v/>
      </c>
      <c r="AD17">
        <f>HYPERLINK("https://klasma.github.io/Logging_1446/tillsynsmail/A 29156-2026 tillsynsbegäran mail.docx", "A 29156-2026")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46308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4448-2026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46045</v>
      </c>
      <c r="E19" s="1" t="n">
        <v>46308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HYPERLINK("https://klasma.github.io/Logging_1446/artfynd/A 4448-2026 artfynd.xlsx", "A 4448-2026")</f>
        <v/>
      </c>
      <c r="X19">
        <f>HYPERLINK("https://klasma.github.io/Logging_1446/kartor/A 4448-2026 karta.png", "A 4448-2026")</f>
        <v/>
      </c>
      <c r="Y19">
        <f>HYPERLINK("https://klasma.github.io/Logging_1446/kartor_geotiff/A 4448-2026 georefererad karta.tif", "A 4448-2026")</f>
        <v/>
      </c>
      <c r="AA19">
        <f>HYPERLINK("https://klasma.github.io/Logging_1446/klagomål/A 4448-2026 FSC-klagomål.docx", "A 4448-2026")</f>
        <v/>
      </c>
      <c r="AB19">
        <f>HYPERLINK("https://klasma.github.io/Logging_1446/klagomålsmail/A 4448-2026 FSC-klagomål mail.docx", "A 4448-2026")</f>
        <v/>
      </c>
      <c r="AC19">
        <f>HYPERLINK("https://klasma.github.io/Logging_1446/tillsyn/A 4448-2026 tillsynsbegäran.docx", "A 4448-2026")</f>
        <v/>
      </c>
      <c r="AD19">
        <f>HYPERLINK("https://klasma.github.io/Logging_1446/tillsynsmail/A 4448-2026 tillsynsbegäran mail.docx", "A 4448-2026")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46308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18567-2026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46308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2.6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18567-2026 artfynd.xlsx", "A 18567-2026")</f>
        <v/>
      </c>
      <c r="X21">
        <f>HYPERLINK("https://klasma.github.io/Logging_1446/kartor/A 18567-2026 karta.png", "A 18567-2026")</f>
        <v/>
      </c>
      <c r="Y21">
        <f>HYPERLINK("https://klasma.github.io/Logging_1446/kartor_geotiff/A 18567-2026 georefererad karta.tif", "A 18567-2026")</f>
        <v/>
      </c>
      <c r="AA21">
        <f>HYPERLINK("https://klasma.github.io/Logging_1446/klagomål/A 18567-2026 FSC-klagomål.docx", "A 18567-2026")</f>
        <v/>
      </c>
      <c r="AB21">
        <f>HYPERLINK("https://klasma.github.io/Logging_1446/klagomålsmail/A 18567-2026 FSC-klagomål mail.docx", "A 18567-2026")</f>
        <v/>
      </c>
      <c r="AC21">
        <f>HYPERLINK("https://klasma.github.io/Logging_1446/tillsyn/A 18567-2026 tillsynsbegäran.docx", "A 18567-2026")</f>
        <v/>
      </c>
      <c r="AD21">
        <f>HYPERLINK("https://klasma.github.io/Logging_1446/tillsynsmail/A 18567-2026 tillsynsbegäran mail.docx", "A 18567-2026")</f>
        <v/>
      </c>
    </row>
    <row r="22" ht="15" customHeight="1">
      <c r="A22" t="inlineStr">
        <is>
          <t>A 29484-2025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46308</v>
      </c>
      <c r="F22" t="inlineStr">
        <is>
          <t>VÄSTRA GÖTALANDS LÄN</t>
        </is>
      </c>
      <c r="G22" t="inlineStr">
        <is>
          <t>KARLSBORG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Blåsippa</t>
        </is>
      </c>
      <c r="W22">
        <f>HYPERLINK("https://klasma.github.io/Logging_1446/artfynd/A 29484-2025 artfynd.xlsx", "A 29484-2025")</f>
        <v/>
      </c>
      <c r="X22">
        <f>HYPERLINK("https://klasma.github.io/Logging_1446/kartor/A 29484-2025 karta.png", "A 29484-2025")</f>
        <v/>
      </c>
      <c r="Y22">
        <f>HYPERLINK("https://klasma.github.io/Logging_1446/kartor_geotiff/A 29484-2025 georefererad karta.tif", "A 29484-2025")</f>
        <v/>
      </c>
      <c r="AA22">
        <f>HYPERLINK("https://klasma.github.io/Logging_1446/klagomål/A 29484-2025 FSC-klagomål.docx", "A 29484-2025")</f>
        <v/>
      </c>
      <c r="AB22">
        <f>HYPERLINK("https://klasma.github.io/Logging_1446/klagomålsmail/A 29484-2025 FSC-klagomål mail.docx", "A 29484-2025")</f>
        <v/>
      </c>
      <c r="AC22">
        <f>HYPERLINK("https://klasma.github.io/Logging_1446/tillsyn/A 29484-2025 tillsynsbegäran.docx", "A 29484-2025")</f>
        <v/>
      </c>
      <c r="AD22">
        <f>HYPERLINK("https://klasma.github.io/Logging_1446/tillsynsmail/A 29484-2025 tillsynsbegäran mail.docx", "A 29484-2025")</f>
        <v/>
      </c>
    </row>
    <row r="23" ht="15" customHeight="1">
      <c r="A23" t="inlineStr">
        <is>
          <t>A 8984-2025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46308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Övriga Aktiebolag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HYPERLINK("https://klasma.github.io/Logging_1446/artfynd/A 8984-2025 artfynd.xlsx", "A 8984-2025")</f>
        <v/>
      </c>
      <c r="X23">
        <f>HYPERLINK("https://klasma.github.io/Logging_1446/kartor/A 8984-2025 karta.png", "A 8984-2025")</f>
        <v/>
      </c>
      <c r="Y23">
        <f>HYPERLINK("https://klasma.github.io/Logging_1446/kartor_geotiff/A 8984-2025 georefererad karta.tif", "A 8984-2025")</f>
        <v/>
      </c>
      <c r="AA23">
        <f>HYPERLINK("https://klasma.github.io/Logging_1446/klagomål/A 8984-2025 FSC-klagomål.docx", "A 8984-2025")</f>
        <v/>
      </c>
      <c r="AB23">
        <f>HYPERLINK("https://klasma.github.io/Logging_1446/klagomålsmail/A 8984-2025 FSC-klagomål mail.docx", "A 8984-2025")</f>
        <v/>
      </c>
      <c r="AC23">
        <f>HYPERLINK("https://klasma.github.io/Logging_1446/tillsyn/A 8984-2025 tillsynsbegäran.docx", "A 8984-2025")</f>
        <v/>
      </c>
      <c r="AD23">
        <f>HYPERLINK("https://klasma.github.io/Logging_1446/tillsynsmail/A 8984-2025 tillsynsbegäran mail.docx", "A 8984-2025")</f>
        <v/>
      </c>
      <c r="AE23">
        <f>HYPERLINK("https://klasma.github.io/Logging_1446/fåglar/A 8984-2025 prioriterade fågelarter.docx", "A 8984-2025")</f>
        <v/>
      </c>
    </row>
    <row r="24" ht="15" customHeight="1">
      <c r="A24" t="inlineStr">
        <is>
          <t>A 42778-2024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45566</v>
      </c>
      <c r="E24" s="1" t="n">
        <v>46308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HYPERLINK("https://klasma.github.io/Logging_1446/artfynd/A 42778-2024 artfynd.xlsx", "A 42778-2024")</f>
        <v/>
      </c>
      <c r="X24">
        <f>HYPERLINK("https://klasma.github.io/Logging_1446/kartor/A 42778-2024 karta.png", "A 42778-2024")</f>
        <v/>
      </c>
      <c r="Y24">
        <f>HYPERLINK("https://klasma.github.io/Logging_1446/kartor_geotiff/A 42778-2024 georefererad karta.tif", "A 42778-2024")</f>
        <v/>
      </c>
      <c r="AA24">
        <f>HYPERLINK("https://klasma.github.io/Logging_1446/klagomål/A 42778-2024 FSC-klagomål.docx", "A 42778-2024")</f>
        <v/>
      </c>
      <c r="AB24">
        <f>HYPERLINK("https://klasma.github.io/Logging_1446/klagomålsmail/A 42778-2024 FSC-klagomål mail.docx", "A 42778-2024")</f>
        <v/>
      </c>
      <c r="AC24">
        <f>HYPERLINK("https://klasma.github.io/Logging_1446/tillsyn/A 42778-2024 tillsynsbegäran.docx", "A 42778-2024")</f>
        <v/>
      </c>
      <c r="AD24">
        <f>HYPERLINK("https://klasma.github.io/Logging_1446/tillsynsmail/A 42778-2024 tillsynsbegäran mail.docx", "A 42778-2024")</f>
        <v/>
      </c>
    </row>
    <row r="25" ht="15" customHeight="1">
      <c r="A25" t="inlineStr">
        <is>
          <t>A 51531-2023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46308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Kommuner</t>
        </is>
      </c>
      <c r="I25" t="n">
        <v>11.2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HYPERLINK("https://klasma.github.io/Logging_1446/artfynd/A 51531-2023 artfynd.xlsx", "A 51531-2023")</f>
        <v/>
      </c>
      <c r="X25">
        <f>HYPERLINK("https://klasma.github.io/Logging_1446/kartor/A 51531-2023 karta.png", "A 51531-2023")</f>
        <v/>
      </c>
      <c r="Y25">
        <f>HYPERLINK("https://klasma.github.io/Logging_1446/kartor_geotiff/A 51531-2023 georefererad karta.tif", "A 51531-2023")</f>
        <v/>
      </c>
      <c r="AA25">
        <f>HYPERLINK("https://klasma.github.io/Logging_1446/klagomål/A 51531-2023 FSC-klagomål.docx", "A 51531-2023")</f>
        <v/>
      </c>
      <c r="AB25">
        <f>HYPERLINK("https://klasma.github.io/Logging_1446/klagomålsmail/A 51531-2023 FSC-klagomål mail.docx", "A 51531-2023")</f>
        <v/>
      </c>
      <c r="AC25">
        <f>HYPERLINK("https://klasma.github.io/Logging_1446/tillsyn/A 51531-2023 tillsynsbegäran.docx", "A 51531-2023")</f>
        <v/>
      </c>
      <c r="AD25">
        <f>HYPERLINK("https://klasma.github.io/Logging_1446/tillsynsmail/A 51531-2023 tillsynsbegäran mail.docx", "A 51531-2023")</f>
        <v/>
      </c>
    </row>
    <row r="26" ht="15" customHeight="1">
      <c r="A26" t="inlineStr">
        <is>
          <t>A 9337-2025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45714</v>
      </c>
      <c r="E26" s="1" t="n">
        <v>46308</v>
      </c>
      <c r="F26" t="inlineStr">
        <is>
          <t>VÄSTRA GÖTALANDS LÄN</t>
        </is>
      </c>
      <c r="G26" t="inlineStr">
        <is>
          <t>KARLSBORG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HYPERLINK("https://klasma.github.io/Logging_1446/artfynd/A 9337-2025 artfynd.xlsx", "A 9337-2025")</f>
        <v/>
      </c>
      <c r="X26">
        <f>HYPERLINK("https://klasma.github.io/Logging_1446/kartor/A 9337-2025 karta.png", "A 9337-2025")</f>
        <v/>
      </c>
      <c r="Y26">
        <f>HYPERLINK("https://klasma.github.io/Logging_1446/kartor_geotiff/A 9337-2025 georefererad karta.tif", "A 9337-2025")</f>
        <v/>
      </c>
      <c r="AA26">
        <f>HYPERLINK("https://klasma.github.io/Logging_1446/klagomål/A 9337-2025 FSC-klagomål.docx", "A 9337-2025")</f>
        <v/>
      </c>
      <c r="AB26">
        <f>HYPERLINK("https://klasma.github.io/Logging_1446/klagomålsmail/A 9337-2025 FSC-klagomål mail.docx", "A 9337-2025")</f>
        <v/>
      </c>
      <c r="AC26">
        <f>HYPERLINK("https://klasma.github.io/Logging_1446/tillsyn/A 9337-2025 tillsynsbegäran.docx", "A 9337-2025")</f>
        <v/>
      </c>
      <c r="AD26">
        <f>HYPERLINK("https://klasma.github.io/Logging_1446/tillsynsmail/A 9337-2025 tillsynsbegäran mail.docx", "A 9337-2025")</f>
        <v/>
      </c>
    </row>
    <row r="27" ht="15" customHeight="1">
      <c r="A27" t="inlineStr">
        <is>
          <t>A 59712-2021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44494</v>
      </c>
      <c r="E27" s="1" t="n">
        <v>46308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Ask</t>
        </is>
      </c>
      <c r="W27">
        <f>HYPERLINK("https://klasma.github.io/Logging_1446/artfynd/A 59712-2021 artfynd.xlsx", "A 59712-2021")</f>
        <v/>
      </c>
      <c r="X27">
        <f>HYPERLINK("https://klasma.github.io/Logging_1446/kartor/A 59712-2021 karta.png", "A 59712-2021")</f>
        <v/>
      </c>
      <c r="Y27">
        <f>HYPERLINK("https://klasma.github.io/Logging_1446/kartor_geotiff/A 59712-2021 georefererad karta.tif", "A 59712-2021")</f>
        <v/>
      </c>
      <c r="AA27">
        <f>HYPERLINK("https://klasma.github.io/Logging_1446/klagomål/A 59712-2021 FSC-klagomål.docx", "A 59712-2021")</f>
        <v/>
      </c>
      <c r="AB27">
        <f>HYPERLINK("https://klasma.github.io/Logging_1446/klagomålsmail/A 59712-2021 FSC-klagomål mail.docx", "A 59712-2021")</f>
        <v/>
      </c>
      <c r="AC27">
        <f>HYPERLINK("https://klasma.github.io/Logging_1446/tillsyn/A 59712-2021 tillsynsbegäran.docx", "A 59712-2021")</f>
        <v/>
      </c>
      <c r="AD27">
        <f>HYPERLINK("https://klasma.github.io/Logging_1446/tillsynsmail/A 59712-2021 tillsynsbegäran mail.docx", "A 59712-2021")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46308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HYPERLINK("https://klasma.github.io/Logging_1446/artfynd/A 38103-2023 artfynd.xlsx", "A 38103-2023")</f>
        <v/>
      </c>
      <c r="X28">
        <f>HYPERLINK("https://klasma.github.io/Logging_1446/kartor/A 38103-2023 karta.png", "A 38103-2023")</f>
        <v/>
      </c>
      <c r="Y28">
        <f>HYPERLINK("https://klasma.github.io/Logging_1446/kartor_geotiff/A 38103-2023 georefererad karta.tif", "A 38103-2023")</f>
        <v/>
      </c>
      <c r="AA28">
        <f>HYPERLINK("https://klasma.github.io/Logging_1446/klagomål/A 38103-2023 FSC-klagomål.docx", "A 38103-2023")</f>
        <v/>
      </c>
      <c r="AB28">
        <f>HYPERLINK("https://klasma.github.io/Logging_1446/klagomålsmail/A 38103-2023 FSC-klagomål mail.docx", "A 38103-2023")</f>
        <v/>
      </c>
      <c r="AC28">
        <f>HYPERLINK("https://klasma.github.io/Logging_1446/tillsyn/A 38103-2023 tillsynsbegäran.docx", "A 38103-2023")</f>
        <v/>
      </c>
      <c r="AD28">
        <f>HYPERLINK("https://klasma.github.io/Logging_1446/tillsynsmail/A 38103-2023 tillsynsbegäran mail.docx", "A 38103-2023")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46308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46308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46308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46308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46308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46308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46308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46308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46308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46308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46308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59883-2021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46308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statliga verk och myndigheter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27823-2023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45098</v>
      </c>
      <c r="E41" s="1" t="n">
        <v>46308</v>
      </c>
      <c r="F41" t="inlineStr">
        <is>
          <t>VÄSTRA GÖTALANDS LÄN</t>
        </is>
      </c>
      <c r="G41" t="inlineStr">
        <is>
          <t>KARLSBORG</t>
        </is>
      </c>
      <c r="I41" t="n">
        <v>6.5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28460-2023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46308</v>
      </c>
      <c r="F42" t="inlineStr">
        <is>
          <t>VÄSTRA GÖTALANDS LÄN</t>
        </is>
      </c>
      <c r="G42" t="inlineStr">
        <is>
          <t>KARLSBORG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29490-2025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46308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Övriga Aktiebolag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45453</v>
      </c>
      <c r="E44" s="1" t="n">
        <v>46308</v>
      </c>
      <c r="F44" t="inlineStr">
        <is>
          <t>VÄSTRA GÖTALANDS LÄN</t>
        </is>
      </c>
      <c r="G44" t="inlineStr">
        <is>
          <t>KARLSBORG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41350-2025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45899</v>
      </c>
      <c r="E45" s="1" t="n">
        <v>46308</v>
      </c>
      <c r="F45" t="inlineStr">
        <is>
          <t>VÄSTRA GÖTALANDS LÄN</t>
        </is>
      </c>
      <c r="G45" t="inlineStr">
        <is>
          <t>KARLSBORG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53898-2023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46308</v>
      </c>
      <c r="F46" t="inlineStr">
        <is>
          <t>VÄSTRA GÖTALANDS LÄN</t>
        </is>
      </c>
      <c r="G46" t="inlineStr">
        <is>
          <t>KARLSBORG</t>
        </is>
      </c>
      <c r="I46" t="n">
        <v>9.5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44595</v>
      </c>
      <c r="E47" s="1" t="n">
        <v>46308</v>
      </c>
      <c r="F47" t="inlineStr">
        <is>
          <t>VÄSTRA GÖTALANDS LÄN</t>
        </is>
      </c>
      <c r="G47" t="inlineStr">
        <is>
          <t>KARLSBORG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45019-2024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45575</v>
      </c>
      <c r="E48" s="1" t="n">
        <v>46308</v>
      </c>
      <c r="F48" t="inlineStr">
        <is>
          <t>VÄSTRA GÖTALANDS LÄN</t>
        </is>
      </c>
      <c r="G48" t="inlineStr">
        <is>
          <t>KARLSBORG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24008-2023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45078</v>
      </c>
      <c r="E49" s="1" t="n">
        <v>46308</v>
      </c>
      <c r="F49" t="inlineStr">
        <is>
          <t>VÄSTRA GÖTALANDS LÄN</t>
        </is>
      </c>
      <c r="G49" t="inlineStr">
        <is>
          <t>KARLSBORG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42757-2025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46308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Kyrkan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42825-2024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46308</v>
      </c>
      <c r="F51" t="inlineStr">
        <is>
          <t>VÄSTRA GÖTALANDS LÄN</t>
        </is>
      </c>
      <c r="G51" t="inlineStr">
        <is>
          <t>KARLSBORG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45916</v>
      </c>
      <c r="E52" s="1" t="n">
        <v>46308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Kyrkan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45247-2025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46308</v>
      </c>
      <c r="F53" t="inlineStr">
        <is>
          <t>VÄSTRA GÖTALANDS LÄN</t>
        </is>
      </c>
      <c r="G53" t="inlineStr">
        <is>
          <t>KARLSBORG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46308</v>
      </c>
      <c r="F54" t="inlineStr">
        <is>
          <t>VÄSTRA GÖTALANDS LÄN</t>
        </is>
      </c>
      <c r="G54" t="inlineStr">
        <is>
          <t>KARLSBORG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45251</v>
      </c>
      <c r="E55" s="1" t="n">
        <v>46308</v>
      </c>
      <c r="F55" t="inlineStr">
        <is>
          <t>VÄSTRA GÖTALANDS LÄN</t>
        </is>
      </c>
      <c r="G55" t="inlineStr">
        <is>
          <t>KARLSBORG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13076-2023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45002</v>
      </c>
      <c r="E56" s="1" t="n">
        <v>46308</v>
      </c>
      <c r="F56" t="inlineStr">
        <is>
          <t>VÄSTRA GÖTALANDS LÄN</t>
        </is>
      </c>
      <c r="G56" t="inlineStr">
        <is>
          <t>KARLSBORG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37383-2022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46308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56495-2023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46308</v>
      </c>
      <c r="F58" t="inlineStr">
        <is>
          <t>VÄSTRA GÖTALANDS LÄN</t>
        </is>
      </c>
      <c r="G58" t="inlineStr">
        <is>
          <t>KARLSBORG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45524</v>
      </c>
      <c r="E59" s="1" t="n">
        <v>46308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45524</v>
      </c>
      <c r="E60" s="1" t="n">
        <v>46308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Övriga Aktiebolag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47265-2025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46308</v>
      </c>
      <c r="F61" t="inlineStr">
        <is>
          <t>VÄSTRA GÖTALANDS LÄN</t>
        </is>
      </c>
      <c r="G61" t="inlineStr">
        <is>
          <t>KARLSBORG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47262-2025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46308</v>
      </c>
      <c r="F62" t="inlineStr">
        <is>
          <t>VÄSTRA GÖTALANDS LÄN</t>
        </is>
      </c>
      <c r="G62" t="inlineStr">
        <is>
          <t>KARLSBORG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46308</v>
      </c>
      <c r="F63" t="inlineStr">
        <is>
          <t>VÄSTRA GÖTALANDS LÄN</t>
        </is>
      </c>
      <c r="G63" t="inlineStr">
        <is>
          <t>KARLSBORG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45933</v>
      </c>
      <c r="E64" s="1" t="n">
        <v>46308</v>
      </c>
      <c r="F64" t="inlineStr">
        <is>
          <t>VÄSTRA GÖTALANDS LÄN</t>
        </is>
      </c>
      <c r="G64" t="inlineStr">
        <is>
          <t>KARLSBORG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44939</v>
      </c>
      <c r="E65" s="1" t="n">
        <v>46308</v>
      </c>
      <c r="F65" t="inlineStr">
        <is>
          <t>VÄSTRA GÖTALANDS LÄN</t>
        </is>
      </c>
      <c r="G65" t="inlineStr">
        <is>
          <t>KARLSBORG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27332-2026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46188</v>
      </c>
      <c r="E66" s="1" t="n">
        <v>46308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12.6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46308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45942</v>
      </c>
      <c r="E68" s="1" t="n">
        <v>46308</v>
      </c>
      <c r="F68" t="inlineStr">
        <is>
          <t>VÄSTRA GÖTALANDS LÄN</t>
        </is>
      </c>
      <c r="G68" t="inlineStr">
        <is>
          <t>KARLSBORG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46188</v>
      </c>
      <c r="E69" s="1" t="n">
        <v>46308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46308</v>
      </c>
      <c r="F70" t="inlineStr">
        <is>
          <t>VÄSTRA GÖTALANDS LÄN</t>
        </is>
      </c>
      <c r="G70" t="inlineStr">
        <is>
          <t>KARLSBORG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42598-2024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46308</v>
      </c>
      <c r="F71" t="inlineStr">
        <is>
          <t>VÄSTRA GÖTALANDS LÄN</t>
        </is>
      </c>
      <c r="G71" t="inlineStr">
        <is>
          <t>KARLSBORG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45169</v>
      </c>
      <c r="E72" s="1" t="n">
        <v>46308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Aktiebolag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46308</v>
      </c>
      <c r="F73" t="inlineStr">
        <is>
          <t>VÄSTRA GÖTALANDS LÄN</t>
        </is>
      </c>
      <c r="G73" t="inlineStr">
        <is>
          <t>KARLSBORG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15958-2022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44664</v>
      </c>
      <c r="E74" s="1" t="n">
        <v>46308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46308</v>
      </c>
      <c r="F75" t="inlineStr">
        <is>
          <t>VÄSTRA GÖTALANDS LÄN</t>
        </is>
      </c>
      <c r="G75" t="inlineStr">
        <is>
          <t>KARLSBORG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56110-2025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46308</v>
      </c>
      <c r="F76" t="inlineStr">
        <is>
          <t>VÄSTRA GÖTALANDS LÄN</t>
        </is>
      </c>
      <c r="G76" t="inlineStr">
        <is>
          <t>KARLSBORG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46308</v>
      </c>
      <c r="F77" t="inlineStr">
        <is>
          <t>VÄSTRA GÖTALANDS LÄN</t>
        </is>
      </c>
      <c r="G77" t="inlineStr">
        <is>
          <t>KARLSBORG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45786</v>
      </c>
      <c r="E78" s="1" t="n">
        <v>46308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45789</v>
      </c>
      <c r="E79" s="1" t="n">
        <v>46308</v>
      </c>
      <c r="F79" t="inlineStr">
        <is>
          <t>VÄSTRA GÖTALANDS LÄN</t>
        </is>
      </c>
      <c r="G79" t="inlineStr">
        <is>
          <t>KARLSBORG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46206</v>
      </c>
      <c r="E80" s="1" t="n">
        <v>46308</v>
      </c>
      <c r="F80" t="inlineStr">
        <is>
          <t>VÄSTRA GÖTALANDS LÄN</t>
        </is>
      </c>
      <c r="G80" t="inlineStr">
        <is>
          <t>KARLSBORG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22890-2026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46160</v>
      </c>
      <c r="E81" s="1" t="n">
        <v>46308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30610-2026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46210</v>
      </c>
      <c r="E82" s="1" t="n">
        <v>46308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46210</v>
      </c>
      <c r="E83" s="1" t="n">
        <v>46308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Sveaskog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57581-2025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46308</v>
      </c>
      <c r="F84" t="inlineStr">
        <is>
          <t>VÄSTRA GÖTALANDS LÄN</t>
        </is>
      </c>
      <c r="G84" t="inlineStr">
        <is>
          <t>KARLSBORG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45721</v>
      </c>
      <c r="E85" s="1" t="n">
        <v>46308</v>
      </c>
      <c r="F85" t="inlineStr">
        <is>
          <t>VÄSTRA GÖTALANDS LÄN</t>
        </is>
      </c>
      <c r="G85" t="inlineStr">
        <is>
          <t>KARLSBORG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45630</v>
      </c>
      <c r="E86" s="1" t="n">
        <v>46308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Aktiebolag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35040-2024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45527</v>
      </c>
      <c r="E87" s="1" t="n">
        <v>46308</v>
      </c>
      <c r="F87" t="inlineStr">
        <is>
          <t>VÄSTRA GÖTALANDS LÄN</t>
        </is>
      </c>
      <c r="G87" t="inlineStr">
        <is>
          <t>KARLSBORG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45680</v>
      </c>
      <c r="E88" s="1" t="n">
        <v>46308</v>
      </c>
      <c r="F88" t="inlineStr">
        <is>
          <t>VÄSTRA GÖTALANDS LÄN</t>
        </is>
      </c>
      <c r="G88" t="inlineStr">
        <is>
          <t>KARLSBORG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45988</v>
      </c>
      <c r="E89" s="1" t="n">
        <v>46308</v>
      </c>
      <c r="F89" t="inlineStr">
        <is>
          <t>VÄSTRA GÖTALANDS LÄN</t>
        </is>
      </c>
      <c r="G89" t="inlineStr">
        <is>
          <t>KARLSBORG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46308</v>
      </c>
      <c r="F90" t="inlineStr">
        <is>
          <t>VÄSTRA GÖTALANDS LÄN</t>
        </is>
      </c>
      <c r="G90" t="inlineStr">
        <is>
          <t>KARLSBORG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45160</v>
      </c>
      <c r="E91" s="1" t="n">
        <v>46308</v>
      </c>
      <c r="F91" t="inlineStr">
        <is>
          <t>VÄSTRA GÖTALANDS LÄN</t>
        </is>
      </c>
      <c r="G91" t="inlineStr">
        <is>
          <t>KARLSBORG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46308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70945-2021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46308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Aktiebolag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7978-2025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45707</v>
      </c>
      <c r="E94" s="1" t="n">
        <v>46308</v>
      </c>
      <c r="F94" t="inlineStr">
        <is>
          <t>VÄSTRA GÖTALANDS LÄN</t>
        </is>
      </c>
      <c r="G94" t="inlineStr">
        <is>
          <t>KARLSBORG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31798-2026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46230</v>
      </c>
      <c r="E95" s="1" t="n">
        <v>46308</v>
      </c>
      <c r="F95" t="inlineStr">
        <is>
          <t>VÄSTRA GÖTALANDS LÄN</t>
        </is>
      </c>
      <c r="G95" t="inlineStr">
        <is>
          <t>KARLSBORG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46308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46308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46276</v>
      </c>
      <c r="E98" s="1" t="n">
        <v>46308</v>
      </c>
      <c r="F98" t="inlineStr">
        <is>
          <t>VÄSTRA GÖTALANDS LÄN</t>
        </is>
      </c>
      <c r="G98" t="inlineStr">
        <is>
          <t>KARLSBORG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64011-2025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46021</v>
      </c>
      <c r="E99" s="1" t="n">
        <v>46308</v>
      </c>
      <c r="F99" t="inlineStr">
        <is>
          <t>VÄSTRA GÖTALANDS LÄN</t>
        </is>
      </c>
      <c r="G99" t="inlineStr">
        <is>
          <t>KARLSBORG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64012-2025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46021</v>
      </c>
      <c r="E100" s="1" t="n">
        <v>46308</v>
      </c>
      <c r="F100" t="inlineStr">
        <is>
          <t>VÄSTRA GÖTALANDS LÄN</t>
        </is>
      </c>
      <c r="G100" t="inlineStr">
        <is>
          <t>KARLSBORG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64025-2025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46021</v>
      </c>
      <c r="E101" s="1" t="n">
        <v>46308</v>
      </c>
      <c r="F101" t="inlineStr">
        <is>
          <t>VÄSTRA GÖTALANDS LÄN</t>
        </is>
      </c>
      <c r="G101" t="inlineStr">
        <is>
          <t>KARLSBORG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31770-2025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45834</v>
      </c>
      <c r="E102" s="1" t="n">
        <v>46308</v>
      </c>
      <c r="F102" t="inlineStr">
        <is>
          <t>VÄSTRA GÖTALANDS LÄN</t>
        </is>
      </c>
      <c r="G102" t="inlineStr">
        <is>
          <t>KARLSBORG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32128-2025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45835</v>
      </c>
      <c r="E103" s="1" t="n">
        <v>46308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Sveaskog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31701-2025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45834</v>
      </c>
      <c r="E104" s="1" t="n">
        <v>46308</v>
      </c>
      <c r="F104" t="inlineStr">
        <is>
          <t>VÄSTRA GÖTALANDS LÄN</t>
        </is>
      </c>
      <c r="G104" t="inlineStr">
        <is>
          <t>KARLSBORG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46045</v>
      </c>
      <c r="E105" s="1" t="n">
        <v>46308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14.3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46045</v>
      </c>
      <c r="E106" s="1" t="n">
        <v>46308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Aktiebolag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42757-2024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45566</v>
      </c>
      <c r="E107" s="1" t="n">
        <v>46308</v>
      </c>
      <c r="F107" t="inlineStr">
        <is>
          <t>VÄSTRA GÖTALANDS LÄN</t>
        </is>
      </c>
      <c r="G107" t="inlineStr">
        <is>
          <t>KARLSBORG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46308</v>
      </c>
      <c r="F108" t="inlineStr">
        <is>
          <t>VÄSTRA GÖTALANDS LÄN</t>
        </is>
      </c>
      <c r="G108" t="inlineStr">
        <is>
          <t>KARLSBORG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57454-2024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45630</v>
      </c>
      <c r="E109" s="1" t="n">
        <v>46308</v>
      </c>
      <c r="F109" t="inlineStr">
        <is>
          <t>VÄSTRA GÖTALANDS LÄN</t>
        </is>
      </c>
      <c r="G109" t="inlineStr">
        <is>
          <t>KARLSBORG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46308</v>
      </c>
      <c r="F110" t="inlineStr">
        <is>
          <t>VÄSTRA GÖTALANDS LÄN</t>
        </is>
      </c>
      <c r="G110" t="inlineStr">
        <is>
          <t>KARLSBORG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35930-2025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45862</v>
      </c>
      <c r="E111" s="1" t="n">
        <v>46308</v>
      </c>
      <c r="F111" t="inlineStr">
        <is>
          <t>VÄSTRA GÖTALANDS LÄN</t>
        </is>
      </c>
      <c r="G111" t="inlineStr">
        <is>
          <t>KARLSBORG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46052</v>
      </c>
      <c r="E112" s="1" t="n">
        <v>46308</v>
      </c>
      <c r="F112" t="inlineStr">
        <is>
          <t>VÄSTRA GÖTALANDS LÄN</t>
        </is>
      </c>
      <c r="G112" t="inlineStr">
        <is>
          <t>KARLSBORG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6408-2026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46308</v>
      </c>
      <c r="F113" t="inlineStr">
        <is>
          <t>VÄSTRA GÖTALANDS LÄN</t>
        </is>
      </c>
      <c r="G113" t="inlineStr">
        <is>
          <t>KARLSBORG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39394-2026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46288</v>
      </c>
      <c r="E114" s="1" t="n">
        <v>46308</v>
      </c>
      <c r="F114" t="inlineStr">
        <is>
          <t>VÄSTRA GÖTALANDS LÄN</t>
        </is>
      </c>
      <c r="G114" t="inlineStr">
        <is>
          <t>KARLSBORG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46308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statliga verk och myndigheter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46010</v>
      </c>
      <c r="E116" s="1" t="n">
        <v>46308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statliga verk och myndigheter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46308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statliga verk och myndigheter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46010</v>
      </c>
      <c r="E118" s="1" t="n">
        <v>46308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statliga verk och myndigheter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46062</v>
      </c>
      <c r="E119" s="1" t="n">
        <v>46308</v>
      </c>
      <c r="F119" t="inlineStr">
        <is>
          <t>VÄSTRA GÖTALANDS LÄN</t>
        </is>
      </c>
      <c r="G119" t="inlineStr">
        <is>
          <t>KARLSBORG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9130-2026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46308</v>
      </c>
      <c r="F120" t="inlineStr">
        <is>
          <t>VÄSTRA GÖTALANDS LÄN</t>
        </is>
      </c>
      <c r="G120" t="inlineStr">
        <is>
          <t>KARLSBORG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46308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Sveaskog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24725-2026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46171</v>
      </c>
      <c r="E122" s="1" t="n">
        <v>46308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46308</v>
      </c>
      <c r="F123" t="inlineStr">
        <is>
          <t>VÄSTRA GÖTALANDS LÄN</t>
        </is>
      </c>
      <c r="G123" t="inlineStr">
        <is>
          <t>KARLSBORG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46079</v>
      </c>
      <c r="E124" s="1" t="n">
        <v>46308</v>
      </c>
      <c r="F124" t="inlineStr">
        <is>
          <t>VÄSTRA GÖTALANDS LÄN</t>
        </is>
      </c>
      <c r="G124" t="inlineStr">
        <is>
          <t>KARLSBORG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46308</v>
      </c>
      <c r="F125" t="inlineStr">
        <is>
          <t>VÄSTRA GÖTALANDS LÄN</t>
        </is>
      </c>
      <c r="G125" t="inlineStr">
        <is>
          <t>KARLSBORG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45166</v>
      </c>
      <c r="E126" s="1" t="n">
        <v>46308</v>
      </c>
      <c r="F126" t="inlineStr">
        <is>
          <t>VÄSTRA GÖTALANDS LÄN</t>
        </is>
      </c>
      <c r="G126" t="inlineStr">
        <is>
          <t>KARLSBORG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62304-2021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46308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41295-2026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46300</v>
      </c>
      <c r="E128" s="1" t="n">
        <v>46308</v>
      </c>
      <c r="F128" t="inlineStr">
        <is>
          <t>VÄSTRA GÖTALANDS LÄN</t>
        </is>
      </c>
      <c r="G128" t="inlineStr">
        <is>
          <t>KARLSBORG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46191</v>
      </c>
      <c r="E129" s="1" t="n">
        <v>46308</v>
      </c>
      <c r="F129" t="inlineStr">
        <is>
          <t>VÄSTRA GÖTALANDS LÄN</t>
        </is>
      </c>
      <c r="G129" t="inlineStr">
        <is>
          <t>KARLSBORG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45394</v>
      </c>
      <c r="E130" s="1" t="n">
        <v>46308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46300</v>
      </c>
      <c r="E131" s="1" t="n">
        <v>46308</v>
      </c>
      <c r="F131" t="inlineStr">
        <is>
          <t>VÄSTRA GÖTALANDS LÄN</t>
        </is>
      </c>
      <c r="G131" t="inlineStr">
        <is>
          <t>KARLSBORG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15220-2023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45019</v>
      </c>
      <c r="E132" s="1" t="n">
        <v>46308</v>
      </c>
      <c r="F132" t="inlineStr">
        <is>
          <t>VÄSTRA GÖTALANDS LÄN</t>
        </is>
      </c>
      <c r="G132" t="inlineStr">
        <is>
          <t>KARLSBORG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41294-2026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46300</v>
      </c>
      <c r="E133" s="1" t="n">
        <v>46308</v>
      </c>
      <c r="F133" t="inlineStr">
        <is>
          <t>VÄSTRA GÖTALANDS LÄN</t>
        </is>
      </c>
      <c r="G133" t="inlineStr">
        <is>
          <t>KARLSBORG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25696-2023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45089</v>
      </c>
      <c r="E134" s="1" t="n">
        <v>46308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41597-2026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46302</v>
      </c>
      <c r="E135" s="1" t="n">
        <v>46308</v>
      </c>
      <c r="F135" t="inlineStr">
        <is>
          <t>VÄSTRA GÖTALANDS LÄN</t>
        </is>
      </c>
      <c r="G135" t="inlineStr">
        <is>
          <t>KARLSBORG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45478</v>
      </c>
      <c r="E136" s="1" t="n">
        <v>46308</v>
      </c>
      <c r="F136" t="inlineStr">
        <is>
          <t>VÄSTRA GÖTALANDS LÄN</t>
        </is>
      </c>
      <c r="G136" t="inlineStr">
        <is>
          <t>KARLSBORG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46127</v>
      </c>
      <c r="E137" s="1" t="n">
        <v>46308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46260</v>
      </c>
      <c r="E138" s="1" t="n">
        <v>46308</v>
      </c>
      <c r="F138" t="inlineStr">
        <is>
          <t>VÄSTRA GÖTALANDS LÄN</t>
        </is>
      </c>
      <c r="G138" t="inlineStr">
        <is>
          <t>KARLSBORG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45183</v>
      </c>
      <c r="E139" s="1" t="n">
        <v>46308</v>
      </c>
      <c r="F139" t="inlineStr">
        <is>
          <t>VÄSTRA GÖTALANDS LÄN</t>
        </is>
      </c>
      <c r="G139" t="inlineStr">
        <is>
          <t>KARLSBORG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46308</v>
      </c>
      <c r="F140" t="inlineStr">
        <is>
          <t>VÄSTRA GÖTALANDS LÄN</t>
        </is>
      </c>
      <c r="G140" t="inlineStr">
        <is>
          <t>KARLSBORG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46308</v>
      </c>
      <c r="F141" t="inlineStr">
        <is>
          <t>VÄSTRA GÖTALANDS LÄN</t>
        </is>
      </c>
      <c r="G141" t="inlineStr">
        <is>
          <t>KARLSBORG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58127-2024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45632</v>
      </c>
      <c r="E142" s="1" t="n">
        <v>46308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44494</v>
      </c>
      <c r="E143" s="1" t="n">
        <v>46308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statliga verk och myndigheter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45548</v>
      </c>
      <c r="E144" s="1" t="n">
        <v>46308</v>
      </c>
      <c r="F144" t="inlineStr">
        <is>
          <t>VÄSTRA GÖTALANDS LÄN</t>
        </is>
      </c>
      <c r="G144" t="inlineStr">
        <is>
          <t>KARLSBORG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46308</v>
      </c>
      <c r="F145" t="inlineStr">
        <is>
          <t>VÄSTRA GÖTALANDS LÄN</t>
        </is>
      </c>
      <c r="G145" t="inlineStr">
        <is>
          <t>KARLSBORG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17002-2025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46308</v>
      </c>
      <c r="F146" t="inlineStr">
        <is>
          <t>VÄSTRA GÖTALANDS LÄN</t>
        </is>
      </c>
      <c r="G146" t="inlineStr">
        <is>
          <t>KARLSBORG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45933</v>
      </c>
      <c r="E147" s="1" t="n">
        <v>46308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44785</v>
      </c>
      <c r="E148" s="1" t="n">
        <v>46308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45531</v>
      </c>
      <c r="E149" s="1" t="n">
        <v>46308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9.800000000000001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45257</v>
      </c>
      <c r="E150" s="1" t="n">
        <v>46308</v>
      </c>
      <c r="F150" t="inlineStr">
        <is>
          <t>VÄSTRA GÖTALANDS LÄN</t>
        </is>
      </c>
      <c r="G150" t="inlineStr">
        <is>
          <t>KARLSBORG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45742</v>
      </c>
      <c r="E151" s="1" t="n">
        <v>46308</v>
      </c>
      <c r="F151" t="inlineStr">
        <is>
          <t>VÄSTRA GÖTALANDS LÄN</t>
        </is>
      </c>
      <c r="G151" t="inlineStr">
        <is>
          <t>KARLSBORG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46308</v>
      </c>
      <c r="F152" t="inlineStr">
        <is>
          <t>VÄSTRA GÖTALANDS LÄN</t>
        </is>
      </c>
      <c r="G152" t="inlineStr">
        <is>
          <t>KARLSBORG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44985-2024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46308</v>
      </c>
      <c r="F153" t="inlineStr">
        <is>
          <t>VÄSTRA GÖTALANDS LÄN</t>
        </is>
      </c>
      <c r="G153" t="inlineStr">
        <is>
          <t>KARLSBORG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46308</v>
      </c>
      <c r="F154" t="inlineStr">
        <is>
          <t>VÄSTRA GÖTALANDS LÄN</t>
        </is>
      </c>
      <c r="G154" t="inlineStr">
        <is>
          <t>KARLSBORG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46308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8053-2023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44974</v>
      </c>
      <c r="E156" s="1" t="n">
        <v>46308</v>
      </c>
      <c r="F156" t="inlineStr">
        <is>
          <t>VÄSTRA GÖTALANDS LÄN</t>
        </is>
      </c>
      <c r="G156" t="inlineStr">
        <is>
          <t>KARLSBORG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44944</v>
      </c>
      <c r="E157" s="1" t="n">
        <v>46308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46308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Övriga Aktiebolag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48175-2024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46308</v>
      </c>
      <c r="F159" t="inlineStr">
        <is>
          <t>VÄSTRA GÖTALANDS LÄN</t>
        </is>
      </c>
      <c r="G159" t="inlineStr">
        <is>
          <t>KARLSBORG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45394</v>
      </c>
      <c r="E160" s="1" t="n">
        <v>46308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44906</v>
      </c>
      <c r="E161" s="1" t="n">
        <v>46308</v>
      </c>
      <c r="F161" t="inlineStr">
        <is>
          <t>VÄSTRA GÖTALANDS LÄN</t>
        </is>
      </c>
      <c r="G161" t="inlineStr">
        <is>
          <t>KARLSBORG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44687</v>
      </c>
      <c r="E162" s="1" t="n">
        <v>46308</v>
      </c>
      <c r="F162" t="inlineStr">
        <is>
          <t>VÄSTRA GÖTALANDS LÄN</t>
        </is>
      </c>
      <c r="G162" t="inlineStr">
        <is>
          <t>KARLSBORG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46143</v>
      </c>
      <c r="E163" s="1" t="n">
        <v>46308</v>
      </c>
      <c r="F163" t="inlineStr">
        <is>
          <t>VÄSTRA GÖTALANDS LÄN</t>
        </is>
      </c>
      <c r="G163" t="inlineStr">
        <is>
          <t>KARLSBORG</t>
        </is>
      </c>
      <c r="I163" t="n">
        <v>14.6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46142</v>
      </c>
      <c r="E164" s="1" t="n">
        <v>46308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46308</v>
      </c>
      <c r="F165" t="inlineStr">
        <is>
          <t>VÄSTRA GÖTALANDS LÄN</t>
        </is>
      </c>
      <c r="G165" t="inlineStr">
        <is>
          <t>KARLSBORG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44944</v>
      </c>
      <c r="E166" s="1" t="n">
        <v>46308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44937</v>
      </c>
      <c r="E167" s="1" t="n">
        <v>46308</v>
      </c>
      <c r="F167" t="inlineStr">
        <is>
          <t>VÄSTRA GÖTALANDS LÄN</t>
        </is>
      </c>
      <c r="G167" t="inlineStr">
        <is>
          <t>KARLSBORG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45890</v>
      </c>
      <c r="E168" s="1" t="n">
        <v>46308</v>
      </c>
      <c r="F168" t="inlineStr">
        <is>
          <t>VÄSTRA GÖTALANDS LÄN</t>
        </is>
      </c>
      <c r="G168" t="inlineStr">
        <is>
          <t>KARLSBORG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42710-2024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45566</v>
      </c>
      <c r="E169" s="1" t="n">
        <v>46308</v>
      </c>
      <c r="F169" t="inlineStr">
        <is>
          <t>VÄSTRA GÖTALANDS LÄN</t>
        </is>
      </c>
      <c r="G169" t="inlineStr">
        <is>
          <t>KARLSBORG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53251-2024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45614</v>
      </c>
      <c r="E170" s="1" t="n">
        <v>46308</v>
      </c>
      <c r="F170" t="inlineStr">
        <is>
          <t>VÄSTRA GÖTALANDS LÄN</t>
        </is>
      </c>
      <c r="G170" t="inlineStr">
        <is>
          <t>KARLSBORG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45524</v>
      </c>
      <c r="E171" s="1" t="n">
        <v>46308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Övriga Aktiebolag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41684-2023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45176</v>
      </c>
      <c r="E172" s="1" t="n">
        <v>46308</v>
      </c>
      <c r="F172" t="inlineStr">
        <is>
          <t>VÄSTRA GÖTALANDS LÄN</t>
        </is>
      </c>
      <c r="G172" t="inlineStr">
        <is>
          <t>KARLSBORG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44944</v>
      </c>
      <c r="E173" s="1" t="n">
        <v>46308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Aktiebolag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45369</v>
      </c>
      <c r="E174" s="1" t="n">
        <v>46308</v>
      </c>
      <c r="F174" t="inlineStr">
        <is>
          <t>VÄSTRA GÖTALANDS LÄN</t>
        </is>
      </c>
      <c r="G174" t="inlineStr">
        <is>
          <t>KARLSBORG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26914-2024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45470</v>
      </c>
      <c r="E175" s="1" t="n">
        <v>46308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7.1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46308</v>
      </c>
      <c r="F176" t="inlineStr">
        <is>
          <t>VÄSTRA GÖTALANDS LÄN</t>
        </is>
      </c>
      <c r="G176" t="inlineStr">
        <is>
          <t>KARLSBORG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34670-2022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44795</v>
      </c>
      <c r="E177" s="1" t="n">
        <v>46308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45090</v>
      </c>
      <c r="E178" s="1" t="n">
        <v>46308</v>
      </c>
      <c r="F178" t="inlineStr">
        <is>
          <t>VÄSTRA GÖTALANDS LÄN</t>
        </is>
      </c>
      <c r="G178" t="inlineStr">
        <is>
          <t>KARLSBORG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45561</v>
      </c>
      <c r="E179" s="1" t="n">
        <v>46308</v>
      </c>
      <c r="F179" t="inlineStr">
        <is>
          <t>VÄSTRA GÖTALANDS LÄN</t>
        </is>
      </c>
      <c r="G179" t="inlineStr">
        <is>
          <t>KARLSBORG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44727</v>
      </c>
      <c r="E180" s="1" t="n">
        <v>46308</v>
      </c>
      <c r="F180" t="inlineStr">
        <is>
          <t>VÄSTRA GÖTALANDS LÄN</t>
        </is>
      </c>
      <c r="G180" t="inlineStr">
        <is>
          <t>KARLSBORG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45233</v>
      </c>
      <c r="E181" s="1" t="n">
        <v>46308</v>
      </c>
      <c r="F181" t="inlineStr">
        <is>
          <t>VÄSTRA GÖTALANDS LÄN</t>
        </is>
      </c>
      <c r="G181" t="inlineStr">
        <is>
          <t>KARLSBORG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45489</v>
      </c>
      <c r="E182" s="1" t="n">
        <v>46308</v>
      </c>
      <c r="F182" t="inlineStr">
        <is>
          <t>VÄSTRA GÖTALANDS LÄN</t>
        </is>
      </c>
      <c r="G182" t="inlineStr">
        <is>
          <t>KARLSBORG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14738-2025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45742</v>
      </c>
      <c r="E183" s="1" t="n">
        <v>46308</v>
      </c>
      <c r="F183" t="inlineStr">
        <is>
          <t>VÄSTRA GÖTALANDS LÄN</t>
        </is>
      </c>
      <c r="G183" t="inlineStr">
        <is>
          <t>KARLSBORG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65313-2021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44515</v>
      </c>
      <c r="E184" s="1" t="n">
        <v>46308</v>
      </c>
      <c r="F184" t="inlineStr">
        <is>
          <t>VÄSTRA GÖTALANDS LÄN</t>
        </is>
      </c>
      <c r="G184" t="inlineStr">
        <is>
          <t>KARLSBORG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45090</v>
      </c>
      <c r="E185" s="1" t="n">
        <v>46308</v>
      </c>
      <c r="F185" t="inlineStr">
        <is>
          <t>VÄSTRA GÖTALANDS LÄN</t>
        </is>
      </c>
      <c r="G185" t="inlineStr">
        <is>
          <t>KARLSBORG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45218</v>
      </c>
      <c r="E186" s="1" t="n">
        <v>46308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45720</v>
      </c>
      <c r="E187" s="1" t="n">
        <v>46308</v>
      </c>
      <c r="F187" t="inlineStr">
        <is>
          <t>VÄSTRA GÖTALANDS LÄN</t>
        </is>
      </c>
      <c r="G187" t="inlineStr">
        <is>
          <t>KARLSBORG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57915-2024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45631</v>
      </c>
      <c r="E188" s="1" t="n">
        <v>46308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46308</v>
      </c>
      <c r="F189" t="inlineStr">
        <is>
          <t>VÄSTRA GÖTALANDS LÄN</t>
        </is>
      </c>
      <c r="G189" t="inlineStr">
        <is>
          <t>KARLSBORG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13252-2024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46308</v>
      </c>
      <c r="F190" t="inlineStr">
        <is>
          <t>VÄSTRA GÖTALANDS LÄN</t>
        </is>
      </c>
      <c r="G190" t="inlineStr">
        <is>
          <t>KARLSBORG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59045-2023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46308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Aktiebolag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44906</v>
      </c>
      <c r="E192" s="1" t="n">
        <v>46308</v>
      </c>
      <c r="F192" t="inlineStr">
        <is>
          <t>VÄSTRA GÖTALANDS LÄN</t>
        </is>
      </c>
      <c r="G192" t="inlineStr">
        <is>
          <t>KARLSBORG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45209</v>
      </c>
      <c r="E193" s="1" t="n">
        <v>46308</v>
      </c>
      <c r="F193" t="inlineStr">
        <is>
          <t>VÄSTRA GÖTALANDS LÄN</t>
        </is>
      </c>
      <c r="G193" t="inlineStr">
        <is>
          <t>KARLSBORG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48174-2024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45589</v>
      </c>
      <c r="E194" s="1" t="n">
        <v>46308</v>
      </c>
      <c r="F194" t="inlineStr">
        <is>
          <t>VÄSTRA GÖTALANDS LÄN</t>
        </is>
      </c>
      <c r="G194" t="inlineStr">
        <is>
          <t>KARLSBORG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46308</v>
      </c>
      <c r="F195" t="inlineStr">
        <is>
          <t>VÄSTRA GÖTALANDS LÄN</t>
        </is>
      </c>
      <c r="G195" t="inlineStr">
        <is>
          <t>KARLSBORG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23500-2023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45076</v>
      </c>
      <c r="E196" s="1" t="n">
        <v>46308</v>
      </c>
      <c r="F196" t="inlineStr">
        <is>
          <t>VÄSTRA GÖTALANDS LÄN</t>
        </is>
      </c>
      <c r="G196" t="inlineStr">
        <is>
          <t>KARLSBORG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61542-2023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45265</v>
      </c>
      <c r="E197" s="1" t="n">
        <v>46308</v>
      </c>
      <c r="F197" t="inlineStr">
        <is>
          <t>VÄSTRA GÖTALANDS LÄN</t>
        </is>
      </c>
      <c r="G197" t="inlineStr">
        <is>
          <t>KARLSBORG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58533-2023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46308</v>
      </c>
      <c r="F198" t="inlineStr">
        <is>
          <t>VÄSTRA GÖTALANDS LÄN</t>
        </is>
      </c>
      <c r="G198" t="inlineStr">
        <is>
          <t>KARLSBORG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58152-2022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46308</v>
      </c>
      <c r="F199" t="inlineStr">
        <is>
          <t>VÄSTRA GÖTALANDS LÄN</t>
        </is>
      </c>
      <c r="G199" t="inlineStr">
        <is>
          <t>KARLSBORG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46308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29357-2024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45483</v>
      </c>
      <c r="E201" s="1" t="n">
        <v>46308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46308</v>
      </c>
      <c r="F202" t="inlineStr">
        <is>
          <t>VÄSTRA GÖTALANDS LÄN</t>
        </is>
      </c>
      <c r="G202" t="inlineStr">
        <is>
          <t>KARLSBORG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53247-2023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45229</v>
      </c>
      <c r="E203" s="1" t="n">
        <v>46308</v>
      </c>
      <c r="F203" t="inlineStr">
        <is>
          <t>VÄSTRA GÖTALANDS LÄN</t>
        </is>
      </c>
      <c r="G203" t="inlineStr">
        <is>
          <t>KARLSBORG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44929</v>
      </c>
      <c r="E204" s="1" t="n">
        <v>46308</v>
      </c>
      <c r="F204" t="inlineStr">
        <is>
          <t>VÄSTRA GÖTALANDS LÄN</t>
        </is>
      </c>
      <c r="G204" t="inlineStr">
        <is>
          <t>KARLSBORG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  <c r="X204">
        <f>HYPERLINK("https://klasma.github.io/Logging_1446/kartor/A 412-2023 karta.png", "A 412-2023")</f>
        <v/>
      </c>
      <c r="Y204">
        <f>HYPERLINK("https://klasma.github.io/Logging_1446/kartor_geotiff/A 412-2023 georefererad karta.tif", "A 412-2023")</f>
        <v/>
      </c>
      <c r="AA204">
        <f>HYPERLINK("https://klasma.github.io/Logging_1446/klagomål/A 412-2023 FSC-klagomål.docx", "A 412-2023")</f>
        <v/>
      </c>
      <c r="AB204">
        <f>HYPERLINK("https://klasma.github.io/Logging_1446/klagomålsmail/A 412-2023 FSC-klagomål mail.docx", "A 412-2023")</f>
        <v/>
      </c>
      <c r="AC204">
        <f>HYPERLINK("https://klasma.github.io/Logging_1446/tillsyn/A 412-2023 tillsynsbegäran.docx", "A 412-2023")</f>
        <v/>
      </c>
      <c r="AD204">
        <f>HYPERLINK("https://klasma.github.io/Logging_1446/tillsynsmail/A 412-2023 tillsynsbegäran mail.docx", "A 412-2023")</f>
        <v/>
      </c>
    </row>
    <row r="205" ht="15" customHeight="1">
      <c r="A205" t="inlineStr">
        <is>
          <t>A 29685-2022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44755</v>
      </c>
      <c r="E205" s="1" t="n">
        <v>46308</v>
      </c>
      <c r="F205" t="inlineStr">
        <is>
          <t>VÄSTRA GÖTALANDS LÄN</t>
        </is>
      </c>
      <c r="G205" t="inlineStr">
        <is>
          <t>KARLSBORG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46308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44908</v>
      </c>
      <c r="E207" s="1" t="n">
        <v>46308</v>
      </c>
      <c r="F207" t="inlineStr">
        <is>
          <t>VÄSTRA GÖTALANDS LÄN</t>
        </is>
      </c>
      <c r="G207" t="inlineStr">
        <is>
          <t>KARLSBORG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57913-2024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45631</v>
      </c>
      <c r="E208" s="1" t="n">
        <v>46308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46308</v>
      </c>
      <c r="F209" t="inlineStr">
        <is>
          <t>VÄSTRA GÖTALANDS LÄN</t>
        </is>
      </c>
      <c r="G209" t="inlineStr">
        <is>
          <t>KARLSBORG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45252</v>
      </c>
      <c r="E210" s="1" t="n">
        <v>46308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58129-2024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45632</v>
      </c>
      <c r="E211" s="1" t="n">
        <v>46308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14522-2024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45394</v>
      </c>
      <c r="E212" s="1" t="n">
        <v>46308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45209</v>
      </c>
      <c r="E213" s="1" t="n">
        <v>46308</v>
      </c>
      <c r="F213" t="inlineStr">
        <is>
          <t>VÄSTRA GÖTALANDS LÄN</t>
        </is>
      </c>
      <c r="G213" t="inlineStr">
        <is>
          <t>KARLSBORG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59890-2021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44494</v>
      </c>
      <c r="E214" s="1" t="n">
        <v>46308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statliga verk och myndigheter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44906</v>
      </c>
      <c r="E215" s="1" t="n">
        <v>46308</v>
      </c>
      <c r="F215" t="inlineStr">
        <is>
          <t>VÄSTRA GÖTALANDS LÄN</t>
        </is>
      </c>
      <c r="G215" t="inlineStr">
        <is>
          <t>KARLSBORG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69341-2021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44531</v>
      </c>
      <c r="E216" s="1" t="n">
        <v>46308</v>
      </c>
      <c r="F216" t="inlineStr">
        <is>
          <t>VÄSTRA GÖTALANDS LÄN</t>
        </is>
      </c>
      <c r="G216" t="inlineStr">
        <is>
          <t>KARLSBORG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25697-2023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45089</v>
      </c>
      <c r="E217" s="1" t="n">
        <v>46308</v>
      </c>
      <c r="F217" t="inlineStr">
        <is>
          <t>VÄSTRA GÖTALANDS LÄN</t>
        </is>
      </c>
      <c r="G217" t="inlineStr">
        <is>
          <t>KARLSBORG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34125-2024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46308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Övriga Aktiebolag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15396-2024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45401</v>
      </c>
      <c r="E219" s="1" t="n">
        <v>46308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59877-2021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44494</v>
      </c>
      <c r="E220" s="1" t="n">
        <v>46308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Övriga statliga verk och myndigheter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2395-2024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45468</v>
      </c>
      <c r="E221" s="1" t="n">
        <v>46308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343-2026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46059</v>
      </c>
      <c r="E222" s="1" t="n">
        <v>46308</v>
      </c>
      <c r="F222" t="inlineStr">
        <is>
          <t>VÄSTRA GÖTALANDS LÄN</t>
        </is>
      </c>
      <c r="G222" t="inlineStr">
        <is>
          <t>KARLSBORG</t>
        </is>
      </c>
      <c r="I222" t="n">
        <v>25.7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2026-10-13T02:03:44Z</dcterms:created>
  <dcterms:modified xmlns:dcterms="http://purl.org/dc/terms/" xmlns:xsi="http://www.w3.org/2001/XMLSchema-instance" xsi:type="dcterms:W3CDTF">2026-10-13T02:03:44Z</dcterms:modified>
</cp:coreProperties>
</file>