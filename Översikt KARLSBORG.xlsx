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46109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46109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46109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46109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46109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46109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46109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46109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46109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46109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46109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46109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46109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46109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46109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46109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46109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46109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46109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46109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46109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46109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46109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46109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36820-2022</t>
        </is>
      </c>
      <c r="B45" s="1" t="n">
        <v>44805.55697916666</v>
      </c>
      <c r="C45" s="1" t="n">
        <v>46109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46109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45090.93861111111</v>
      </c>
      <c r="C47" s="1" t="n">
        <v>46109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45090.9447337963</v>
      </c>
      <c r="C48" s="1" t="n">
        <v>46109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46109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46109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46109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45786.58416666667</v>
      </c>
      <c r="C52" s="1" t="n">
        <v>46109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43021-2021</t>
        </is>
      </c>
      <c r="B53" s="1" t="n">
        <v>44431.48305555555</v>
      </c>
      <c r="C53" s="1" t="n">
        <v>46109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38290-2025</t>
        </is>
      </c>
      <c r="B54" s="1" t="n">
        <v>45883.44046296296</v>
      </c>
      <c r="C54" s="1" t="n">
        <v>46109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57581-2025</t>
        </is>
      </c>
      <c r="B55" s="1" t="n">
        <v>45980</v>
      </c>
      <c r="C55" s="1" t="n">
        <v>46109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46109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8053-2023</t>
        </is>
      </c>
      <c r="B57" s="1" t="n">
        <v>44974</v>
      </c>
      <c r="C57" s="1" t="n">
        <v>46109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22761-2025</t>
        </is>
      </c>
      <c r="B58" s="1" t="n">
        <v>45789.6207175926</v>
      </c>
      <c r="C58" s="1" t="n">
        <v>46109</v>
      </c>
      <c r="D58" t="inlineStr">
        <is>
          <t>VÄSTRA GÖTALANDS LÄN</t>
        </is>
      </c>
      <c r="E58" t="inlineStr">
        <is>
          <t>KARLSBORG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53439-2025</t>
        </is>
      </c>
      <c r="B59" s="1" t="n">
        <v>45959</v>
      </c>
      <c r="C59" s="1" t="n">
        <v>46109</v>
      </c>
      <c r="D59" t="inlineStr">
        <is>
          <t>VÄSTRA GÖTALANDS LÄN</t>
        </is>
      </c>
      <c r="E59" t="inlineStr">
        <is>
          <t>KARLSBORG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46109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46109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22960-2025</t>
        </is>
      </c>
      <c r="B62" s="1" t="n">
        <v>45790.53807870371</v>
      </c>
      <c r="C62" s="1" t="n">
        <v>46109</v>
      </c>
      <c r="D62" t="inlineStr">
        <is>
          <t>VÄSTRA GÖTALANDS LÄN</t>
        </is>
      </c>
      <c r="E62" t="inlineStr">
        <is>
          <t>KARLSBORG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46109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29489-2025</t>
        </is>
      </c>
      <c r="B64" s="1" t="n">
        <v>45824.76096064815</v>
      </c>
      <c r="C64" s="1" t="n">
        <v>46109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59111-2025</t>
        </is>
      </c>
      <c r="B65" s="1" t="n">
        <v>45988.48037037037</v>
      </c>
      <c r="C65" s="1" t="n">
        <v>46109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13008-2025</t>
        </is>
      </c>
      <c r="B66" s="1" t="n">
        <v>45734.51854166666</v>
      </c>
      <c r="C66" s="1" t="n">
        <v>46109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29357-2024</t>
        </is>
      </c>
      <c r="B67" s="1" t="n">
        <v>45483</v>
      </c>
      <c r="C67" s="1" t="n">
        <v>46109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59697-2025</t>
        </is>
      </c>
      <c r="B68" s="1" t="n">
        <v>45992.49255787037</v>
      </c>
      <c r="C68" s="1" t="n">
        <v>46109</v>
      </c>
      <c r="D68" t="inlineStr">
        <is>
          <t>VÄSTRA GÖTALANDS LÄN</t>
        </is>
      </c>
      <c r="E68" t="inlineStr">
        <is>
          <t>KARLSBORG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46109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61542-2023</t>
        </is>
      </c>
      <c r="B70" s="1" t="n">
        <v>45265</v>
      </c>
      <c r="C70" s="1" t="n">
        <v>46109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46109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46109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873-2025</t>
        </is>
      </c>
      <c r="B73" s="1" t="n">
        <v>45665.63168981481</v>
      </c>
      <c r="C73" s="1" t="n">
        <v>46109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46109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14862-2025</t>
        </is>
      </c>
      <c r="B75" s="1" t="n">
        <v>45743.4346875</v>
      </c>
      <c r="C75" s="1" t="n">
        <v>46109</v>
      </c>
      <c r="D75" t="inlineStr">
        <is>
          <t>VÄSTRA GÖTALANDS LÄN</t>
        </is>
      </c>
      <c r="E75" t="inlineStr">
        <is>
          <t>KARLSBORG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8984-2025</t>
        </is>
      </c>
      <c r="B76" s="1" t="n">
        <v>45713.53513888889</v>
      </c>
      <c r="C76" s="1" t="n">
        <v>46109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10667-2025</t>
        </is>
      </c>
      <c r="B77" s="1" t="n">
        <v>45721.76960648148</v>
      </c>
      <c r="C77" s="1" t="n">
        <v>46109</v>
      </c>
      <c r="D77" t="inlineStr">
        <is>
          <t>VÄSTRA GÖTALANDS LÄN</t>
        </is>
      </c>
      <c r="E77" t="inlineStr">
        <is>
          <t>KARLSBORG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46109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46109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46109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18083-2024</t>
        </is>
      </c>
      <c r="B81" s="1" t="n">
        <v>45420.44768518519</v>
      </c>
      <c r="C81" s="1" t="n">
        <v>46109</v>
      </c>
      <c r="D81" t="inlineStr">
        <is>
          <t>VÄSTRA GÖTALANDS LÄN</t>
        </is>
      </c>
      <c r="E81" t="inlineStr">
        <is>
          <t>KARLSBORG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46109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60877-2025</t>
        </is>
      </c>
      <c r="B83" s="1" t="n">
        <v>45999.55611111111</v>
      </c>
      <c r="C83" s="1" t="n">
        <v>46109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60878-2025</t>
        </is>
      </c>
      <c r="B84" s="1" t="n">
        <v>45999.55688657407</v>
      </c>
      <c r="C84" s="1" t="n">
        <v>46109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58129-2024</t>
        </is>
      </c>
      <c r="B85" s="1" t="n">
        <v>45632.40585648148</v>
      </c>
      <c r="C85" s="1" t="n">
        <v>46109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61211-2022</t>
        </is>
      </c>
      <c r="B86" s="1" t="n">
        <v>44908</v>
      </c>
      <c r="C86" s="1" t="n">
        <v>46109</v>
      </c>
      <c r="D86" t="inlineStr">
        <is>
          <t>VÄSTRA GÖTALANDS LÄN</t>
        </is>
      </c>
      <c r="E86" t="inlineStr">
        <is>
          <t>KARLSBORG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41350-2025</t>
        </is>
      </c>
      <c r="B87" s="1" t="n">
        <v>45899.65248842593</v>
      </c>
      <c r="C87" s="1" t="n">
        <v>46109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46109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48175-2024</t>
        </is>
      </c>
      <c r="B89" s="1" t="n">
        <v>45589.8465162037</v>
      </c>
      <c r="C89" s="1" t="n">
        <v>46109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62068-2025</t>
        </is>
      </c>
      <c r="B90" s="1" t="n">
        <v>46006.35954861111</v>
      </c>
      <c r="C90" s="1" t="n">
        <v>46109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62072-2025</t>
        </is>
      </c>
      <c r="B91" s="1" t="n">
        <v>46006.36180555556</v>
      </c>
      <c r="C91" s="1" t="n">
        <v>46109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46109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46109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46109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5402-2022</t>
        </is>
      </c>
      <c r="B95" s="1" t="n">
        <v>44595</v>
      </c>
      <c r="C95" s="1" t="n">
        <v>46109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5439-2022</t>
        </is>
      </c>
      <c r="B96" s="1" t="n">
        <v>44595</v>
      </c>
      <c r="C96" s="1" t="n">
        <v>46109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23268-2022</t>
        </is>
      </c>
      <c r="B97" s="1" t="n">
        <v>44720.40994212963</v>
      </c>
      <c r="C97" s="1" t="n">
        <v>46109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42757-2024</t>
        </is>
      </c>
      <c r="B98" s="1" t="n">
        <v>45566.496875</v>
      </c>
      <c r="C98" s="1" t="n">
        <v>46109</v>
      </c>
      <c r="D98" t="inlineStr">
        <is>
          <t>VÄSTRA GÖTALANDS LÄN</t>
        </is>
      </c>
      <c r="E98" t="inlineStr">
        <is>
          <t>KARLSBORG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46109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42598-2024</t>
        </is>
      </c>
      <c r="B100" s="1" t="n">
        <v>45565.70193287037</v>
      </c>
      <c r="C100" s="1" t="n">
        <v>46109</v>
      </c>
      <c r="D100" t="inlineStr">
        <is>
          <t>VÄSTRA GÖTALANDS LÄN</t>
        </is>
      </c>
      <c r="E100" t="inlineStr">
        <is>
          <t>KARLSBORG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13076-2023</t>
        </is>
      </c>
      <c r="B101" s="1" t="n">
        <v>45002</v>
      </c>
      <c r="C101" s="1" t="n">
        <v>46109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46109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35441-2024</t>
        </is>
      </c>
      <c r="B103" s="1" t="n">
        <v>45531.4332175926</v>
      </c>
      <c r="C103" s="1" t="n">
        <v>46109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35443-2024</t>
        </is>
      </c>
      <c r="B104" s="1" t="n">
        <v>45531.43494212963</v>
      </c>
      <c r="C104" s="1" t="n">
        <v>46109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46109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1454-2023</t>
        </is>
      </c>
      <c r="B106" s="1" t="n">
        <v>44937</v>
      </c>
      <c r="C106" s="1" t="n">
        <v>46109</v>
      </c>
      <c r="D106" t="inlineStr">
        <is>
          <t>VÄSTRA GÖTALANDS LÄN</t>
        </is>
      </c>
      <c r="E106" t="inlineStr">
        <is>
          <t>KARLSBORG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42724-2024</t>
        </is>
      </c>
      <c r="B107" s="1" t="n">
        <v>45566.46574074074</v>
      </c>
      <c r="C107" s="1" t="n">
        <v>46109</v>
      </c>
      <c r="D107" t="inlineStr">
        <is>
          <t>VÄSTRA GÖTALANDS LÄN</t>
        </is>
      </c>
      <c r="E107" t="inlineStr">
        <is>
          <t>KARLSBORG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64011-2025</t>
        </is>
      </c>
      <c r="B108" s="1" t="n">
        <v>46021.43207175926</v>
      </c>
      <c r="C108" s="1" t="n">
        <v>46109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64012-2025</t>
        </is>
      </c>
      <c r="B109" s="1" t="n">
        <v>46021.43547453704</v>
      </c>
      <c r="C109" s="1" t="n">
        <v>46109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64025-2025</t>
        </is>
      </c>
      <c r="B110" s="1" t="n">
        <v>46021.47168981482</v>
      </c>
      <c r="C110" s="1" t="n">
        <v>46109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46109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46109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10897-2025</t>
        </is>
      </c>
      <c r="B113" s="1" t="n">
        <v>45722.68349537037</v>
      </c>
      <c r="C113" s="1" t="n">
        <v>46109</v>
      </c>
      <c r="D113" t="inlineStr">
        <is>
          <t>VÄSTRA GÖTALANDS LÄN</t>
        </is>
      </c>
      <c r="E113" t="inlineStr">
        <is>
          <t>KARLSBORG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15656-2024</t>
        </is>
      </c>
      <c r="B114" s="1" t="n">
        <v>45404</v>
      </c>
      <c r="C114" s="1" t="n">
        <v>46109</v>
      </c>
      <c r="D114" t="inlineStr">
        <is>
          <t>VÄSTRA GÖTALANDS LÄN</t>
        </is>
      </c>
      <c r="E114" t="inlineStr">
        <is>
          <t>KARLSBORG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44985-2024</t>
        </is>
      </c>
      <c r="B115" s="1" t="n">
        <v>45575.47465277778</v>
      </c>
      <c r="C115" s="1" t="n">
        <v>46109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9130-2026</t>
        </is>
      </c>
      <c r="B116" s="1" t="n">
        <v>46069.71768518518</v>
      </c>
      <c r="C116" s="1" t="n">
        <v>46109</v>
      </c>
      <c r="D116" t="inlineStr">
        <is>
          <t>VÄSTRA GÖTALANDS LÄN</t>
        </is>
      </c>
      <c r="E116" t="inlineStr">
        <is>
          <t>KARLSBORG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59401-2022</t>
        </is>
      </c>
      <c r="B117" s="1" t="n">
        <v>44906.90962962963</v>
      </c>
      <c r="C117" s="1" t="n">
        <v>46109</v>
      </c>
      <c r="D117" t="inlineStr">
        <is>
          <t>VÄSTRA GÖTALANDS LÄN</t>
        </is>
      </c>
      <c r="E117" t="inlineStr">
        <is>
          <t>KARLSBORG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48888-2023</t>
        </is>
      </c>
      <c r="B118" s="1" t="n">
        <v>45209</v>
      </c>
      <c r="C118" s="1" t="n">
        <v>46109</v>
      </c>
      <c r="D118" t="inlineStr">
        <is>
          <t>VÄSTRA GÖTALANDS LÄN</t>
        </is>
      </c>
      <c r="E118" t="inlineStr">
        <is>
          <t>KARLSBORG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46109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46109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46109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46109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46109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7978-2025</t>
        </is>
      </c>
      <c r="B124" s="1" t="n">
        <v>45707.46611111111</v>
      </c>
      <c r="C124" s="1" t="n">
        <v>46109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46109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46109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15699-2025</t>
        </is>
      </c>
      <c r="B127" s="1" t="n">
        <v>45748.47081018519</v>
      </c>
      <c r="C127" s="1" t="n">
        <v>46109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46904-2024</t>
        </is>
      </c>
      <c r="B128" s="1" t="n">
        <v>45583.70912037037</v>
      </c>
      <c r="C128" s="1" t="n">
        <v>46109</v>
      </c>
      <c r="D128" t="inlineStr">
        <is>
          <t>VÄSTRA GÖTALANDS LÄN</t>
        </is>
      </c>
      <c r="E128" t="inlineStr">
        <is>
          <t>KARLSBORG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412-2023</t>
        </is>
      </c>
      <c r="B129" s="1" t="n">
        <v>44929</v>
      </c>
      <c r="C129" s="1" t="n">
        <v>46109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HYPERLINK("https://klasma.github.io/Logging_1446/kartor/A 412-2023 karta.png", "A 412-2023")</f>
        <v/>
      </c>
      <c r="V129">
        <f>HYPERLINK("https://klasma.github.io/Logging_1446/klagomål/A 412-2023 FSC-klagomål.docx", "A 412-2023")</f>
        <v/>
      </c>
      <c r="W129">
        <f>HYPERLINK("https://klasma.github.io/Logging_1446/klagomålsmail/A 412-2023 FSC-klagomål mail.docx", "A 412-2023")</f>
        <v/>
      </c>
      <c r="X129">
        <f>HYPERLINK("https://klasma.github.io/Logging_1446/tillsyn/A 412-2023 tillsynsbegäran.docx", "A 412-2023")</f>
        <v/>
      </c>
      <c r="Y129">
        <f>HYPERLINK("https://klasma.github.io/Logging_1446/tillsynsmail/A 412-2023 tillsynsbegäran mail.docx", "A 412-2023")</f>
        <v/>
      </c>
    </row>
    <row r="130" ht="15" customHeight="1">
      <c r="A130" t="inlineStr">
        <is>
          <t>A 28315-2025</t>
        </is>
      </c>
      <c r="B130" s="1" t="n">
        <v>45818.62765046296</v>
      </c>
      <c r="C130" s="1" t="n">
        <v>46109</v>
      </c>
      <c r="D130" t="inlineStr">
        <is>
          <t>VÄSTRA GÖTALANDS LÄN</t>
        </is>
      </c>
      <c r="E130" t="inlineStr">
        <is>
          <t>KARLSBORG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29485-2025</t>
        </is>
      </c>
      <c r="B131" s="1" t="n">
        <v>45824.74728009259</v>
      </c>
      <c r="C131" s="1" t="n">
        <v>46109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29488-2025</t>
        </is>
      </c>
      <c r="B132" s="1" t="n">
        <v>45824</v>
      </c>
      <c r="C132" s="1" t="n">
        <v>46109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46109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46109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29486-2025</t>
        </is>
      </c>
      <c r="B135" s="1" t="n">
        <v>45824.75438657407</v>
      </c>
      <c r="C135" s="1" t="n">
        <v>46109</v>
      </c>
      <c r="D135" t="inlineStr">
        <is>
          <t>VÄSTRA GÖTALANDS LÄN</t>
        </is>
      </c>
      <c r="E135" t="inlineStr">
        <is>
          <t>KARLSBORG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46109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10828-2024</t>
        </is>
      </c>
      <c r="B137" s="1" t="n">
        <v>45369.69503472222</v>
      </c>
      <c r="C137" s="1" t="n">
        <v>46109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46109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10907-2026</t>
        </is>
      </c>
      <c r="B139" s="1" t="n">
        <v>46079.30614583333</v>
      </c>
      <c r="C139" s="1" t="n">
        <v>46109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30772-2025</t>
        </is>
      </c>
      <c r="B140" s="1" t="n">
        <v>45831.61435185185</v>
      </c>
      <c r="C140" s="1" t="n">
        <v>46109</v>
      </c>
      <c r="D140" t="inlineStr">
        <is>
          <t>VÄSTRA GÖTALANDS LÄN</t>
        </is>
      </c>
      <c r="E140" t="inlineStr">
        <is>
          <t>KARLSBORG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30676-2025</t>
        </is>
      </c>
      <c r="B141" s="1" t="n">
        <v>45831.52273148148</v>
      </c>
      <c r="C141" s="1" t="n">
        <v>46109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31770-2025</t>
        </is>
      </c>
      <c r="B142" s="1" t="n">
        <v>45834.50756944445</v>
      </c>
      <c r="C142" s="1" t="n">
        <v>46109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31440-2025</t>
        </is>
      </c>
      <c r="B143" s="1" t="n">
        <v>45833.51048611111</v>
      </c>
      <c r="C143" s="1" t="n">
        <v>46109</v>
      </c>
      <c r="D143" t="inlineStr">
        <is>
          <t>VÄSTRA GÖTALANDS LÄN</t>
        </is>
      </c>
      <c r="E143" t="inlineStr">
        <is>
          <t>KARLSBORG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31444-2025</t>
        </is>
      </c>
      <c r="B144" s="1" t="n">
        <v>45833.51385416667</v>
      </c>
      <c r="C144" s="1" t="n">
        <v>46109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31701-2025</t>
        </is>
      </c>
      <c r="B145" s="1" t="n">
        <v>45834</v>
      </c>
      <c r="C145" s="1" t="n">
        <v>46109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31538-2025</t>
        </is>
      </c>
      <c r="B146" s="1" t="n">
        <v>45833.6284375</v>
      </c>
      <c r="C146" s="1" t="n">
        <v>46109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59845-2023</t>
        </is>
      </c>
      <c r="B147" s="1" t="n">
        <v>45257.56932870371</v>
      </c>
      <c r="C147" s="1" t="n">
        <v>46109</v>
      </c>
      <c r="D147" t="inlineStr">
        <is>
          <t>VÄSTRA GÖTALANDS LÄN</t>
        </is>
      </c>
      <c r="E147" t="inlineStr">
        <is>
          <t>KARLSBORG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13077-2023</t>
        </is>
      </c>
      <c r="B148" s="1" t="n">
        <v>45002.40217592593</v>
      </c>
      <c r="C148" s="1" t="n">
        <v>46109</v>
      </c>
      <c r="D148" t="inlineStr">
        <is>
          <t>VÄSTRA GÖTALANDS LÄN</t>
        </is>
      </c>
      <c r="E148" t="inlineStr">
        <is>
          <t>KARLSBORG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32128-2025</t>
        </is>
      </c>
      <c r="B149" s="1" t="n">
        <v>45835.50236111111</v>
      </c>
      <c r="C149" s="1" t="n">
        <v>46109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4430-2026</t>
        </is>
      </c>
      <c r="B150" s="1" t="n">
        <v>46045.62002314815</v>
      </c>
      <c r="C150" s="1" t="n">
        <v>46109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4454-2026</t>
        </is>
      </c>
      <c r="B151" s="1" t="n">
        <v>46045.64197916666</v>
      </c>
      <c r="C151" s="1" t="n">
        <v>46109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4433-2026</t>
        </is>
      </c>
      <c r="B152" s="1" t="n">
        <v>46045.62255787037</v>
      </c>
      <c r="C152" s="1" t="n">
        <v>46109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4448-2026</t>
        </is>
      </c>
      <c r="B153" s="1" t="n">
        <v>46045.63888888889</v>
      </c>
      <c r="C153" s="1" t="n">
        <v>46109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46109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4439-2026</t>
        </is>
      </c>
      <c r="B155" s="1" t="n">
        <v>46045.63331018519</v>
      </c>
      <c r="C155" s="1" t="n">
        <v>46109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4435-2026</t>
        </is>
      </c>
      <c r="B156" s="1" t="n">
        <v>46045.62402777778</v>
      </c>
      <c r="C156" s="1" t="n">
        <v>46109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29685-2022</t>
        </is>
      </c>
      <c r="B157" s="1" t="n">
        <v>44755.30305555555</v>
      </c>
      <c r="C157" s="1" t="n">
        <v>46109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53645-2025</t>
        </is>
      </c>
      <c r="B158" s="1" t="n">
        <v>45960.51917824074</v>
      </c>
      <c r="C158" s="1" t="n">
        <v>46109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4436-2026</t>
        </is>
      </c>
      <c r="B159" s="1" t="n">
        <v>46045.62513888889</v>
      </c>
      <c r="C159" s="1" t="n">
        <v>46109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46109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21978-2021</t>
        </is>
      </c>
      <c r="B161" s="1" t="n">
        <v>44323</v>
      </c>
      <c r="C161" s="1" t="n">
        <v>46109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24594-2022</t>
        </is>
      </c>
      <c r="B162" s="1" t="n">
        <v>44727.4684837963</v>
      </c>
      <c r="C162" s="1" t="n">
        <v>46109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6463-2025</t>
        </is>
      </c>
      <c r="B163" s="1" t="n">
        <v>45699.56878472222</v>
      </c>
      <c r="C163" s="1" t="n">
        <v>46109</v>
      </c>
      <c r="D163" t="inlineStr">
        <is>
          <t>VÄSTRA GÖTALANDS LÄN</t>
        </is>
      </c>
      <c r="E163" t="inlineStr">
        <is>
          <t>KARLSBORG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40128-2023</t>
        </is>
      </c>
      <c r="B164" s="1" t="n">
        <v>45169</v>
      </c>
      <c r="C164" s="1" t="n">
        <v>46109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48385-2025</t>
        </is>
      </c>
      <c r="B165" s="1" t="n">
        <v>45933.84990740741</v>
      </c>
      <c r="C165" s="1" t="n">
        <v>46109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46109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5441-2026</t>
        </is>
      </c>
      <c r="B167" s="1" t="n">
        <v>46050.56890046296</v>
      </c>
      <c r="C167" s="1" t="n">
        <v>46109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23469-2024</t>
        </is>
      </c>
      <c r="B168" s="1" t="n">
        <v>45453</v>
      </c>
      <c r="C168" s="1" t="n">
        <v>46109</v>
      </c>
      <c r="D168" t="inlineStr">
        <is>
          <t>VÄSTRA GÖTALANDS LÄN</t>
        </is>
      </c>
      <c r="E168" t="inlineStr">
        <is>
          <t>KARLSBORG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6035-2026</t>
        </is>
      </c>
      <c r="B169" s="1" t="n">
        <v>46052.61423611111</v>
      </c>
      <c r="C169" s="1" t="n">
        <v>46109</v>
      </c>
      <c r="D169" t="inlineStr">
        <is>
          <t>VÄSTRA GÖTALANDS LÄN</t>
        </is>
      </c>
      <c r="E169" t="inlineStr">
        <is>
          <t>KARLSBORG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56110-2025</t>
        </is>
      </c>
      <c r="B170" s="1" t="n">
        <v>45973.73524305555</v>
      </c>
      <c r="C170" s="1" t="n">
        <v>46109</v>
      </c>
      <c r="D170" t="inlineStr">
        <is>
          <t>VÄSTRA GÖTALANDS LÄN</t>
        </is>
      </c>
      <c r="E170" t="inlineStr">
        <is>
          <t>KARLSBORG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53247-2023</t>
        </is>
      </c>
      <c r="B171" s="1" t="n">
        <v>45229.50737268518</v>
      </c>
      <c r="C171" s="1" t="n">
        <v>46109</v>
      </c>
      <c r="D171" t="inlineStr">
        <is>
          <t>VÄSTRA GÖTALANDS LÄN</t>
        </is>
      </c>
      <c r="E171" t="inlineStr">
        <is>
          <t>KARLSBORG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6408-2026</t>
        </is>
      </c>
      <c r="B172" s="1" t="n">
        <v>46055.67207175926</v>
      </c>
      <c r="C172" s="1" t="n">
        <v>46109</v>
      </c>
      <c r="D172" t="inlineStr">
        <is>
          <t>VÄSTRA GÖTALANDS LÄN</t>
        </is>
      </c>
      <c r="E172" t="inlineStr">
        <is>
          <t>KARLSBORG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54623-2024</t>
        </is>
      </c>
      <c r="B173" s="1" t="n">
        <v>45617.76770833333</v>
      </c>
      <c r="C173" s="1" t="n">
        <v>46109</v>
      </c>
      <c r="D173" t="inlineStr">
        <is>
          <t>VÄSTRA GÖTALANDS LÄN</t>
        </is>
      </c>
      <c r="E173" t="inlineStr">
        <is>
          <t>KARLSBORG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18868-2025</t>
        </is>
      </c>
      <c r="B174" s="1" t="n">
        <v>45764.43010416667</v>
      </c>
      <c r="C174" s="1" t="n">
        <v>46109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46109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45716.54331018519</v>
      </c>
      <c r="C176" s="1" t="n">
        <v>46109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46109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63732-2025</t>
        </is>
      </c>
      <c r="B178" s="1" t="n">
        <v>46010</v>
      </c>
      <c r="C178" s="1" t="n">
        <v>46109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63733-2025</t>
        </is>
      </c>
      <c r="B179" s="1" t="n">
        <v>46010</v>
      </c>
      <c r="C179" s="1" t="n">
        <v>46109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35929-2025</t>
        </is>
      </c>
      <c r="B180" s="1" t="n">
        <v>45862.61262731482</v>
      </c>
      <c r="C180" s="1" t="n">
        <v>46109</v>
      </c>
      <c r="D180" t="inlineStr">
        <is>
          <t>VÄSTRA GÖTALANDS LÄN</t>
        </is>
      </c>
      <c r="E180" t="inlineStr">
        <is>
          <t>KARLSBORG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35930-2025</t>
        </is>
      </c>
      <c r="B181" s="1" t="n">
        <v>45862</v>
      </c>
      <c r="C181" s="1" t="n">
        <v>46109</v>
      </c>
      <c r="D181" t="inlineStr">
        <is>
          <t>VÄSTRA GÖTALANDS LÄN</t>
        </is>
      </c>
      <c r="E181" t="inlineStr">
        <is>
          <t>KARLSBORG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7644-2026</t>
        </is>
      </c>
      <c r="B182" s="1" t="n">
        <v>46062.37766203703</v>
      </c>
      <c r="C182" s="1" t="n">
        <v>46109</v>
      </c>
      <c r="D182" t="inlineStr">
        <is>
          <t>VÄSTRA GÖTALANDS LÄN</t>
        </is>
      </c>
      <c r="E182" t="inlineStr">
        <is>
          <t>KARLSBORG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63731-2025</t>
        </is>
      </c>
      <c r="B183" s="1" t="n">
        <v>46010</v>
      </c>
      <c r="C183" s="1" t="n">
        <v>46109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58573-2023</t>
        </is>
      </c>
      <c r="B184" s="1" t="n">
        <v>45251</v>
      </c>
      <c r="C184" s="1" t="n">
        <v>46109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46109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63734-2025</t>
        </is>
      </c>
      <c r="B186" s="1" t="n">
        <v>46010</v>
      </c>
      <c r="C186" s="1" t="n">
        <v>46109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70945-2021</t>
        </is>
      </c>
      <c r="B187" s="1" t="n">
        <v>44538.50564814815</v>
      </c>
      <c r="C187" s="1" t="n">
        <v>46109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42710-2024</t>
        </is>
      </c>
      <c r="B188" s="1" t="n">
        <v>45566.44601851852</v>
      </c>
      <c r="C188" s="1" t="n">
        <v>46109</v>
      </c>
      <c r="D188" t="inlineStr">
        <is>
          <t>VÄSTRA GÖTALANDS LÄN</t>
        </is>
      </c>
      <c r="E188" t="inlineStr">
        <is>
          <t>KARLSBORG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16796-2021</t>
        </is>
      </c>
      <c r="B189" s="1" t="n">
        <v>44295</v>
      </c>
      <c r="C189" s="1" t="n">
        <v>46109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25696-2023</t>
        </is>
      </c>
      <c r="B190" s="1" t="n">
        <v>45089.96881944445</v>
      </c>
      <c r="C190" s="1" t="n">
        <v>46109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42778-2024</t>
        </is>
      </c>
      <c r="B191" s="1" t="n">
        <v>45566.52706018519</v>
      </c>
      <c r="C191" s="1" t="n">
        <v>46109</v>
      </c>
      <c r="D191" t="inlineStr">
        <is>
          <t>VÄSTRA GÖTALANDS LÄN</t>
        </is>
      </c>
      <c r="E191" t="inlineStr">
        <is>
          <t>KARLSBORG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37521-2024</t>
        </is>
      </c>
      <c r="B192" s="1" t="n">
        <v>45541.39284722223</v>
      </c>
      <c r="C192" s="1" t="n">
        <v>46109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17908-2025</t>
        </is>
      </c>
      <c r="B193" s="1" t="n">
        <v>45758.73297453704</v>
      </c>
      <c r="C193" s="1" t="n">
        <v>46109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26467-2021</t>
        </is>
      </c>
      <c r="B194" s="1" t="n">
        <v>44348.39732638889</v>
      </c>
      <c r="C194" s="1" t="n">
        <v>46109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37036-2025</t>
        </is>
      </c>
      <c r="B195" s="1" t="n">
        <v>45875</v>
      </c>
      <c r="C195" s="1" t="n">
        <v>46109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2784-2023</t>
        </is>
      </c>
      <c r="B196" s="1" t="n">
        <v>44944.66162037037</v>
      </c>
      <c r="C196" s="1" t="n">
        <v>46109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27823-2023</t>
        </is>
      </c>
      <c r="B197" s="1" t="n">
        <v>45098.5205787037</v>
      </c>
      <c r="C197" s="1" t="n">
        <v>46109</v>
      </c>
      <c r="D197" t="inlineStr">
        <is>
          <t>VÄSTRA GÖTALANDS LÄN</t>
        </is>
      </c>
      <c r="E197" t="inlineStr">
        <is>
          <t>KARLSBORG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40129-2023</t>
        </is>
      </c>
      <c r="B198" s="1" t="n">
        <v>45169</v>
      </c>
      <c r="C198" s="1" t="n">
        <v>46109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14525-2024</t>
        </is>
      </c>
      <c r="B199" s="1" t="n">
        <v>45394</v>
      </c>
      <c r="C199" s="1" t="n">
        <v>46109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24008-2023</t>
        </is>
      </c>
      <c r="B200" s="1" t="n">
        <v>45078.67081018518</v>
      </c>
      <c r="C200" s="1" t="n">
        <v>46109</v>
      </c>
      <c r="D200" t="inlineStr">
        <is>
          <t>VÄSTRA GÖTALANDS LÄN</t>
        </is>
      </c>
      <c r="E200" t="inlineStr">
        <is>
          <t>KARLSBORG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70783-2021</t>
        </is>
      </c>
      <c r="B201" s="1" t="n">
        <v>44537</v>
      </c>
      <c r="C201" s="1" t="n">
        <v>46109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2791-2023</t>
        </is>
      </c>
      <c r="B202" s="1" t="n">
        <v>44944.67371527778</v>
      </c>
      <c r="C202" s="1" t="n">
        <v>46109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45019-2024</t>
        </is>
      </c>
      <c r="B203" s="1" t="n">
        <v>45575.49673611111</v>
      </c>
      <c r="C203" s="1" t="n">
        <v>46109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34120-2024</t>
        </is>
      </c>
      <c r="B204" s="1" t="n">
        <v>45524.30751157407</v>
      </c>
      <c r="C204" s="1" t="n">
        <v>46109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34123-2024</t>
        </is>
      </c>
      <c r="B205" s="1" t="n">
        <v>45524</v>
      </c>
      <c r="C205" s="1" t="n">
        <v>46109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34125-2024</t>
        </is>
      </c>
      <c r="B206" s="1" t="n">
        <v>45524.31809027777</v>
      </c>
      <c r="C206" s="1" t="n">
        <v>46109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59887-2021</t>
        </is>
      </c>
      <c r="B207" s="1" t="n">
        <v>44494</v>
      </c>
      <c r="C207" s="1" t="n">
        <v>46109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59890-2021</t>
        </is>
      </c>
      <c r="B208" s="1" t="n">
        <v>44494</v>
      </c>
      <c r="C208" s="1" t="n">
        <v>46109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10007-2025</t>
        </is>
      </c>
      <c r="B209" s="1" t="n">
        <v>45719.45627314815</v>
      </c>
      <c r="C209" s="1" t="n">
        <v>46109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37519-2024</t>
        </is>
      </c>
      <c r="B210" s="1" t="n">
        <v>45541.39113425926</v>
      </c>
      <c r="C210" s="1" t="n">
        <v>46109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46109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69341-2021</t>
        </is>
      </c>
      <c r="B212" s="1" t="n">
        <v>44531</v>
      </c>
      <c r="C212" s="1" t="n">
        <v>46109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43709-2024</t>
        </is>
      </c>
      <c r="B213" s="1" t="n">
        <v>45569</v>
      </c>
      <c r="C213" s="1" t="n">
        <v>46109</v>
      </c>
      <c r="D213" t="inlineStr">
        <is>
          <t>VÄSTRA GÖTALANDS LÄN</t>
        </is>
      </c>
      <c r="E213" t="inlineStr">
        <is>
          <t>KARLSBORG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9337-2025</t>
        </is>
      </c>
      <c r="B214" s="1" t="n">
        <v>45714</v>
      </c>
      <c r="C214" s="1" t="n">
        <v>46109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57913-2024</t>
        </is>
      </c>
      <c r="B215" s="1" t="n">
        <v>45631.49569444444</v>
      </c>
      <c r="C215" s="1" t="n">
        <v>46109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14738-2025</t>
        </is>
      </c>
      <c r="B216" s="1" t="n">
        <v>45742.64620370371</v>
      </c>
      <c r="C216" s="1" t="n">
        <v>46109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23500-2023</t>
        </is>
      </c>
      <c r="B217" s="1" t="n">
        <v>45076</v>
      </c>
      <c r="C217" s="1" t="n">
        <v>46109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41937-2024</t>
        </is>
      </c>
      <c r="B218" s="1" t="n">
        <v>45561.57283564815</v>
      </c>
      <c r="C218" s="1" t="n">
        <v>46109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54444-2023</t>
        </is>
      </c>
      <c r="B219" s="1" t="n">
        <v>45233.4384375</v>
      </c>
      <c r="C219" s="1" t="n">
        <v>46109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50985-2023</t>
        </is>
      </c>
      <c r="B220" s="1" t="n">
        <v>45218.53603009259</v>
      </c>
      <c r="C220" s="1" t="n">
        <v>46109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52381-2024</t>
        </is>
      </c>
      <c r="B221" s="1" t="n">
        <v>45609.41010416667</v>
      </c>
      <c r="C221" s="1" t="n">
        <v>46109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HYPERLINK("https://klasma.github.io/Logging_1446/knärot/A 52381-2024 karta knärot.png", "A 52381-2024")</f>
        <v/>
      </c>
      <c r="V221">
        <f>HYPERLINK("https://klasma.github.io/Logging_1446/klagomål/A 52381-2024 FSC-klagomål.docx", "A 52381-2024")</f>
        <v/>
      </c>
      <c r="W221">
        <f>HYPERLINK("https://klasma.github.io/Logging_1446/klagomålsmail/A 52381-2024 FSC-klagomål mail.docx", "A 52381-2024")</f>
        <v/>
      </c>
      <c r="X221">
        <f>HYPERLINK("https://klasma.github.io/Logging_1446/tillsyn/A 52381-2024 tillsynsbegäran.docx", "A 52381-2024")</f>
        <v/>
      </c>
      <c r="Y221">
        <f>HYPERLINK("https://klasma.github.io/Logging_1446/tillsynsmail/A 52381-2024 tillsynsbegäran mail.docx", "A 52381-2024")</f>
        <v/>
      </c>
    </row>
    <row r="222" ht="15" customHeight="1">
      <c r="A222" t="inlineStr">
        <is>
          <t>A 41689-2023</t>
        </is>
      </c>
      <c r="B222" s="1" t="n">
        <v>45176</v>
      </c>
      <c r="C222" s="1" t="n">
        <v>46109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46109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46109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46109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46109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46109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46109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46109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46109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46109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46109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46109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46109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46109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46109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46109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46109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46109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46109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46109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46109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46109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46109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46109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46109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46109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46109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46109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46109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46109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46109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46109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46109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46109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46109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46109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46109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46109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46109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46109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46109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46109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46109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46109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46109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46109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46109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46109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46109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46109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46109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46109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2026-03-28T11:43:20Z</dcterms:created>
  <dcterms:modified xmlns:dcterms="http://purl.org/dc/terms/" xmlns:xsi="http://www.w3.org/2001/XMLSchema-instance" xsi:type="dcterms:W3CDTF">2026-03-28T11:43:20Z</dcterms:modified>
</cp:coreProperties>
</file>