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46306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46306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45387</v>
      </c>
      <c r="E5" s="1" t="n">
        <v>46306</v>
      </c>
      <c r="F5" t="inlineStr">
        <is>
          <t>VÄSTRA GÖTALANDS LÄN</t>
        </is>
      </c>
      <c r="G5" t="inlineStr">
        <is>
          <t>KARLSBORG</t>
        </is>
      </c>
      <c r="H5" t="inlineStr">
        <is>
          <t>Övriga Aktiebolag</t>
        </is>
      </c>
      <c r="I5" t="n">
        <v>12.4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19</v>
      </c>
      <c r="U5" t="n">
        <v>19</v>
      </c>
      <c r="V5" s="2" t="inlineStr">
        <is>
          <t>Knärot
Grönpyrola
Spillkråka
Tjäder</t>
        </is>
      </c>
      <c r="W5">
        <f>HYPERLINK("https://klasma.github.io/Logging_1446/artfynd/A 13359-2024 artfynd.xlsx", "A 13359-2024")</f>
        <v/>
      </c>
      <c r="X5">
        <f>HYPERLINK("https://klasma.github.io/Logging_1446/kartor/A 13359-2024 karta.png", "A 13359-2024")</f>
        <v/>
      </c>
      <c r="Y5">
        <f>HYPERLINK("https://klasma.github.io/Logging_1446/kartor_geotiff/A 13359-2024 georefererad karta.tif", "A 13359-2024")</f>
        <v/>
      </c>
      <c r="Z5">
        <f>HYPERLINK("https://klasma.github.io/Logging_1446/knärot/A 13359-2024 karta knärot.png", "A 13359-2024")</f>
        <v/>
      </c>
      <c r="AA5">
        <f>HYPERLINK("https://klasma.github.io/Logging_1446/klagomål/A 13359-2024 FSC-klagomål.docx", "A 13359-2024")</f>
        <v/>
      </c>
      <c r="AB5">
        <f>HYPERLINK("https://klasma.github.io/Logging_1446/klagomålsmail/A 13359-2024 FSC-klagomål mail.docx", "A 13359-2024")</f>
        <v/>
      </c>
      <c r="AC5">
        <f>HYPERLINK("https://klasma.github.io/Logging_1446/tillsyn/A 13359-2024 tillsynsbegäran.docx", "A 13359-2024")</f>
        <v/>
      </c>
      <c r="AD5">
        <f>HYPERLINK("https://klasma.github.io/Logging_1446/tillsynsmail/A 13359-2024 tillsynsbegäran mail.docx", "A 13359-2024")</f>
        <v/>
      </c>
      <c r="AE5">
        <f>HYPERLINK("https://klasma.github.io/Logging_1446/fåglar/A 13359-2024 prioriterade fågelarter.docx", "A 13359-2024")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46306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46306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46306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19851-2025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45771</v>
      </c>
      <c r="E9" s="1" t="n">
        <v>46306</v>
      </c>
      <c r="F9" t="inlineStr">
        <is>
          <t>VÄSTRA GÖTALANDS LÄN</t>
        </is>
      </c>
      <c r="G9" t="inlineStr">
        <is>
          <t>KARLSBORG</t>
        </is>
      </c>
      <c r="H9" t="inlineStr">
        <is>
          <t>Sveaskog</t>
        </is>
      </c>
      <c r="I9" t="n">
        <v>4.9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6</v>
      </c>
      <c r="U9" t="n">
        <v>0</v>
      </c>
      <c r="V9" s="2" t="inlineStr">
        <is>
          <t>Knärot
Kungsfågel</t>
        </is>
      </c>
      <c r="W9">
        <f>HYPERLINK("https://klasma.github.io/Logging_1446/artfynd/A 19851-2025 artfynd.xlsx", "A 19851-2025")</f>
        <v/>
      </c>
      <c r="X9">
        <f>HYPERLINK("https://klasma.github.io/Logging_1446/kartor/A 19851-2025 karta.png", "A 19851-2025")</f>
        <v/>
      </c>
      <c r="Y9">
        <f>HYPERLINK("https://klasma.github.io/Logging_1446/kartor_geotiff/A 19851-2025 georefererad karta.tif", "A 19851-2025")</f>
        <v/>
      </c>
      <c r="Z9">
        <f>HYPERLINK("https://klasma.github.io/Logging_1446/knärot/A 19851-2025 karta knärot.png", "A 19851-2025")</f>
        <v/>
      </c>
      <c r="AA9">
        <f>HYPERLINK("https://klasma.github.io/Logging_1446/klagomål/A 19851-2025 FSC-klagomål.docx", "A 19851-2025")</f>
        <v/>
      </c>
      <c r="AB9">
        <f>HYPERLINK("https://klasma.github.io/Logging_1446/klagomålsmail/A 19851-2025 FSC-klagomål mail.docx", "A 19851-2025")</f>
        <v/>
      </c>
      <c r="AC9">
        <f>HYPERLINK("https://klasma.github.io/Logging_1446/tillsyn/A 19851-2025 tillsynsbegäran.docx", "A 19851-2025")</f>
        <v/>
      </c>
      <c r="AD9">
        <f>HYPERLINK("https://klasma.github.io/Logging_1446/tillsynsmail/A 19851-2025 tillsynsbegäran mail.docx", "A 19851-2025")</f>
        <v/>
      </c>
    </row>
    <row r="10" ht="15" customHeight="1">
      <c r="A10" t="inlineStr">
        <is>
          <t>A 13365-2024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45387</v>
      </c>
      <c r="E10" s="1" t="n">
        <v>46306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Övriga Aktiebolag</t>
        </is>
      </c>
      <c r="I10" t="n">
        <v>2.5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15</v>
      </c>
      <c r="U10" t="n">
        <v>15</v>
      </c>
      <c r="V10" s="2" t="inlineStr">
        <is>
          <t>Grönpyrola
Tjäder</t>
        </is>
      </c>
      <c r="W10">
        <f>HYPERLINK("https://klasma.github.io/Logging_1446/artfynd/A 13365-2024 artfynd.xlsx", "A 13365-2024")</f>
        <v/>
      </c>
      <c r="X10">
        <f>HYPERLINK("https://klasma.github.io/Logging_1446/kartor/A 13365-2024 karta.png", "A 13365-2024")</f>
        <v/>
      </c>
      <c r="Y10">
        <f>HYPERLINK("https://klasma.github.io/Logging_1446/kartor_geotiff/A 13365-2024 georefererad karta.tif", "A 13365-2024")</f>
        <v/>
      </c>
      <c r="AA10">
        <f>HYPERLINK("https://klasma.github.io/Logging_1446/klagomål/A 13365-2024 FSC-klagomål.docx", "A 13365-2024")</f>
        <v/>
      </c>
      <c r="AB10">
        <f>HYPERLINK("https://klasma.github.io/Logging_1446/klagomålsmail/A 13365-2024 FSC-klagomål mail.docx", "A 13365-2024")</f>
        <v/>
      </c>
      <c r="AC10">
        <f>HYPERLINK("https://klasma.github.io/Logging_1446/tillsyn/A 13365-2024 tillsynsbegäran.docx", "A 13365-2024")</f>
        <v/>
      </c>
      <c r="AD10">
        <f>HYPERLINK("https://klasma.github.io/Logging_1446/tillsynsmail/A 13365-2024 tillsynsbegäran mail.docx", "A 13365-2024")</f>
        <v/>
      </c>
      <c r="AE10">
        <f>HYPERLINK("https://klasma.github.io/Logging_1446/fåglar/A 13365-2024 prioriterade fågelarter.docx", "A 13365-2024")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46306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46306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46306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46306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42778-2024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46306</v>
      </c>
      <c r="F15" t="inlineStr">
        <is>
          <t>VÄSTRA GÖTALANDS LÄN</t>
        </is>
      </c>
      <c r="G15" t="inlineStr">
        <is>
          <t>KARLSBORG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Svinrot</t>
        </is>
      </c>
      <c r="W15">
        <f>HYPERLINK("https://klasma.github.io/Logging_1446/artfynd/A 42778-2024 artfynd.xlsx", "A 42778-2024")</f>
        <v/>
      </c>
      <c r="X15">
        <f>HYPERLINK("https://klasma.github.io/Logging_1446/kartor/A 42778-2024 karta.png", "A 42778-2024")</f>
        <v/>
      </c>
      <c r="Y15">
        <f>HYPERLINK("https://klasma.github.io/Logging_1446/kartor_geotiff/A 42778-2024 georefererad karta.tif", "A 42778-2024")</f>
        <v/>
      </c>
      <c r="AA15">
        <f>HYPERLINK("https://klasma.github.io/Logging_1446/klagomål/A 42778-2024 FSC-klagomål.docx", "A 42778-2024")</f>
        <v/>
      </c>
      <c r="AB15">
        <f>HYPERLINK("https://klasma.github.io/Logging_1446/klagomålsmail/A 42778-2024 FSC-klagomål mail.docx", "A 42778-2024")</f>
        <v/>
      </c>
      <c r="AC15">
        <f>HYPERLINK("https://klasma.github.io/Logging_1446/tillsyn/A 42778-2024 tillsynsbegäran.docx", "A 42778-2024")</f>
        <v/>
      </c>
      <c r="AD15">
        <f>HYPERLINK("https://klasma.github.io/Logging_1446/tillsynsmail/A 42778-2024 tillsynsbegäran mail.docx", "A 42778-2024")</f>
        <v/>
      </c>
    </row>
    <row r="16" ht="15" customHeight="1">
      <c r="A16" t="inlineStr">
        <is>
          <t>A 59712-2021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46306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Ask</t>
        </is>
      </c>
      <c r="W16">
        <f>HYPERLINK("https://klasma.github.io/Logging_1446/artfynd/A 59712-2021 artfynd.xlsx", "A 59712-2021")</f>
        <v/>
      </c>
      <c r="X16">
        <f>HYPERLINK("https://klasma.github.io/Logging_1446/kartor/A 59712-2021 karta.png", "A 59712-2021")</f>
        <v/>
      </c>
      <c r="Y16">
        <f>HYPERLINK("https://klasma.github.io/Logging_1446/kartor_geotiff/A 59712-2021 georefererad karta.tif", "A 59712-2021")</f>
        <v/>
      </c>
      <c r="AA16">
        <f>HYPERLINK("https://klasma.github.io/Logging_1446/klagomål/A 59712-2021 FSC-klagomål.docx", "A 59712-2021")</f>
        <v/>
      </c>
      <c r="AB16">
        <f>HYPERLINK("https://klasma.github.io/Logging_1446/klagomålsmail/A 59712-2021 FSC-klagomål mail.docx", "A 59712-2021")</f>
        <v/>
      </c>
      <c r="AC16">
        <f>HYPERLINK("https://klasma.github.io/Logging_1446/tillsyn/A 59712-2021 tillsynsbegäran.docx", "A 59712-2021")</f>
        <v/>
      </c>
      <c r="AD16">
        <f>HYPERLINK("https://klasma.github.io/Logging_1446/tillsynsmail/A 59712-2021 tillsynsbegäran mail.docx", "A 59712-2021")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46306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9337-2025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45714</v>
      </c>
      <c r="E18" s="1" t="n">
        <v>46306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HYPERLINK("https://klasma.github.io/Logging_1446/artfynd/A 9337-2025 artfynd.xlsx", "A 9337-2025")</f>
        <v/>
      </c>
      <c r="X18">
        <f>HYPERLINK("https://klasma.github.io/Logging_1446/kartor/A 9337-2025 karta.png", "A 9337-2025")</f>
        <v/>
      </c>
      <c r="Y18">
        <f>HYPERLINK("https://klasma.github.io/Logging_1446/kartor_geotiff/A 9337-2025 georefererad karta.tif", "A 9337-2025")</f>
        <v/>
      </c>
      <c r="AA18">
        <f>HYPERLINK("https://klasma.github.io/Logging_1446/klagomål/A 9337-2025 FSC-klagomål.docx", "A 9337-2025")</f>
        <v/>
      </c>
      <c r="AB18">
        <f>HYPERLINK("https://klasma.github.io/Logging_1446/klagomålsmail/A 9337-2025 FSC-klagomål mail.docx", "A 9337-2025")</f>
        <v/>
      </c>
      <c r="AC18">
        <f>HYPERLINK("https://klasma.github.io/Logging_1446/tillsyn/A 9337-2025 tillsynsbegäran.docx", "A 9337-2025")</f>
        <v/>
      </c>
      <c r="AD18">
        <f>HYPERLINK("https://klasma.github.io/Logging_1446/tillsynsmail/A 9337-2025 tillsynsbegäran mail.docx", "A 9337-2025")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46306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51531-2023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46306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Kommuner</t>
        </is>
      </c>
      <c r="I20" t="n">
        <v>11.2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Revlummer</t>
        </is>
      </c>
      <c r="W20">
        <f>HYPERLINK("https://klasma.github.io/Logging_1446/artfynd/A 51531-2023 artfynd.xlsx", "A 51531-2023")</f>
        <v/>
      </c>
      <c r="X20">
        <f>HYPERLINK("https://klasma.github.io/Logging_1446/kartor/A 51531-2023 karta.png", "A 51531-2023")</f>
        <v/>
      </c>
      <c r="Y20">
        <f>HYPERLINK("https://klasma.github.io/Logging_1446/kartor_geotiff/A 51531-2023 georefererad karta.tif", "A 51531-2023")</f>
        <v/>
      </c>
      <c r="AA20">
        <f>HYPERLINK("https://klasma.github.io/Logging_1446/klagomål/A 51531-2023 FSC-klagomål.docx", "A 51531-2023")</f>
        <v/>
      </c>
      <c r="AB20">
        <f>HYPERLINK("https://klasma.github.io/Logging_1446/klagomålsmail/A 51531-2023 FSC-klagomål mail.docx", "A 51531-2023")</f>
        <v/>
      </c>
      <c r="AC20">
        <f>HYPERLINK("https://klasma.github.io/Logging_1446/tillsyn/A 51531-2023 tillsynsbegäran.docx", "A 51531-2023")</f>
        <v/>
      </c>
      <c r="AD20">
        <f>HYPERLINK("https://klasma.github.io/Logging_1446/tillsynsmail/A 51531-2023 tillsynsbegäran mail.docx", "A 51531-2023")</f>
        <v/>
      </c>
    </row>
    <row r="21" ht="15" customHeight="1">
      <c r="A21" t="inlineStr">
        <is>
          <t>A 38103-2023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46306</v>
      </c>
      <c r="F21" t="inlineStr">
        <is>
          <t>VÄSTRA GÖTALANDS LÄN</t>
        </is>
      </c>
      <c r="G21" t="inlineStr">
        <is>
          <t>KARLSBORG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Lopplummer (aggregat)</t>
        </is>
      </c>
      <c r="W21">
        <f>HYPERLINK("https://klasma.github.io/Logging_1446/artfynd/A 38103-2023 artfynd.xlsx", "A 38103-2023")</f>
        <v/>
      </c>
      <c r="X21">
        <f>HYPERLINK("https://klasma.github.io/Logging_1446/kartor/A 38103-2023 karta.png", "A 38103-2023")</f>
        <v/>
      </c>
      <c r="Y21">
        <f>HYPERLINK("https://klasma.github.io/Logging_1446/kartor_geotiff/A 38103-2023 georefererad karta.tif", "A 38103-2023")</f>
        <v/>
      </c>
      <c r="AA21">
        <f>HYPERLINK("https://klasma.github.io/Logging_1446/klagomål/A 38103-2023 FSC-klagomål.docx", "A 38103-2023")</f>
        <v/>
      </c>
      <c r="AB21">
        <f>HYPERLINK("https://klasma.github.io/Logging_1446/klagomålsmail/A 38103-2023 FSC-klagomål mail.docx", "A 38103-2023")</f>
        <v/>
      </c>
      <c r="AC21">
        <f>HYPERLINK("https://klasma.github.io/Logging_1446/tillsyn/A 38103-2023 tillsynsbegäran.docx", "A 38103-2023")</f>
        <v/>
      </c>
      <c r="AD21">
        <f>HYPERLINK("https://klasma.github.io/Logging_1446/tillsynsmail/A 38103-2023 tillsynsbegäran mail.docx", "A 38103-2023")</f>
        <v/>
      </c>
    </row>
    <row r="22" ht="15" customHeight="1">
      <c r="A22" t="inlineStr">
        <is>
          <t>A 53909-2023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45231</v>
      </c>
      <c r="E22" s="1" t="n">
        <v>46306</v>
      </c>
      <c r="F22" t="inlineStr">
        <is>
          <t>VÄSTRA GÖTALANDS LÄN</t>
        </is>
      </c>
      <c r="G22" t="inlineStr">
        <is>
          <t>KARLSBORG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HYPERLINK("https://klasma.github.io/Logging_1446/artfynd/A 53909-2023 artfynd.xlsx", "A 53909-2023")</f>
        <v/>
      </c>
      <c r="X22">
        <f>HYPERLINK("https://klasma.github.io/Logging_1446/kartor/A 53909-2023 karta.png", "A 53909-2023")</f>
        <v/>
      </c>
      <c r="Y22">
        <f>HYPERLINK("https://klasma.github.io/Logging_1446/kartor_geotiff/A 53909-2023 georefererad karta.tif", "A 53909-2023")</f>
        <v/>
      </c>
      <c r="AA22">
        <f>HYPERLINK("https://klasma.github.io/Logging_1446/klagomål/A 53909-2023 FSC-klagomål.docx", "A 53909-2023")</f>
        <v/>
      </c>
      <c r="AB22">
        <f>HYPERLINK("https://klasma.github.io/Logging_1446/klagomålsmail/A 53909-2023 FSC-klagomål mail.docx", "A 53909-2023")</f>
        <v/>
      </c>
      <c r="AC22">
        <f>HYPERLINK("https://klasma.github.io/Logging_1446/tillsyn/A 53909-2023 tillsynsbegäran.docx", "A 53909-2023")</f>
        <v/>
      </c>
      <c r="AD22">
        <f>HYPERLINK("https://klasma.github.io/Logging_1446/tillsynsmail/A 53909-2023 tillsynsbegäran mail.docx", "A 53909-2023")</f>
        <v/>
      </c>
    </row>
    <row r="23" ht="15" customHeight="1">
      <c r="A23" t="inlineStr">
        <is>
          <t>A 23973-2023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45075</v>
      </c>
      <c r="E23" s="1" t="n">
        <v>46306</v>
      </c>
      <c r="F23" t="inlineStr">
        <is>
          <t>VÄSTRA GÖTALANDS LÄN</t>
        </is>
      </c>
      <c r="G23" t="inlineStr">
        <is>
          <t>KARLSBORG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Orre</t>
        </is>
      </c>
      <c r="W23">
        <f>HYPERLINK("https://klasma.github.io/Logging_1446/artfynd/A 23973-2023 artfynd.xlsx", "A 23973-2023")</f>
        <v/>
      </c>
      <c r="X23">
        <f>HYPERLINK("https://klasma.github.io/Logging_1446/kartor/A 23973-2023 karta.png", "A 23973-2023")</f>
        <v/>
      </c>
      <c r="Y23">
        <f>HYPERLINK("https://klasma.github.io/Logging_1446/kartor_geotiff/A 23973-2023 georefererad karta.tif", "A 23973-2023")</f>
        <v/>
      </c>
      <c r="AA23">
        <f>HYPERLINK("https://klasma.github.io/Logging_1446/klagomål/A 23973-2023 FSC-klagomål.docx", "A 23973-2023")</f>
        <v/>
      </c>
      <c r="AB23">
        <f>HYPERLINK("https://klasma.github.io/Logging_1446/klagomålsmail/A 23973-2023 FSC-klagomål mail.docx", "A 23973-2023")</f>
        <v/>
      </c>
      <c r="AC23">
        <f>HYPERLINK("https://klasma.github.io/Logging_1446/tillsyn/A 23973-2023 tillsynsbegäran.docx", "A 23973-2023")</f>
        <v/>
      </c>
      <c r="AD23">
        <f>HYPERLINK("https://klasma.github.io/Logging_1446/tillsynsmail/A 23973-2023 tillsynsbegäran mail.docx", "A 23973-2023")</f>
        <v/>
      </c>
      <c r="AE23">
        <f>HYPERLINK("https://klasma.github.io/Logging_1446/fåglar/A 23973-2023 prioriterade fågelarter.docx", "A 23973-2023")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46306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46306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46306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HYPERLINK("https://klasma.github.io/Logging_1446/artfynd/A 8984-2025 artfynd.xlsx", "A 8984-2025")</f>
        <v/>
      </c>
      <c r="X26">
        <f>HYPERLINK("https://klasma.github.io/Logging_1446/kartor/A 8984-2025 karta.png", "A 8984-2025")</f>
        <v/>
      </c>
      <c r="Y26">
        <f>HYPERLINK("https://klasma.github.io/Logging_1446/kartor_geotiff/A 8984-2025 georefererad karta.tif", "A 8984-2025")</f>
        <v/>
      </c>
      <c r="AA26">
        <f>HYPERLINK("https://klasma.github.io/Logging_1446/klagomål/A 8984-2025 FSC-klagomål.docx", "A 8984-2025")</f>
        <v/>
      </c>
      <c r="AB26">
        <f>HYPERLINK("https://klasma.github.io/Logging_1446/klagomålsmail/A 8984-2025 FSC-klagomål mail.docx", "A 8984-2025")</f>
        <v/>
      </c>
      <c r="AC26">
        <f>HYPERLINK("https://klasma.github.io/Logging_1446/tillsyn/A 8984-2025 tillsynsbegäran.docx", "A 8984-2025")</f>
        <v/>
      </c>
      <c r="AD26">
        <f>HYPERLINK("https://klasma.github.io/Logging_1446/tillsynsmail/A 8984-2025 tillsynsbegäran mail.docx", "A 8984-2025")</f>
        <v/>
      </c>
      <c r="AE26">
        <f>HYPERLINK("https://klasma.github.io/Logging_1446/fåglar/A 8984-2025 prioriterade fågelarter.docx", "A 8984-2025")</f>
        <v/>
      </c>
    </row>
    <row r="27" ht="15" customHeight="1">
      <c r="A27" t="inlineStr">
        <is>
          <t>A 4448-2026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46306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Övriga Aktiebolag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HYPERLINK("https://klasma.github.io/Logging_1446/artfynd/A 4448-2026 artfynd.xlsx", "A 4448-2026")</f>
        <v/>
      </c>
      <c r="X27">
        <f>HYPERLINK("https://klasma.github.io/Logging_1446/kartor/A 4448-2026 karta.png", "A 4448-2026")</f>
        <v/>
      </c>
      <c r="Y27">
        <f>HYPERLINK("https://klasma.github.io/Logging_1446/kartor_geotiff/A 4448-2026 georefererad karta.tif", "A 4448-2026")</f>
        <v/>
      </c>
      <c r="AA27">
        <f>HYPERLINK("https://klasma.github.io/Logging_1446/klagomål/A 4448-2026 FSC-klagomål.docx", "A 4448-2026")</f>
        <v/>
      </c>
      <c r="AB27">
        <f>HYPERLINK("https://klasma.github.io/Logging_1446/klagomålsmail/A 4448-2026 FSC-klagomål mail.docx", "A 4448-2026")</f>
        <v/>
      </c>
      <c r="AC27">
        <f>HYPERLINK("https://klasma.github.io/Logging_1446/tillsyn/A 4448-2026 tillsynsbegäran.docx", "A 4448-2026")</f>
        <v/>
      </c>
      <c r="AD27">
        <f>HYPERLINK("https://klasma.github.io/Logging_1446/tillsynsmail/A 4448-2026 tillsynsbegäran mail.docx", "A 4448-2026")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46306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46306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46306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46306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46306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46306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46306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34676-2022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44795</v>
      </c>
      <c r="E35" s="1" t="n">
        <v>46306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46306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59883-2021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46306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statliga verk och myndigheter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46306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46306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44599</v>
      </c>
      <c r="E40" s="1" t="n">
        <v>46306</v>
      </c>
      <c r="F40" t="inlineStr">
        <is>
          <t>VÄSTRA GÖTALANDS LÄN</t>
        </is>
      </c>
      <c r="G40" t="inlineStr">
        <is>
          <t>KARLSBORG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46306</v>
      </c>
      <c r="F41" t="inlineStr">
        <is>
          <t>VÄSTRA GÖTALANDS LÄN</t>
        </is>
      </c>
      <c r="G41" t="inlineStr">
        <is>
          <t>KARLSBORG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45090</v>
      </c>
      <c r="E42" s="1" t="n">
        <v>46306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15220-2023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46306</v>
      </c>
      <c r="F43" t="inlineStr">
        <is>
          <t>VÄSTRA GÖTALANDS LÄN</t>
        </is>
      </c>
      <c r="G43" t="inlineStr">
        <is>
          <t>KARLSBORG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44944</v>
      </c>
      <c r="E44" s="1" t="n">
        <v>46306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44944</v>
      </c>
      <c r="E45" s="1" t="n">
        <v>46306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Aktiebolag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46306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46306</v>
      </c>
      <c r="F47" t="inlineStr">
        <is>
          <t>VÄSTRA GÖTALANDS LÄN</t>
        </is>
      </c>
      <c r="G47" t="inlineStr">
        <is>
          <t>KARLSBORG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46306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46306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14525-2024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46306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46306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24008-2023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46306</v>
      </c>
      <c r="F52" t="inlineStr">
        <is>
          <t>VÄSTRA GÖTALANDS LÄN</t>
        </is>
      </c>
      <c r="G52" t="inlineStr">
        <is>
          <t>KARLSBORG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46306</v>
      </c>
      <c r="F53" t="inlineStr">
        <is>
          <t>VÄSTRA GÖTALANDS LÄN</t>
        </is>
      </c>
      <c r="G53" t="inlineStr">
        <is>
          <t>KARLSBORG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45090</v>
      </c>
      <c r="E54" s="1" t="n">
        <v>46306</v>
      </c>
      <c r="F54" t="inlineStr">
        <is>
          <t>VÄSTRA GÖTALANDS LÄN</t>
        </is>
      </c>
      <c r="G54" t="inlineStr">
        <is>
          <t>KARLSBORG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45231</v>
      </c>
      <c r="E55" s="1" t="n">
        <v>46306</v>
      </c>
      <c r="F55" t="inlineStr">
        <is>
          <t>VÄSTRA GÖTALANDS LÄN</t>
        </is>
      </c>
      <c r="G55" t="inlineStr">
        <is>
          <t>KARLSBORG</t>
        </is>
      </c>
      <c r="I55" t="n">
        <v>9.5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44944</v>
      </c>
      <c r="E56" s="1" t="n">
        <v>46306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Övriga Aktiebolag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8053-2023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46306</v>
      </c>
      <c r="F57" t="inlineStr">
        <is>
          <t>VÄSTRA GÖTALANDS LÄN</t>
        </is>
      </c>
      <c r="G57" t="inlineStr">
        <is>
          <t>KARLSBORG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45209</v>
      </c>
      <c r="E58" s="1" t="n">
        <v>46306</v>
      </c>
      <c r="F58" t="inlineStr">
        <is>
          <t>VÄSTRA GÖTALANDS LÄN</t>
        </is>
      </c>
      <c r="G58" t="inlineStr">
        <is>
          <t>KARLSBORG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46306</v>
      </c>
      <c r="F59" t="inlineStr">
        <is>
          <t>VÄSTRA GÖTALANDS LÄN</t>
        </is>
      </c>
      <c r="G59" t="inlineStr">
        <is>
          <t>KARLSBORG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46306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46306</v>
      </c>
      <c r="F61" t="inlineStr">
        <is>
          <t>VÄSTRA GÖTALANDS LÄN</t>
        </is>
      </c>
      <c r="G61" t="inlineStr">
        <is>
          <t>KARLSBORG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56495-2023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46306</v>
      </c>
      <c r="F62" t="inlineStr">
        <is>
          <t>VÄSTRA GÖTALANDS LÄN</t>
        </is>
      </c>
      <c r="G62" t="inlineStr">
        <is>
          <t>KARLSBORG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46306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46306</v>
      </c>
      <c r="F64" t="inlineStr">
        <is>
          <t>VÄSTRA GÖTALANDS LÄN</t>
        </is>
      </c>
      <c r="G64" t="inlineStr">
        <is>
          <t>KARLSBORG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46306</v>
      </c>
      <c r="F65" t="inlineStr">
        <is>
          <t>VÄSTRA GÖTALANDS LÄN</t>
        </is>
      </c>
      <c r="G65" t="inlineStr">
        <is>
          <t>KARLSBORG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29357-2024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45483</v>
      </c>
      <c r="E66" s="1" t="n">
        <v>46306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45160</v>
      </c>
      <c r="E67" s="1" t="n">
        <v>46306</v>
      </c>
      <c r="F67" t="inlineStr">
        <is>
          <t>VÄSTRA GÖTALANDS LÄN</t>
        </is>
      </c>
      <c r="G67" t="inlineStr">
        <is>
          <t>KARLSBORG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46306</v>
      </c>
      <c r="F68" t="inlineStr">
        <is>
          <t>VÄSTRA GÖTALANDS LÄN</t>
        </is>
      </c>
      <c r="G68" t="inlineStr">
        <is>
          <t>KARLSBORG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46306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46306</v>
      </c>
      <c r="F70" t="inlineStr">
        <is>
          <t>VÄSTRA GÖTALANDS LÄN</t>
        </is>
      </c>
      <c r="G70" t="inlineStr">
        <is>
          <t>KARLSBORG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46306</v>
      </c>
      <c r="F71" t="inlineStr">
        <is>
          <t>VÄSTRA GÖTALANDS LÄN</t>
        </is>
      </c>
      <c r="G71" t="inlineStr">
        <is>
          <t>KARLSBORG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46306</v>
      </c>
      <c r="F72" t="inlineStr">
        <is>
          <t>VÄSTRA GÖTALANDS LÄN</t>
        </is>
      </c>
      <c r="G72" t="inlineStr">
        <is>
          <t>KARLSBORG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46306</v>
      </c>
      <c r="F73" t="inlineStr">
        <is>
          <t>VÄSTRA GÖTALANDS LÄN</t>
        </is>
      </c>
      <c r="G73" t="inlineStr">
        <is>
          <t>KARLSBORG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46306</v>
      </c>
      <c r="F74" t="inlineStr">
        <is>
          <t>VÄSTRA GÖTALANDS LÄN</t>
        </is>
      </c>
      <c r="G74" t="inlineStr">
        <is>
          <t>KARLSBORG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45899</v>
      </c>
      <c r="E75" s="1" t="n">
        <v>46306</v>
      </c>
      <c r="F75" t="inlineStr">
        <is>
          <t>VÄSTRA GÖTALANDS LÄN</t>
        </is>
      </c>
      <c r="G75" t="inlineStr">
        <is>
          <t>KARLSBORG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45561</v>
      </c>
      <c r="E76" s="1" t="n">
        <v>46306</v>
      </c>
      <c r="F76" t="inlineStr">
        <is>
          <t>VÄSTRA GÖTALANDS LÄN</t>
        </is>
      </c>
      <c r="G76" t="inlineStr">
        <is>
          <t>KARLSBORG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45707</v>
      </c>
      <c r="E77" s="1" t="n">
        <v>46306</v>
      </c>
      <c r="F77" t="inlineStr">
        <is>
          <t>VÄSTRA GÖTALANDS LÄN</t>
        </is>
      </c>
      <c r="G77" t="inlineStr">
        <is>
          <t>KARLSBORG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46306</v>
      </c>
      <c r="F78" t="inlineStr">
        <is>
          <t>VÄSTRA GÖTALANDS LÄN</t>
        </is>
      </c>
      <c r="G78" t="inlineStr">
        <is>
          <t>KARLSBORG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58129-2024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45632</v>
      </c>
      <c r="E79" s="1" t="n">
        <v>46306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46306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46306</v>
      </c>
      <c r="F81" t="inlineStr">
        <is>
          <t>VÄSTRA GÖTALANDS LÄN</t>
        </is>
      </c>
      <c r="G81" t="inlineStr">
        <is>
          <t>KARLSBORG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46306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45524</v>
      </c>
      <c r="E83" s="1" t="n">
        <v>46306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46306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Aktiebolag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57915-2024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45631</v>
      </c>
      <c r="E85" s="1" t="n">
        <v>46306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Sveaskog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46306</v>
      </c>
      <c r="F86" t="inlineStr">
        <is>
          <t>VÄSTRA GÖTALANDS LÄN</t>
        </is>
      </c>
      <c r="G86" t="inlineStr">
        <is>
          <t>KARLSBORG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46306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statliga verk och myndigheter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46306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statliga verk och myndigheter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44366-2025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46306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45719</v>
      </c>
      <c r="E90" s="1" t="n">
        <v>46306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46306</v>
      </c>
      <c r="F91" t="inlineStr">
        <is>
          <t>VÄSTRA GÖTALANDS LÄN</t>
        </is>
      </c>
      <c r="G91" t="inlineStr">
        <is>
          <t>KARLSBORG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46306</v>
      </c>
      <c r="F92" t="inlineStr">
        <is>
          <t>VÄSTRA GÖTALANDS LÄN</t>
        </is>
      </c>
      <c r="G92" t="inlineStr">
        <is>
          <t>KARLSBORG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22435-2025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45786</v>
      </c>
      <c r="E93" s="1" t="n">
        <v>46306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46306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46306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46306</v>
      </c>
      <c r="F96" t="inlineStr">
        <is>
          <t>VÄSTRA GÖTALANDS LÄN</t>
        </is>
      </c>
      <c r="G96" t="inlineStr">
        <is>
          <t>KARLSBORG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45789</v>
      </c>
      <c r="E97" s="1" t="n">
        <v>46306</v>
      </c>
      <c r="F97" t="inlineStr">
        <is>
          <t>VÄSTRA GÖTALANDS LÄN</t>
        </is>
      </c>
      <c r="G97" t="inlineStr">
        <is>
          <t>KARLSBORG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46306</v>
      </c>
      <c r="F98" t="inlineStr">
        <is>
          <t>VÄSTRA GÖTALANDS LÄN</t>
        </is>
      </c>
      <c r="G98" t="inlineStr">
        <is>
          <t>KARLSBORG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46306</v>
      </c>
      <c r="F99" t="inlineStr">
        <is>
          <t>VÄSTRA GÖTALANDS LÄN</t>
        </is>
      </c>
      <c r="G99" t="inlineStr">
        <is>
          <t>KARLSBORG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46306</v>
      </c>
      <c r="F100" t="inlineStr">
        <is>
          <t>VÄSTRA GÖTALANDS LÄN</t>
        </is>
      </c>
      <c r="G100" t="inlineStr">
        <is>
          <t>KARLSBORG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46306</v>
      </c>
      <c r="F101" t="inlineStr">
        <is>
          <t>VÄSTRA GÖTALANDS LÄN</t>
        </is>
      </c>
      <c r="G101" t="inlineStr">
        <is>
          <t>KARLSBORG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69341-2021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46306</v>
      </c>
      <c r="F102" t="inlineStr">
        <is>
          <t>VÄSTRA GÖTALANDS LÄN</t>
        </is>
      </c>
      <c r="G102" t="inlineStr">
        <is>
          <t>KARLSBORG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46306</v>
      </c>
      <c r="F103" t="inlineStr">
        <is>
          <t>VÄSTRA GÖTALANDS LÄN</t>
        </is>
      </c>
      <c r="G103" t="inlineStr">
        <is>
          <t>KARLSBORG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46306</v>
      </c>
      <c r="F104" t="inlineStr">
        <is>
          <t>VÄSTRA GÖTALANDS LÄN</t>
        </is>
      </c>
      <c r="G104" t="inlineStr">
        <is>
          <t>KARLSBORG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46306</v>
      </c>
      <c r="F105" t="inlineStr">
        <is>
          <t>VÄSTRA GÖTALANDS LÄN</t>
        </is>
      </c>
      <c r="G105" t="inlineStr">
        <is>
          <t>KARLSBORG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46306</v>
      </c>
      <c r="F106" t="inlineStr">
        <is>
          <t>VÄSTRA GÖTALANDS LÄN</t>
        </is>
      </c>
      <c r="G106" t="inlineStr">
        <is>
          <t>KARLSBORG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46306</v>
      </c>
      <c r="F107" t="inlineStr">
        <is>
          <t>VÄSTRA GÖTALANDS LÄN</t>
        </is>
      </c>
      <c r="G107" t="inlineStr">
        <is>
          <t>KARLSBORG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46306</v>
      </c>
      <c r="F108" t="inlineStr">
        <is>
          <t>VÄSTRA GÖTALANDS LÄN</t>
        </is>
      </c>
      <c r="G108" t="inlineStr">
        <is>
          <t>KARLSBORG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45630</v>
      </c>
      <c r="E109" s="1" t="n">
        <v>46306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57913-2024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45631</v>
      </c>
      <c r="E110" s="1" t="n">
        <v>46306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Sveaskog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45742</v>
      </c>
      <c r="E111" s="1" t="n">
        <v>46306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46306</v>
      </c>
      <c r="F112" t="inlineStr">
        <is>
          <t>VÄSTRA GÖTALANDS LÄN</t>
        </is>
      </c>
      <c r="G112" t="inlineStr">
        <is>
          <t>KARLSBORG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44906</v>
      </c>
      <c r="E113" s="1" t="n">
        <v>46306</v>
      </c>
      <c r="F113" t="inlineStr">
        <is>
          <t>VÄSTRA GÖTALANDS LÄN</t>
        </is>
      </c>
      <c r="G113" t="inlineStr">
        <is>
          <t>KARLSBORG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23500-2023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45076</v>
      </c>
      <c r="E114" s="1" t="n">
        <v>46306</v>
      </c>
      <c r="F114" t="inlineStr">
        <is>
          <t>VÄSTRA GÖTALANDS LÄN</t>
        </is>
      </c>
      <c r="G114" t="inlineStr">
        <is>
          <t>KARLSBORG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46306</v>
      </c>
      <c r="F115" t="inlineStr">
        <is>
          <t>VÄSTRA GÖTALANDS LÄN</t>
        </is>
      </c>
      <c r="G115" t="inlineStr">
        <is>
          <t>KARLSBORG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46306</v>
      </c>
      <c r="F116" t="inlineStr">
        <is>
          <t>VÄSTRA GÖTALANDS LÄN</t>
        </is>
      </c>
      <c r="G116" t="inlineStr">
        <is>
          <t>KARLSBORG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46306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46306</v>
      </c>
      <c r="F118" t="inlineStr">
        <is>
          <t>VÄSTRA GÖTALANDS LÄN</t>
        </is>
      </c>
      <c r="G118" t="inlineStr">
        <is>
          <t>KARLSBORG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46306</v>
      </c>
      <c r="F119" t="inlineStr">
        <is>
          <t>VÄSTRA GÖTALANDS LÄN</t>
        </is>
      </c>
      <c r="G119" t="inlineStr">
        <is>
          <t>KARLSBORG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45233</v>
      </c>
      <c r="E120" s="1" t="n">
        <v>46306</v>
      </c>
      <c r="F120" t="inlineStr">
        <is>
          <t>VÄSTRA GÖTALANDS LÄN</t>
        </is>
      </c>
      <c r="G120" t="inlineStr">
        <is>
          <t>KARLSBORG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46306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46306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46306</v>
      </c>
      <c r="F123" t="inlineStr">
        <is>
          <t>VÄSTRA GÖTALANDS LÄN</t>
        </is>
      </c>
      <c r="G123" t="inlineStr">
        <is>
          <t>KARLSBORG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49866-2025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45940</v>
      </c>
      <c r="E124" s="1" t="n">
        <v>46306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45942</v>
      </c>
      <c r="E125" s="1" t="n">
        <v>46306</v>
      </c>
      <c r="F125" t="inlineStr">
        <is>
          <t>VÄSTRA GÖTALANDS LÄN</t>
        </is>
      </c>
      <c r="G125" t="inlineStr">
        <is>
          <t>KARLSBORG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44929</v>
      </c>
      <c r="E126" s="1" t="n">
        <v>46306</v>
      </c>
      <c r="F126" t="inlineStr">
        <is>
          <t>VÄSTRA GÖTALANDS LÄN</t>
        </is>
      </c>
      <c r="G126" t="inlineStr">
        <is>
          <t>KARLSBORG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  <c r="X126">
        <f>HYPERLINK("https://klasma.github.io/Logging_1446/kartor/A 412-2023 karta.png", "A 412-2023")</f>
        <v/>
      </c>
      <c r="Y126">
        <f>HYPERLINK("https://klasma.github.io/Logging_1446/kartor_geotiff/A 412-2023 georefererad karta.tif", "A 412-2023")</f>
        <v/>
      </c>
      <c r="AA126">
        <f>HYPERLINK("https://klasma.github.io/Logging_1446/klagomål/A 412-2023 FSC-klagomål.docx", "A 412-2023")</f>
        <v/>
      </c>
      <c r="AB126">
        <f>HYPERLINK("https://klasma.github.io/Logging_1446/klagomålsmail/A 412-2023 FSC-klagomål mail.docx", "A 412-2023")</f>
        <v/>
      </c>
      <c r="AC126">
        <f>HYPERLINK("https://klasma.github.io/Logging_1446/tillsyn/A 412-2023 tillsynsbegäran.docx", "A 412-2023")</f>
        <v/>
      </c>
      <c r="AD126">
        <f>HYPERLINK("https://klasma.github.io/Logging_1446/tillsynsmail/A 412-2023 tillsynsbegäran mail.docx", "A 412-2023")</f>
        <v/>
      </c>
    </row>
    <row r="127" ht="15" customHeight="1">
      <c r="A127" t="inlineStr">
        <is>
          <t>A 10828-2024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45369</v>
      </c>
      <c r="E127" s="1" t="n">
        <v>46306</v>
      </c>
      <c r="F127" t="inlineStr">
        <is>
          <t>VÄSTRA GÖTALANDS LÄN</t>
        </is>
      </c>
      <c r="G127" t="inlineStr">
        <is>
          <t>KARLSBORG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46306</v>
      </c>
      <c r="F128" t="inlineStr">
        <is>
          <t>VÄSTRA GÖTALANDS LÄN</t>
        </is>
      </c>
      <c r="G128" t="inlineStr">
        <is>
          <t>KARLSBORG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46306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45834</v>
      </c>
      <c r="E130" s="1" t="n">
        <v>46306</v>
      </c>
      <c r="F130" t="inlineStr">
        <is>
          <t>VÄSTRA GÖTALANDS LÄN</t>
        </is>
      </c>
      <c r="G130" t="inlineStr">
        <is>
          <t>KARLSBORG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31701-2025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45834</v>
      </c>
      <c r="E131" s="1" t="n">
        <v>46306</v>
      </c>
      <c r="F131" t="inlineStr">
        <is>
          <t>VÄSTRA GÖTALANDS LÄN</t>
        </is>
      </c>
      <c r="G131" t="inlineStr">
        <is>
          <t>KARLSBORG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32128-2025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45835</v>
      </c>
      <c r="E132" s="1" t="n">
        <v>46306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45183</v>
      </c>
      <c r="E133" s="1" t="n">
        <v>46306</v>
      </c>
      <c r="F133" t="inlineStr">
        <is>
          <t>VÄSTRA GÖTALANDS LÄN</t>
        </is>
      </c>
      <c r="G133" t="inlineStr">
        <is>
          <t>KARLSBORG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45257</v>
      </c>
      <c r="E134" s="1" t="n">
        <v>46306</v>
      </c>
      <c r="F134" t="inlineStr">
        <is>
          <t>VÄSTRA GÖTALANDS LÄN</t>
        </is>
      </c>
      <c r="G134" t="inlineStr">
        <is>
          <t>KARLSBORG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46306</v>
      </c>
      <c r="F135" t="inlineStr">
        <is>
          <t>VÄSTRA GÖTALANDS LÄN</t>
        </is>
      </c>
      <c r="G135" t="inlineStr">
        <is>
          <t>KARLSBORG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46306</v>
      </c>
      <c r="F136" t="inlineStr">
        <is>
          <t>VÄSTRA GÖTALANDS LÄN</t>
        </is>
      </c>
      <c r="G136" t="inlineStr">
        <is>
          <t>KARLSBORG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46306</v>
      </c>
      <c r="F137" t="inlineStr">
        <is>
          <t>VÄSTRA GÖTALANDS LÄN</t>
        </is>
      </c>
      <c r="G137" t="inlineStr">
        <is>
          <t>KARLSBORG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46306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44755</v>
      </c>
      <c r="E139" s="1" t="n">
        <v>46306</v>
      </c>
      <c r="F139" t="inlineStr">
        <is>
          <t>VÄSTRA GÖTALANDS LÄN</t>
        </is>
      </c>
      <c r="G139" t="inlineStr">
        <is>
          <t>KARLSBORG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44727</v>
      </c>
      <c r="E140" s="1" t="n">
        <v>46306</v>
      </c>
      <c r="F140" t="inlineStr">
        <is>
          <t>VÄSTRA GÖTALANDS LÄN</t>
        </is>
      </c>
      <c r="G140" t="inlineStr">
        <is>
          <t>KARLSBORG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46306</v>
      </c>
      <c r="F141" t="inlineStr">
        <is>
          <t>VÄSTRA GÖTALANDS LÄN</t>
        </is>
      </c>
      <c r="G141" t="inlineStr">
        <is>
          <t>KARLSBORG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46306</v>
      </c>
      <c r="F142" t="inlineStr">
        <is>
          <t>VÄSTRA GÖTALANDS LÄN</t>
        </is>
      </c>
      <c r="G142" t="inlineStr">
        <is>
          <t>KARLSBORG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46306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46306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46306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35930-2025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46306</v>
      </c>
      <c r="F146" t="inlineStr">
        <is>
          <t>VÄSTRA GÖTALANDS LÄN</t>
        </is>
      </c>
      <c r="G146" t="inlineStr">
        <is>
          <t>KARLSBORG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45453</v>
      </c>
      <c r="E147" s="1" t="n">
        <v>46306</v>
      </c>
      <c r="F147" t="inlineStr">
        <is>
          <t>VÄSTRA GÖTALANDS LÄN</t>
        </is>
      </c>
      <c r="G147" t="inlineStr">
        <is>
          <t>KARLSBORG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45980</v>
      </c>
      <c r="E148" s="1" t="n">
        <v>46306</v>
      </c>
      <c r="F148" t="inlineStr">
        <is>
          <t>VÄSTRA GÖTALANDS LÄN</t>
        </is>
      </c>
      <c r="G148" t="inlineStr">
        <is>
          <t>KARLSBORG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46306</v>
      </c>
      <c r="F149" t="inlineStr">
        <is>
          <t>VÄSTRA GÖTALANDS LÄN</t>
        </is>
      </c>
      <c r="G149" t="inlineStr">
        <is>
          <t>KARLSBORG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45566</v>
      </c>
      <c r="E150" s="1" t="n">
        <v>46306</v>
      </c>
      <c r="F150" t="inlineStr">
        <is>
          <t>VÄSTRA GÖTALANDS LÄN</t>
        </is>
      </c>
      <c r="G150" t="inlineStr">
        <is>
          <t>KARLSBORG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46306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46306</v>
      </c>
      <c r="F152" t="inlineStr">
        <is>
          <t>VÄSTRA GÖTALANDS LÄN</t>
        </is>
      </c>
      <c r="G152" t="inlineStr">
        <is>
          <t>KARLSBORG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58573-2023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46306</v>
      </c>
      <c r="F153" t="inlineStr">
        <is>
          <t>VÄSTRA GÖTALANDS LÄN</t>
        </is>
      </c>
      <c r="G153" t="inlineStr">
        <is>
          <t>KARLSBORG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44906</v>
      </c>
      <c r="E154" s="1" t="n">
        <v>46306</v>
      </c>
      <c r="F154" t="inlineStr">
        <is>
          <t>VÄSTRA GÖTALANDS LÄN</t>
        </is>
      </c>
      <c r="G154" t="inlineStr">
        <is>
          <t>KARLSBORG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46306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45992</v>
      </c>
      <c r="E156" s="1" t="n">
        <v>46306</v>
      </c>
      <c r="F156" t="inlineStr">
        <is>
          <t>VÄSTRA GÖTALANDS LÄN</t>
        </is>
      </c>
      <c r="G156" t="inlineStr">
        <is>
          <t>KARLSBORG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46306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45566</v>
      </c>
      <c r="E158" s="1" t="n">
        <v>46306</v>
      </c>
      <c r="F158" t="inlineStr">
        <is>
          <t>VÄSTRA GÖTALANDS LÄN</t>
        </is>
      </c>
      <c r="G158" t="inlineStr">
        <is>
          <t>KARLSBORG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62304-2021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46306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44664</v>
      </c>
      <c r="E160" s="1" t="n">
        <v>46306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46306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15396-2024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45401</v>
      </c>
      <c r="E162" s="1" t="n">
        <v>46306</v>
      </c>
      <c r="F162" t="inlineStr">
        <is>
          <t>VÄSTRA GÖTALANDS LÄN</t>
        </is>
      </c>
      <c r="G162" t="inlineStr">
        <is>
          <t>KARLSBORG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45489</v>
      </c>
      <c r="E163" s="1" t="n">
        <v>46306</v>
      </c>
      <c r="F163" t="inlineStr">
        <is>
          <t>VÄSTRA GÖTALANDS LÄN</t>
        </is>
      </c>
      <c r="G163" t="inlineStr">
        <is>
          <t>KARLSBORG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46306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statliga verk och myndigheter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45436</v>
      </c>
      <c r="E165" s="1" t="n">
        <v>46306</v>
      </c>
      <c r="F165" t="inlineStr">
        <is>
          <t>VÄSTRA GÖTALANDS LÄN</t>
        </is>
      </c>
      <c r="G165" t="inlineStr">
        <is>
          <t>KARLSBORG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46306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46306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46306</v>
      </c>
      <c r="F168" t="inlineStr">
        <is>
          <t>VÄSTRA GÖTALANDS LÄN</t>
        </is>
      </c>
      <c r="G168" t="inlineStr">
        <is>
          <t>KARLSBORG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46306</v>
      </c>
      <c r="F169" t="inlineStr">
        <is>
          <t>VÄSTRA GÖTALANDS LÄN</t>
        </is>
      </c>
      <c r="G169" t="inlineStr">
        <is>
          <t>KARLSBORG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46306</v>
      </c>
      <c r="F170" t="inlineStr">
        <is>
          <t>VÄSTRA GÖTALANDS LÄN</t>
        </is>
      </c>
      <c r="G170" t="inlineStr">
        <is>
          <t>KARLSBORG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46306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46021</v>
      </c>
      <c r="E172" s="1" t="n">
        <v>46306</v>
      </c>
      <c r="F172" t="inlineStr">
        <is>
          <t>VÄSTRA GÖTALANDS LÄN</t>
        </is>
      </c>
      <c r="G172" t="inlineStr">
        <is>
          <t>KARLSBORG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46306</v>
      </c>
      <c r="F173" t="inlineStr">
        <is>
          <t>VÄSTRA GÖTALANDS LÄN</t>
        </is>
      </c>
      <c r="G173" t="inlineStr">
        <is>
          <t>KARLSBORG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64025-2025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46021</v>
      </c>
      <c r="E174" s="1" t="n">
        <v>46306</v>
      </c>
      <c r="F174" t="inlineStr">
        <is>
          <t>VÄSTRA GÖTALANDS LÄN</t>
        </is>
      </c>
      <c r="G174" t="inlineStr">
        <is>
          <t>KARLSBORG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44687</v>
      </c>
      <c r="E175" s="1" t="n">
        <v>46306</v>
      </c>
      <c r="F175" t="inlineStr">
        <is>
          <t>VÄSTRA GÖTALANDS LÄN</t>
        </is>
      </c>
      <c r="G175" t="inlineStr">
        <is>
          <t>KARLSBORG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44906</v>
      </c>
      <c r="E176" s="1" t="n">
        <v>46306</v>
      </c>
      <c r="F176" t="inlineStr">
        <is>
          <t>VÄSTRA GÖTALANDS LÄN</t>
        </is>
      </c>
      <c r="G176" t="inlineStr">
        <is>
          <t>KARLSBORG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46306</v>
      </c>
      <c r="F177" t="inlineStr">
        <is>
          <t>VÄSTRA GÖTALANDS LÄN</t>
        </is>
      </c>
      <c r="G177" t="inlineStr">
        <is>
          <t>KARLSBORG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46306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44809</v>
      </c>
      <c r="E179" s="1" t="n">
        <v>46306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44972</v>
      </c>
      <c r="E180" s="1" t="n">
        <v>46306</v>
      </c>
      <c r="F180" t="inlineStr">
        <is>
          <t>VÄSTRA GÖTALANDS LÄN</t>
        </is>
      </c>
      <c r="G180" t="inlineStr">
        <is>
          <t>KARLSBORG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46306</v>
      </c>
      <c r="F181" t="inlineStr">
        <is>
          <t>VÄSTRA GÖTALANDS LÄN</t>
        </is>
      </c>
      <c r="G181" t="inlineStr">
        <is>
          <t>KARLSBORG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46306</v>
      </c>
      <c r="F182" t="inlineStr">
        <is>
          <t>VÄSTRA GÖTALANDS LÄN</t>
        </is>
      </c>
      <c r="G182" t="inlineStr">
        <is>
          <t>KARLSBORG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46306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Aktiebolag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46306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14.3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46306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35441-2024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45531</v>
      </c>
      <c r="E186" s="1" t="n">
        <v>46306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34670-2022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44795</v>
      </c>
      <c r="E187" s="1" t="n">
        <v>46306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58127-2024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45632</v>
      </c>
      <c r="E188" s="1" t="n">
        <v>46306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46306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46306</v>
      </c>
      <c r="F190" t="inlineStr">
        <is>
          <t>VÄSTRA GÖTALANDS LÄN</t>
        </is>
      </c>
      <c r="G190" t="inlineStr">
        <is>
          <t>KARLSBORG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46306</v>
      </c>
      <c r="F191" t="inlineStr">
        <is>
          <t>VÄSTRA GÖTALANDS LÄN</t>
        </is>
      </c>
      <c r="G191" t="inlineStr">
        <is>
          <t>KARLSBORG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46306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statliga verk och myndigheter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46306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statliga verk och myndigheter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46306</v>
      </c>
      <c r="F194" t="inlineStr">
        <is>
          <t>VÄSTRA GÖTALANDS LÄN</t>
        </is>
      </c>
      <c r="G194" t="inlineStr">
        <is>
          <t>KARLSBORG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46306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statliga verk och myndigheter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46306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46143</v>
      </c>
      <c r="E197" s="1" t="n">
        <v>46306</v>
      </c>
      <c r="F197" t="inlineStr">
        <is>
          <t>VÄSTRA GÖTALANDS LÄN</t>
        </is>
      </c>
      <c r="G197" t="inlineStr">
        <is>
          <t>KARLSBORG</t>
        </is>
      </c>
      <c r="I197" t="n">
        <v>14.6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46306</v>
      </c>
      <c r="F198" t="inlineStr">
        <is>
          <t>VÄSTRA GÖTALANDS LÄN</t>
        </is>
      </c>
      <c r="G198" t="inlineStr">
        <is>
          <t>KARLSBORG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21988-2026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46153</v>
      </c>
      <c r="E199" s="1" t="n">
        <v>46306</v>
      </c>
      <c r="F199" t="inlineStr">
        <is>
          <t>VÄSTRA GÖTALANDS LÄN</t>
        </is>
      </c>
      <c r="G199" t="inlineStr">
        <is>
          <t>KARLSBORG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46079</v>
      </c>
      <c r="E200" s="1" t="n">
        <v>46306</v>
      </c>
      <c r="F200" t="inlineStr">
        <is>
          <t>VÄSTRA GÖTALANDS LÄN</t>
        </is>
      </c>
      <c r="G200" t="inlineStr">
        <is>
          <t>KARLSBORG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46306</v>
      </c>
      <c r="F201" t="inlineStr">
        <is>
          <t>VÄSTRA GÖTALANDS LÄN</t>
        </is>
      </c>
      <c r="G201" t="inlineStr">
        <is>
          <t>KARLSBORG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46306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46181</v>
      </c>
      <c r="E203" s="1" t="n">
        <v>46306</v>
      </c>
      <c r="F203" t="inlineStr">
        <is>
          <t>VÄSTRA GÖTALANDS LÄN</t>
        </is>
      </c>
      <c r="G203" t="inlineStr">
        <is>
          <t>KARLSBORG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46306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46306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46306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46306</v>
      </c>
      <c r="F207" t="inlineStr">
        <is>
          <t>VÄSTRA GÖTALANDS LÄN</t>
        </is>
      </c>
      <c r="G207" t="inlineStr">
        <is>
          <t>KARLSBORG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46306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46210</v>
      </c>
      <c r="E209" s="1" t="n">
        <v>46306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46210</v>
      </c>
      <c r="E210" s="1" t="n">
        <v>46306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46230</v>
      </c>
      <c r="E211" s="1" t="n">
        <v>46306</v>
      </c>
      <c r="F211" t="inlineStr">
        <is>
          <t>VÄSTRA GÖTALANDS LÄN</t>
        </is>
      </c>
      <c r="G211" t="inlineStr">
        <is>
          <t>KARLSBORG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46276</v>
      </c>
      <c r="E212" s="1" t="n">
        <v>46306</v>
      </c>
      <c r="F212" t="inlineStr">
        <is>
          <t>VÄSTRA GÖTALANDS LÄN</t>
        </is>
      </c>
      <c r="G212" t="inlineStr">
        <is>
          <t>KARLSBORG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46288</v>
      </c>
      <c r="E213" s="1" t="n">
        <v>46306</v>
      </c>
      <c r="F213" t="inlineStr">
        <is>
          <t>VÄSTRA GÖTALANDS LÄN</t>
        </is>
      </c>
      <c r="G213" t="inlineStr">
        <is>
          <t>KARLSBORG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46306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46300</v>
      </c>
      <c r="E215" s="1" t="n">
        <v>46306</v>
      </c>
      <c r="F215" t="inlineStr">
        <is>
          <t>VÄSTRA GÖTALANDS LÄN</t>
        </is>
      </c>
      <c r="G215" t="inlineStr">
        <is>
          <t>KARLSBORG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46300</v>
      </c>
      <c r="E216" s="1" t="n">
        <v>46306</v>
      </c>
      <c r="F216" t="inlineStr">
        <is>
          <t>VÄSTRA GÖTALANDS LÄN</t>
        </is>
      </c>
      <c r="G216" t="inlineStr">
        <is>
          <t>KARLSBORG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46306</v>
      </c>
      <c r="F217" t="inlineStr">
        <is>
          <t>VÄSTRA GÖTALANDS LÄN</t>
        </is>
      </c>
      <c r="G217" t="inlineStr">
        <is>
          <t>KARLSBORG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46306</v>
      </c>
      <c r="F218" t="inlineStr">
        <is>
          <t>VÄSTRA GÖTALANDS LÄN</t>
        </is>
      </c>
      <c r="G218" t="inlineStr">
        <is>
          <t>KARLSBORG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46306</v>
      </c>
      <c r="F219" t="inlineStr">
        <is>
          <t>VÄSTRA GÖTALANDS LÄN</t>
        </is>
      </c>
      <c r="G219" t="inlineStr">
        <is>
          <t>KARLSBORG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46302</v>
      </c>
      <c r="E220" s="1" t="n">
        <v>46306</v>
      </c>
      <c r="F220" t="inlineStr">
        <is>
          <t>VÄSTRA GÖTALANDS LÄN</t>
        </is>
      </c>
      <c r="G220" t="inlineStr">
        <is>
          <t>KARLSBORG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46306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46306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2026-10-11T02:07:15Z</dcterms:created>
  <dcterms:modified xmlns:dcterms="http://purl.org/dc/terms/" xmlns:xsi="http://www.w3.org/2001/XMLSchema-instance" xsi:type="dcterms:W3CDTF">2026-10-11T02:07:15Z</dcterms:modified>
</cp:coreProperties>
</file>