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46321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46321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46321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46321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46321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46321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46321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46321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46321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46321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46321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46321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29156-2026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46202</v>
      </c>
      <c r="E15" s="1" t="n">
        <v>46321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1.2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HYPERLINK("https://klasma.github.io/Logging_1446/artfynd/A 29156-2026 artfynd.xlsx", "A 29156-2026")</f>
        <v/>
      </c>
      <c r="X15">
        <f>HYPERLINK("https://klasma.github.io/Logging_1446/kartor/A 29156-2026 karta.png", "A 29156-2026")</f>
        <v/>
      </c>
      <c r="Y15">
        <f>HYPERLINK("https://klasma.github.io/Logging_1446/kartor_geotiff/A 29156-2026 georefererad karta.tif", "A 29156-2026")</f>
        <v/>
      </c>
      <c r="AA15">
        <f>HYPERLINK("https://klasma.github.io/Logging_1446/klagomål/A 29156-2026 FSC-klagomål.docx", "A 29156-2026")</f>
        <v/>
      </c>
      <c r="AB15">
        <f>HYPERLINK("https://klasma.github.io/Logging_1446/klagomålsmail/A 29156-2026 FSC-klagomål mail.docx", "A 29156-2026")</f>
        <v/>
      </c>
      <c r="AC15">
        <f>HYPERLINK("https://klasma.github.io/Logging_1446/tillsyn/A 29156-2026 tillsynsbegäran.docx", "A 29156-2026")</f>
        <v/>
      </c>
      <c r="AD15">
        <f>HYPERLINK("https://klasma.github.io/Logging_1446/tillsynsmail/A 29156-2026 tillsynsbegäran mail.docx", "A 29156-2026")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46321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46321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46321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46321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46321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46321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46321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42778-2024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45566</v>
      </c>
      <c r="E23" s="1" t="n">
        <v>46321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HYPERLINK("https://klasma.github.io/Logging_1446/artfynd/A 42778-2024 artfynd.xlsx", "A 42778-2024")</f>
        <v/>
      </c>
      <c r="X23">
        <f>HYPERLINK("https://klasma.github.io/Logging_1446/kartor/A 42778-2024 karta.png", "A 42778-2024")</f>
        <v/>
      </c>
      <c r="Y23">
        <f>HYPERLINK("https://klasma.github.io/Logging_1446/kartor_geotiff/A 42778-2024 georefererad karta.tif", "A 42778-2024")</f>
        <v/>
      </c>
      <c r="AA23">
        <f>HYPERLINK("https://klasma.github.io/Logging_1446/klagomål/A 42778-2024 FSC-klagomål.docx", "A 42778-2024")</f>
        <v/>
      </c>
      <c r="AB23">
        <f>HYPERLINK("https://klasma.github.io/Logging_1446/klagomålsmail/A 42778-2024 FSC-klagomål mail.docx", "A 42778-2024")</f>
        <v/>
      </c>
      <c r="AC23">
        <f>HYPERLINK("https://klasma.github.io/Logging_1446/tillsyn/A 42778-2024 tillsynsbegäran.docx", "A 42778-2024")</f>
        <v/>
      </c>
      <c r="AD23">
        <f>HYPERLINK("https://klasma.github.io/Logging_1446/tillsynsmail/A 42778-2024 tillsynsbegäran mail.docx", "A 42778-2024")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46321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46321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46321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46321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46321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3290-2022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44584</v>
      </c>
      <c r="E29" s="1" t="n">
        <v>46321</v>
      </c>
      <c r="F29" t="inlineStr">
        <is>
          <t>VÄSTRA GÖTALANDS LÄN</t>
        </is>
      </c>
      <c r="G29" t="inlineStr">
        <is>
          <t>KARLSBORG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46321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46321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46321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46321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46321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46321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46321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46321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46321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46321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46321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46321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46321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46321</v>
      </c>
      <c r="F43" t="inlineStr">
        <is>
          <t>VÄSTRA GÖTALANDS LÄN</t>
        </is>
      </c>
      <c r="G43" t="inlineStr">
        <is>
          <t>KARLSBORG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46321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46321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46321</v>
      </c>
      <c r="F46" t="inlineStr">
        <is>
          <t>VÄSTRA GÖTALANDS LÄN</t>
        </is>
      </c>
      <c r="G46" t="inlineStr">
        <is>
          <t>KARLSBORG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46321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41350-2025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45899</v>
      </c>
      <c r="E48" s="1" t="n">
        <v>46321</v>
      </c>
      <c r="F48" t="inlineStr">
        <is>
          <t>VÄSTRA GÖTALANDS LÄN</t>
        </is>
      </c>
      <c r="G48" t="inlineStr">
        <is>
          <t>KARLSBORG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45908</v>
      </c>
      <c r="E49" s="1" t="n">
        <v>46321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Kyrkan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44687</v>
      </c>
      <c r="E50" s="1" t="n">
        <v>46321</v>
      </c>
      <c r="F50" t="inlineStr">
        <is>
          <t>VÄSTRA GÖTALANDS LÄN</t>
        </is>
      </c>
      <c r="G50" t="inlineStr">
        <is>
          <t>KARLSBORG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44906</v>
      </c>
      <c r="E51" s="1" t="n">
        <v>46321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46321</v>
      </c>
      <c r="F52" t="inlineStr">
        <is>
          <t>VÄSTRA GÖTALANDS LÄN</t>
        </is>
      </c>
      <c r="G52" t="inlineStr">
        <is>
          <t>KARLSBORG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46321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Kyrkan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45247-2025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46321</v>
      </c>
      <c r="F54" t="inlineStr">
        <is>
          <t>VÄSTRA GÖTALANDS LÄN</t>
        </is>
      </c>
      <c r="G54" t="inlineStr">
        <is>
          <t>KARLSBORG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46321</v>
      </c>
      <c r="F55" t="inlineStr">
        <is>
          <t>VÄSTRA GÖTALANDS LÄN</t>
        </is>
      </c>
      <c r="G55" t="inlineStr">
        <is>
          <t>KARLSBORG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37363-2022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46321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7652-2023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44972</v>
      </c>
      <c r="E57" s="1" t="n">
        <v>46321</v>
      </c>
      <c r="F57" t="inlineStr">
        <is>
          <t>VÄSTRA GÖTALANDS LÄN</t>
        </is>
      </c>
      <c r="G57" t="inlineStr">
        <is>
          <t>KARLSBORG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46321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46321</v>
      </c>
      <c r="F59" t="inlineStr">
        <is>
          <t>VÄSTRA GÖTALANDS LÄN</t>
        </is>
      </c>
      <c r="G59" t="inlineStr">
        <is>
          <t>KARLSBORG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46321</v>
      </c>
      <c r="F60" t="inlineStr">
        <is>
          <t>VÄSTRA GÖTALANDS LÄN</t>
        </is>
      </c>
      <c r="G60" t="inlineStr">
        <is>
          <t>KARLSBORG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46321</v>
      </c>
      <c r="F61" t="inlineStr">
        <is>
          <t>VÄSTRA GÖTALANDS LÄN</t>
        </is>
      </c>
      <c r="G61" t="inlineStr">
        <is>
          <t>KARLSBORG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46170</v>
      </c>
      <c r="E62" s="1" t="n">
        <v>46321</v>
      </c>
      <c r="F62" t="inlineStr">
        <is>
          <t>VÄSTRA GÖTALANDS LÄN</t>
        </is>
      </c>
      <c r="G62" t="inlineStr">
        <is>
          <t>KARLSBORG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46321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46321</v>
      </c>
      <c r="F64" t="inlineStr">
        <is>
          <t>VÄSTRA GÖTALANDS LÄN</t>
        </is>
      </c>
      <c r="G64" t="inlineStr">
        <is>
          <t>KARLSBORG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34670-2022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44795</v>
      </c>
      <c r="E65" s="1" t="n">
        <v>46321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45632</v>
      </c>
      <c r="E66" s="1" t="n">
        <v>46321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46321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45942</v>
      </c>
      <c r="E68" s="1" t="n">
        <v>46321</v>
      </c>
      <c r="F68" t="inlineStr">
        <is>
          <t>VÄSTRA GÖTALANDS LÄN</t>
        </is>
      </c>
      <c r="G68" t="inlineStr">
        <is>
          <t>KARLSBORG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46321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46321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46321</v>
      </c>
      <c r="F71" t="inlineStr">
        <is>
          <t>VÄSTRA GÖTALANDS LÄN</t>
        </is>
      </c>
      <c r="G71" t="inlineStr">
        <is>
          <t>KARLSBORG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25977-2026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46321</v>
      </c>
      <c r="F72" t="inlineStr">
        <is>
          <t>VÄSTRA GÖTALANDS LÄN</t>
        </is>
      </c>
      <c r="G72" t="inlineStr">
        <is>
          <t>KARLSBORG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46321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57454-2024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45630</v>
      </c>
      <c r="E74" s="1" t="n">
        <v>46321</v>
      </c>
      <c r="F74" t="inlineStr">
        <is>
          <t>VÄSTRA GÖTALANDS LÄN</t>
        </is>
      </c>
      <c r="G74" t="inlineStr">
        <is>
          <t>KARLSBORG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46188</v>
      </c>
      <c r="E75" s="1" t="n">
        <v>46321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46321</v>
      </c>
      <c r="F76" t="inlineStr">
        <is>
          <t>VÄSTRA GÖTALANDS LÄN</t>
        </is>
      </c>
      <c r="G76" t="inlineStr">
        <is>
          <t>KARLSBORG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46188</v>
      </c>
      <c r="E77" s="1" t="n">
        <v>46321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46321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45209</v>
      </c>
      <c r="E79" s="1" t="n">
        <v>46321</v>
      </c>
      <c r="F79" t="inlineStr">
        <is>
          <t>VÄSTRA GÖTALANDS LÄN</t>
        </is>
      </c>
      <c r="G79" t="inlineStr">
        <is>
          <t>KARLSBORG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46321</v>
      </c>
      <c r="F80" t="inlineStr">
        <is>
          <t>VÄSTRA GÖTALANDS LÄN</t>
        </is>
      </c>
      <c r="G80" t="inlineStr">
        <is>
          <t>KARLSBORG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46321</v>
      </c>
      <c r="F81" t="inlineStr">
        <is>
          <t>VÄSTRA GÖTALANDS LÄN</t>
        </is>
      </c>
      <c r="G81" t="inlineStr">
        <is>
          <t>KARLSBORG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46321</v>
      </c>
      <c r="F82" t="inlineStr">
        <is>
          <t>VÄSTRA GÖTALANDS LÄN</t>
        </is>
      </c>
      <c r="G82" t="inlineStr">
        <is>
          <t>KARLSBORG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45603</v>
      </c>
      <c r="E83" s="1" t="n">
        <v>46321</v>
      </c>
      <c r="F83" t="inlineStr">
        <is>
          <t>VÄSTRA GÖTALANDS LÄN</t>
        </is>
      </c>
      <c r="G83" t="inlineStr">
        <is>
          <t>KARLSBORG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38073-2023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45160</v>
      </c>
      <c r="E84" s="1" t="n">
        <v>46321</v>
      </c>
      <c r="F84" t="inlineStr">
        <is>
          <t>VÄSTRA GÖTALANDS LÄN</t>
        </is>
      </c>
      <c r="G84" t="inlineStr">
        <is>
          <t>KARLSBORG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46321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45478</v>
      </c>
      <c r="E86" s="1" t="n">
        <v>46321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46321</v>
      </c>
      <c r="F87" t="inlineStr">
        <is>
          <t>VÄSTRA GÖTALANDS LÄN</t>
        </is>
      </c>
      <c r="G87" t="inlineStr">
        <is>
          <t>KARLSBORG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46321</v>
      </c>
      <c r="F88" t="inlineStr">
        <is>
          <t>VÄSTRA GÖTALANDS LÄN</t>
        </is>
      </c>
      <c r="G88" t="inlineStr">
        <is>
          <t>KARLSBORG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46160</v>
      </c>
      <c r="E89" s="1" t="n">
        <v>46321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46321</v>
      </c>
      <c r="F90" t="inlineStr">
        <is>
          <t>VÄSTRA GÖTALANDS LÄN</t>
        </is>
      </c>
      <c r="G90" t="inlineStr">
        <is>
          <t>KARLSBORG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46210</v>
      </c>
      <c r="E91" s="1" t="n">
        <v>46321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46321</v>
      </c>
      <c r="F92" t="inlineStr">
        <is>
          <t>VÄSTRA GÖTALANDS LÄN</t>
        </is>
      </c>
      <c r="G92" t="inlineStr">
        <is>
          <t>KARLSBORG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46321</v>
      </c>
      <c r="F93" t="inlineStr">
        <is>
          <t>VÄSTRA GÖTALANDS LÄN</t>
        </is>
      </c>
      <c r="G93" t="inlineStr">
        <is>
          <t>KARLSBORG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46321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46321</v>
      </c>
      <c r="F95" t="inlineStr">
        <is>
          <t>VÄSTRA GÖTALANDS LÄN</t>
        </is>
      </c>
      <c r="G95" t="inlineStr">
        <is>
          <t>KARLSBORG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46321</v>
      </c>
      <c r="F96" t="inlineStr">
        <is>
          <t>VÄSTRA GÖTALANDS LÄN</t>
        </is>
      </c>
      <c r="G96" t="inlineStr">
        <is>
          <t>KARLSBORG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46321</v>
      </c>
      <c r="F97" t="inlineStr">
        <is>
          <t>VÄSTRA GÖTALANDS LÄN</t>
        </is>
      </c>
      <c r="G97" t="inlineStr">
        <is>
          <t>KARLSBORG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57915-2024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45631</v>
      </c>
      <c r="E98" s="1" t="n">
        <v>46321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45470</v>
      </c>
      <c r="E99" s="1" t="n">
        <v>46321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46321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46321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46321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46321</v>
      </c>
      <c r="F103" t="inlineStr">
        <is>
          <t>VÄSTRA GÖTALANDS LÄN</t>
        </is>
      </c>
      <c r="G103" t="inlineStr">
        <is>
          <t>KARLSBORG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45786</v>
      </c>
      <c r="E104" s="1" t="n">
        <v>46321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64011-2025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46321</v>
      </c>
      <c r="F105" t="inlineStr">
        <is>
          <t>VÄSTRA GÖTALANDS LÄN</t>
        </is>
      </c>
      <c r="G105" t="inlineStr">
        <is>
          <t>KARLSBORG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64012-2025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46021</v>
      </c>
      <c r="E106" s="1" t="n">
        <v>46321</v>
      </c>
      <c r="F106" t="inlineStr">
        <is>
          <t>VÄSTRA GÖTALANDS LÄN</t>
        </is>
      </c>
      <c r="G106" t="inlineStr">
        <is>
          <t>KARLSBORG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64025-2025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46321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46321</v>
      </c>
      <c r="F108" t="inlineStr">
        <is>
          <t>VÄSTRA GÖTALANDS LÄN</t>
        </is>
      </c>
      <c r="G108" t="inlineStr">
        <is>
          <t>KARLSBORG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46321</v>
      </c>
      <c r="F109" t="inlineStr">
        <is>
          <t>VÄSTRA GÖTALANDS LÄN</t>
        </is>
      </c>
      <c r="G109" t="inlineStr">
        <is>
          <t>KARLSBORG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46321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46321</v>
      </c>
      <c r="F111" t="inlineStr">
        <is>
          <t>VÄSTRA GÖTALANDS LÄN</t>
        </is>
      </c>
      <c r="G111" t="inlineStr">
        <is>
          <t>KARLSBORG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45630</v>
      </c>
      <c r="E112" s="1" t="n">
        <v>46321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39394-2026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46288</v>
      </c>
      <c r="E113" s="1" t="n">
        <v>46321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46321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46321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46171</v>
      </c>
      <c r="E116" s="1" t="n">
        <v>46321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46321</v>
      </c>
      <c r="F117" t="inlineStr">
        <is>
          <t>VÄSTRA GÖTALANDS LÄN</t>
        </is>
      </c>
      <c r="G117" t="inlineStr">
        <is>
          <t>KARLSBORG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46321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46321</v>
      </c>
      <c r="F119" t="inlineStr">
        <is>
          <t>VÄSTRA GÖTALANDS LÄN</t>
        </is>
      </c>
      <c r="G119" t="inlineStr">
        <is>
          <t>KARLSBORG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46321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46321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46321</v>
      </c>
      <c r="F122" t="inlineStr">
        <is>
          <t>VÄSTRA GÖTALANDS LÄN</t>
        </is>
      </c>
      <c r="G122" t="inlineStr">
        <is>
          <t>KARLSBORG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46321</v>
      </c>
      <c r="F123" t="inlineStr">
        <is>
          <t>VÄSTRA GÖTALANDS LÄN</t>
        </is>
      </c>
      <c r="G123" t="inlineStr">
        <is>
          <t>KARLSBORG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46010</v>
      </c>
      <c r="E124" s="1" t="n">
        <v>46321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statliga verk och myndigheter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46321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statliga verk och myndigheter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29357-2024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45483</v>
      </c>
      <c r="E126" s="1" t="n">
        <v>46321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46321</v>
      </c>
      <c r="F127" t="inlineStr">
        <is>
          <t>VÄSTRA GÖTALANDS LÄN</t>
        </is>
      </c>
      <c r="G127" t="inlineStr">
        <is>
          <t>KARLSBORG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46321</v>
      </c>
      <c r="F128" t="inlineStr">
        <is>
          <t>VÄSTRA GÖTALANDS LÄN</t>
        </is>
      </c>
      <c r="G128" t="inlineStr">
        <is>
          <t>KARLSBORG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46321</v>
      </c>
      <c r="F129" t="inlineStr">
        <is>
          <t>VÄSTRA GÖTALANDS LÄN</t>
        </is>
      </c>
      <c r="G129" t="inlineStr">
        <is>
          <t>KARLSBORG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31701-2025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45834</v>
      </c>
      <c r="E130" s="1" t="n">
        <v>46321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32128-2025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45835</v>
      </c>
      <c r="E131" s="1" t="n">
        <v>46321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46321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41294-2026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46300</v>
      </c>
      <c r="E133" s="1" t="n">
        <v>46321</v>
      </c>
      <c r="F133" t="inlineStr">
        <is>
          <t>VÄSTRA GÖTALANDS LÄN</t>
        </is>
      </c>
      <c r="G133" t="inlineStr">
        <is>
          <t>KARLSBORG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65313-2021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46321</v>
      </c>
      <c r="F134" t="inlineStr">
        <is>
          <t>VÄSTRA GÖTALANDS LÄN</t>
        </is>
      </c>
      <c r="G134" t="inlineStr">
        <is>
          <t>KARLSBORG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46321</v>
      </c>
      <c r="F135" t="inlineStr">
        <is>
          <t>VÄSTRA GÖTALANDS LÄN</t>
        </is>
      </c>
      <c r="G135" t="inlineStr">
        <is>
          <t>KARLSBORG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46300</v>
      </c>
      <c r="E136" s="1" t="n">
        <v>46321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46321</v>
      </c>
      <c r="F137" t="inlineStr">
        <is>
          <t>VÄSTRA GÖTALANDS LÄN</t>
        </is>
      </c>
      <c r="G137" t="inlineStr">
        <is>
          <t>KARLSBORG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45265</v>
      </c>
      <c r="E138" s="1" t="n">
        <v>46321</v>
      </c>
      <c r="F138" t="inlineStr">
        <is>
          <t>VÄSTRA GÖTALANDS LÄN</t>
        </is>
      </c>
      <c r="G138" t="inlineStr">
        <is>
          <t>KARLSBORG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46321</v>
      </c>
      <c r="F139" t="inlineStr">
        <is>
          <t>VÄSTRA GÖTALANDS LÄN</t>
        </is>
      </c>
      <c r="G139" t="inlineStr">
        <is>
          <t>KARLSBORG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46321</v>
      </c>
      <c r="F140" t="inlineStr">
        <is>
          <t>VÄSTRA GÖTALANDS LÄN</t>
        </is>
      </c>
      <c r="G140" t="inlineStr">
        <is>
          <t>KARLSBORG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35930-2025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45862</v>
      </c>
      <c r="E141" s="1" t="n">
        <v>46321</v>
      </c>
      <c r="F141" t="inlineStr">
        <is>
          <t>VÄSTRA GÖTALANDS LÄN</t>
        </is>
      </c>
      <c r="G141" t="inlineStr">
        <is>
          <t>KARLSBORG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46321</v>
      </c>
      <c r="F142" t="inlineStr">
        <is>
          <t>VÄSTRA GÖTALANDS LÄN</t>
        </is>
      </c>
      <c r="G142" t="inlineStr">
        <is>
          <t>KARLSBORG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18564-2026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46321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58129-2024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45632</v>
      </c>
      <c r="E144" s="1" t="n">
        <v>46321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44908</v>
      </c>
      <c r="E145" s="1" t="n">
        <v>46321</v>
      </c>
      <c r="F145" t="inlineStr">
        <is>
          <t>VÄSTRA GÖTALANDS LÄN</t>
        </is>
      </c>
      <c r="G145" t="inlineStr">
        <is>
          <t>KARLSBORG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46321</v>
      </c>
      <c r="F146" t="inlineStr">
        <is>
          <t>VÄSTRA GÖTALANDS LÄN</t>
        </is>
      </c>
      <c r="G146" t="inlineStr">
        <is>
          <t>KARLSBORG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46321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46321</v>
      </c>
      <c r="F148" t="inlineStr">
        <is>
          <t>VÄSTRA GÖTALANDS LÄN</t>
        </is>
      </c>
      <c r="G148" t="inlineStr">
        <is>
          <t>KARLSBORG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46311</v>
      </c>
      <c r="E149" s="1" t="n">
        <v>46321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46321</v>
      </c>
      <c r="F150" t="inlineStr">
        <is>
          <t>VÄSTRA GÖTALANDS LÄN</t>
        </is>
      </c>
      <c r="G150" t="inlineStr">
        <is>
          <t>KARLSBORG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45755</v>
      </c>
      <c r="E151" s="1" t="n">
        <v>46321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45566</v>
      </c>
      <c r="E152" s="1" t="n">
        <v>46321</v>
      </c>
      <c r="F152" t="inlineStr">
        <is>
          <t>VÄSTRA GÖTALANDS LÄN</t>
        </is>
      </c>
      <c r="G152" t="inlineStr">
        <is>
          <t>KARLSBORG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45565</v>
      </c>
      <c r="E153" s="1" t="n">
        <v>46321</v>
      </c>
      <c r="F153" t="inlineStr">
        <is>
          <t>VÄSTRA GÖTALANDS LÄN</t>
        </is>
      </c>
      <c r="G153" t="inlineStr">
        <is>
          <t>KARLSBORG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46321</v>
      </c>
      <c r="F154" t="inlineStr">
        <is>
          <t>VÄSTRA GÖTALANDS LÄN</t>
        </is>
      </c>
      <c r="G154" t="inlineStr">
        <is>
          <t>KARLSBORG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46321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46321</v>
      </c>
      <c r="F156" t="inlineStr">
        <is>
          <t>VÄSTRA GÖTALANDS LÄN</t>
        </is>
      </c>
      <c r="G156" t="inlineStr">
        <is>
          <t>KARLSBORG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46321</v>
      </c>
      <c r="F157" t="inlineStr">
        <is>
          <t>VÄSTRA GÖTALANDS LÄN</t>
        </is>
      </c>
      <c r="G157" t="inlineStr">
        <is>
          <t>KARLSBORG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46321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46321</v>
      </c>
      <c r="F159" t="inlineStr">
        <is>
          <t>VÄSTRA GÖTALANDS LÄN</t>
        </is>
      </c>
      <c r="G159" t="inlineStr">
        <is>
          <t>KARLSBORG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46300</v>
      </c>
      <c r="E160" s="1" t="n">
        <v>46321</v>
      </c>
      <c r="F160" t="inlineStr">
        <is>
          <t>VÄSTRA GÖTALANDS LÄN</t>
        </is>
      </c>
      <c r="G160" t="inlineStr">
        <is>
          <t>KARLSBORG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46321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46317</v>
      </c>
      <c r="E162" s="1" t="n">
        <v>46321</v>
      </c>
      <c r="F162" t="inlineStr">
        <is>
          <t>VÄSTRA GÖTALANDS LÄN</t>
        </is>
      </c>
      <c r="G162" t="inlineStr">
        <is>
          <t>KARLSBORG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46276</v>
      </c>
      <c r="E163" s="1" t="n">
        <v>46321</v>
      </c>
      <c r="F163" t="inlineStr">
        <is>
          <t>VÄSTRA GÖTALANDS LÄN</t>
        </is>
      </c>
      <c r="G163" t="inlineStr">
        <is>
          <t>KARLSBORG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44906</v>
      </c>
      <c r="E164" s="1" t="n">
        <v>46321</v>
      </c>
      <c r="F164" t="inlineStr">
        <is>
          <t>VÄSTRA GÖTALANDS LÄN</t>
        </is>
      </c>
      <c r="G164" t="inlineStr">
        <is>
          <t>KARLSBORG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46321</v>
      </c>
      <c r="F165" t="inlineStr">
        <is>
          <t>VÄSTRA GÖTALANDS LÄN</t>
        </is>
      </c>
      <c r="G165" t="inlineStr">
        <is>
          <t>KARLSBORG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46143</v>
      </c>
      <c r="E166" s="1" t="n">
        <v>46321</v>
      </c>
      <c r="F166" t="inlineStr">
        <is>
          <t>VÄSTRA GÖTALANDS LÄN</t>
        </is>
      </c>
      <c r="G166" t="inlineStr">
        <is>
          <t>KARLSBORG</t>
        </is>
      </c>
      <c r="I166" t="n">
        <v>14.6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46321</v>
      </c>
      <c r="F167" t="inlineStr">
        <is>
          <t>VÄSTRA GÖTALANDS LÄN</t>
        </is>
      </c>
      <c r="G167" t="inlineStr">
        <is>
          <t>KARLSBORG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45589</v>
      </c>
      <c r="E168" s="1" t="n">
        <v>46321</v>
      </c>
      <c r="F168" t="inlineStr">
        <is>
          <t>VÄSTRA GÖTALANDS LÄN</t>
        </is>
      </c>
      <c r="G168" t="inlineStr">
        <is>
          <t>KARLSBORG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46321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46321</v>
      </c>
      <c r="F170" t="inlineStr">
        <is>
          <t>VÄSTRA GÖTALANDS LÄN</t>
        </is>
      </c>
      <c r="G170" t="inlineStr">
        <is>
          <t>KARLSBORG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46321</v>
      </c>
      <c r="F171" t="inlineStr">
        <is>
          <t>VÄSTRA GÖTALANDS LÄN</t>
        </is>
      </c>
      <c r="G171" t="inlineStr">
        <is>
          <t>KARLSBORG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44929</v>
      </c>
      <c r="E172" s="1" t="n">
        <v>46321</v>
      </c>
      <c r="F172" t="inlineStr">
        <is>
          <t>VÄSTRA GÖTALANDS LÄN</t>
        </is>
      </c>
      <c r="G172" t="inlineStr">
        <is>
          <t>KARLSBORG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  <c r="X172">
        <f>HYPERLINK("https://klasma.github.io/Logging_1446/kartor/A 412-2023 karta.png", "A 412-2023")</f>
        <v/>
      </c>
      <c r="Y172">
        <f>HYPERLINK("https://klasma.github.io/Logging_1446/kartor_geotiff/A 412-2023 georefererad karta.tif", "A 412-2023")</f>
        <v/>
      </c>
      <c r="AA172">
        <f>HYPERLINK("https://klasma.github.io/Logging_1446/klagomål/A 412-2023 FSC-klagomål.docx", "A 412-2023")</f>
        <v/>
      </c>
      <c r="AB172">
        <f>HYPERLINK("https://klasma.github.io/Logging_1446/klagomålsmail/A 412-2023 FSC-klagomål mail.docx", "A 412-2023")</f>
        <v/>
      </c>
      <c r="AC172">
        <f>HYPERLINK("https://klasma.github.io/Logging_1446/tillsyn/A 412-2023 tillsynsbegäran.docx", "A 412-2023")</f>
        <v/>
      </c>
      <c r="AD172">
        <f>HYPERLINK("https://klasma.github.io/Logging_1446/tillsynsmail/A 412-2023 tillsynsbegäran mail.docx", "A 412-2023")</f>
        <v/>
      </c>
    </row>
    <row r="173" ht="15" customHeight="1">
      <c r="A173" t="inlineStr">
        <is>
          <t>A 10828-2024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46321</v>
      </c>
      <c r="F173" t="inlineStr">
        <is>
          <t>VÄSTRA GÖTALANDS LÄN</t>
        </is>
      </c>
      <c r="G173" t="inlineStr">
        <is>
          <t>KARLSBORG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46321</v>
      </c>
      <c r="F174" t="inlineStr">
        <is>
          <t>VÄSTRA GÖTALANDS LÄN</t>
        </is>
      </c>
      <c r="G174" t="inlineStr">
        <is>
          <t>KARLSBORG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46321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45002</v>
      </c>
      <c r="E176" s="1" t="n">
        <v>46321</v>
      </c>
      <c r="F176" t="inlineStr">
        <is>
          <t>VÄSTRA GÖTALANDS LÄN</t>
        </is>
      </c>
      <c r="G176" t="inlineStr">
        <is>
          <t>KARLSBORG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46321</v>
      </c>
      <c r="F177" t="inlineStr">
        <is>
          <t>VÄSTRA GÖTALANDS LÄN</t>
        </is>
      </c>
      <c r="G177" t="inlineStr">
        <is>
          <t>KARLSBORG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46321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24594-2022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44727</v>
      </c>
      <c r="E179" s="1" t="n">
        <v>46321</v>
      </c>
      <c r="F179" t="inlineStr">
        <is>
          <t>VÄSTRA GÖTALANDS LÄN</t>
        </is>
      </c>
      <c r="G179" t="inlineStr">
        <is>
          <t>KARLSBORG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46321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46321</v>
      </c>
      <c r="F181" t="inlineStr">
        <is>
          <t>VÄSTRA GÖTALANDS LÄN</t>
        </is>
      </c>
      <c r="G181" t="inlineStr">
        <is>
          <t>KARLSBORG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46321</v>
      </c>
      <c r="F182" t="inlineStr">
        <is>
          <t>VÄSTRA GÖTALANDS LÄN</t>
        </is>
      </c>
      <c r="G182" t="inlineStr">
        <is>
          <t>KARLSBORG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46321</v>
      </c>
      <c r="F183" t="inlineStr">
        <is>
          <t>VÄSTRA GÖTALANDS LÄN</t>
        </is>
      </c>
      <c r="G183" t="inlineStr">
        <is>
          <t>KARLSBORG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70945-2021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44538</v>
      </c>
      <c r="E184" s="1" t="n">
        <v>46321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46321</v>
      </c>
      <c r="F185" t="inlineStr">
        <is>
          <t>VÄSTRA GÖTALANDS LÄN</t>
        </is>
      </c>
      <c r="G185" t="inlineStr">
        <is>
          <t>KARLSBORG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45089</v>
      </c>
      <c r="E186" s="1" t="n">
        <v>46321</v>
      </c>
      <c r="F186" t="inlineStr">
        <is>
          <t>VÄSTRA GÖTALANDS LÄN</t>
        </is>
      </c>
      <c r="G186" t="inlineStr">
        <is>
          <t>KARLSBORG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46321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46321</v>
      </c>
      <c r="F188" t="inlineStr">
        <is>
          <t>VÄSTRA GÖTALANDS LÄN</t>
        </is>
      </c>
      <c r="G188" t="inlineStr">
        <is>
          <t>KARLSBORG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46321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46321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46321</v>
      </c>
      <c r="F191" t="inlineStr">
        <is>
          <t>VÄSTRA GÖTALANDS LÄN</t>
        </is>
      </c>
      <c r="G191" t="inlineStr">
        <is>
          <t>KARLSBORG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70783-2021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46321</v>
      </c>
      <c r="F192" t="inlineStr">
        <is>
          <t>VÄSTRA GÖTALANDS LÄN</t>
        </is>
      </c>
      <c r="G192" t="inlineStr">
        <is>
          <t>KARLSBORG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46321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46321</v>
      </c>
      <c r="F194" t="inlineStr">
        <is>
          <t>VÄSTRA GÖTALANDS LÄN</t>
        </is>
      </c>
      <c r="G194" t="inlineStr">
        <is>
          <t>KARLSBORG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46321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46321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46321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46321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46321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46321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46321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57913-2024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45631</v>
      </c>
      <c r="E202" s="1" t="n">
        <v>46321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45742</v>
      </c>
      <c r="E203" s="1" t="n">
        <v>46321</v>
      </c>
      <c r="F203" t="inlineStr">
        <is>
          <t>VÄSTRA GÖTALANDS LÄN</t>
        </is>
      </c>
      <c r="G203" t="inlineStr">
        <is>
          <t>KARLSBORG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23500-2023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45076</v>
      </c>
      <c r="E204" s="1" t="n">
        <v>46321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46321</v>
      </c>
      <c r="F205" t="inlineStr">
        <is>
          <t>VÄSTRA GÖTALANDS LÄN</t>
        </is>
      </c>
      <c r="G205" t="inlineStr">
        <is>
          <t>KARLSBORG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45233</v>
      </c>
      <c r="E206" s="1" t="n">
        <v>46321</v>
      </c>
      <c r="F206" t="inlineStr">
        <is>
          <t>VÄSTRA GÖTALANDS LÄN</t>
        </is>
      </c>
      <c r="G206" t="inlineStr">
        <is>
          <t>KARLSBORG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46321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46321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46321</v>
      </c>
      <c r="F209" t="inlineStr">
        <is>
          <t>VÄSTRA GÖTALANDS LÄN</t>
        </is>
      </c>
      <c r="G209" t="inlineStr">
        <is>
          <t>KARLSBORG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46321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46321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46321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46321</v>
      </c>
      <c r="F213" t="inlineStr">
        <is>
          <t>VÄSTRA GÖTALANDS LÄN</t>
        </is>
      </c>
      <c r="G213" t="inlineStr">
        <is>
          <t>KARLSBORG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46321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44895</v>
      </c>
      <c r="E215" s="1" t="n">
        <v>46321</v>
      </c>
      <c r="F215" t="inlineStr">
        <is>
          <t>VÄSTRA GÖTALANDS LÄN</t>
        </is>
      </c>
      <c r="G215" t="inlineStr">
        <is>
          <t>KARLSBORG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44906</v>
      </c>
      <c r="E216" s="1" t="n">
        <v>46321</v>
      </c>
      <c r="F216" t="inlineStr">
        <is>
          <t>VÄSTRA GÖTALANDS LÄN</t>
        </is>
      </c>
      <c r="G216" t="inlineStr">
        <is>
          <t>KARLSBORG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46321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46321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Aktiebolag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15396-2024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45401</v>
      </c>
      <c r="E219" s="1" t="n">
        <v>46321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45489</v>
      </c>
      <c r="E220" s="1" t="n">
        <v>46321</v>
      </c>
      <c r="F220" t="inlineStr">
        <is>
          <t>VÄSTRA GÖTALANDS LÄN</t>
        </is>
      </c>
      <c r="G220" t="inlineStr">
        <is>
          <t>KARLSBORG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59877-2021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44494</v>
      </c>
      <c r="E221" s="1" t="n">
        <v>46321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statliga verk och myndigheter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46321</v>
      </c>
      <c r="F222" t="inlineStr">
        <is>
          <t>VÄSTRA GÖTALANDS LÄN</t>
        </is>
      </c>
      <c r="G222" t="inlineStr">
        <is>
          <t>KARLSBORG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2395-2024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45468</v>
      </c>
      <c r="E223" s="1" t="n">
        <v>46321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343-2026</t>
        </is>
      </c>
      <c r="B224" t="inlineStr">
        <is>
          <t>samrådsanmälan</t>
        </is>
      </c>
      <c r="C224" t="inlineStr">
        <is>
          <t>Skogsgödsling</t>
        </is>
      </c>
      <c r="D224" s="1" t="n">
        <v>46059</v>
      </c>
      <c r="E224" s="1" t="n">
        <v>46321</v>
      </c>
      <c r="F224" t="inlineStr">
        <is>
          <t>VÄSTRA GÖTALANDS LÄN</t>
        </is>
      </c>
      <c r="G224" t="inlineStr">
        <is>
          <t>KARLSBORG</t>
        </is>
      </c>
      <c r="I224" t="n">
        <v>25.7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2026-10-26T03:11:50Z</dcterms:created>
  <dcterms:modified xmlns:dcterms="http://purl.org/dc/terms/" xmlns:xsi="http://www.w3.org/2001/XMLSchema-instance" xsi:type="dcterms:W3CDTF">2026-10-26T03:11:50Z</dcterms:modified>
</cp:coreProperties>
</file>