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46291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46291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46291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46291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46291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46291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46291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46291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46291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19851-2025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45771</v>
      </c>
      <c r="E11" s="1" t="n">
        <v>46291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4.9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0</v>
      </c>
      <c r="V11" s="2" t="inlineStr">
        <is>
          <t>Knärot
Kungsfågel</t>
        </is>
      </c>
      <c r="W11">
        <f>HYPERLINK("https://klasma.github.io/Logging_1446/artfynd/A 19851-2025 artfynd.xlsx", "A 19851-2025")</f>
        <v/>
      </c>
      <c r="X11">
        <f>HYPERLINK("https://klasma.github.io/Logging_1446/kartor/A 19851-2025 karta.png", "A 19851-2025")</f>
        <v/>
      </c>
      <c r="Y11">
        <f>HYPERLINK("https://klasma.github.io/Logging_1446/kartor_geotiff/A 19851-2025 georefererad karta.tif", "A 19851-2025")</f>
        <v/>
      </c>
      <c r="Z11">
        <f>HYPERLINK("https://klasma.github.io/Logging_1446/knärot/A 19851-2025 karta knärot.png", "A 19851-2025")</f>
        <v/>
      </c>
      <c r="AA11">
        <f>HYPERLINK("https://klasma.github.io/Logging_1446/klagomål/A 19851-2025 FSC-klagomål.docx", "A 19851-2025")</f>
        <v/>
      </c>
      <c r="AB11">
        <f>HYPERLINK("https://klasma.github.io/Logging_1446/klagomålsmail/A 19851-2025 FSC-klagomål mail.docx", "A 19851-2025")</f>
        <v/>
      </c>
      <c r="AC11">
        <f>HYPERLINK("https://klasma.github.io/Logging_1446/tillsyn/A 19851-2025 tillsynsbegäran.docx", "A 19851-2025")</f>
        <v/>
      </c>
      <c r="AD11">
        <f>HYPERLINK("https://klasma.github.io/Logging_1446/tillsynsmail/A 19851-2025 tillsynsbegäran mail.docx", "A 19851-2025")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46291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46291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46291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4448-2026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46045</v>
      </c>
      <c r="E15" s="1" t="n">
        <v>46291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Övriga Aktiebolag</t>
        </is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Svart trolldruva</t>
        </is>
      </c>
      <c r="W15">
        <f>HYPERLINK("https://klasma.github.io/Logging_1446/artfynd/A 4448-2026 artfynd.xlsx", "A 4448-2026")</f>
        <v/>
      </c>
      <c r="X15">
        <f>HYPERLINK("https://klasma.github.io/Logging_1446/kartor/A 4448-2026 karta.png", "A 4448-2026")</f>
        <v/>
      </c>
      <c r="Y15">
        <f>HYPERLINK("https://klasma.github.io/Logging_1446/kartor_geotiff/A 4448-2026 georefererad karta.tif", "A 4448-2026")</f>
        <v/>
      </c>
      <c r="AA15">
        <f>HYPERLINK("https://klasma.github.io/Logging_1446/klagomål/A 4448-2026 FSC-klagomål.docx", "A 4448-2026")</f>
        <v/>
      </c>
      <c r="AB15">
        <f>HYPERLINK("https://klasma.github.io/Logging_1446/klagomålsmail/A 4448-2026 FSC-klagomål mail.docx", "A 4448-2026")</f>
        <v/>
      </c>
      <c r="AC15">
        <f>HYPERLINK("https://klasma.github.io/Logging_1446/tillsyn/A 4448-2026 tillsynsbegäran.docx", "A 4448-2026")</f>
        <v/>
      </c>
      <c r="AD15">
        <f>HYPERLINK("https://klasma.github.io/Logging_1446/tillsynsmail/A 4448-2026 tillsynsbegäran mail.docx", "A 4448-2026")</f>
        <v/>
      </c>
    </row>
    <row r="16" ht="15" customHeight="1">
      <c r="A16" t="inlineStr">
        <is>
          <t>A 23268-2022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44720</v>
      </c>
      <c r="E16" s="1" t="n">
        <v>46291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snok</t>
        </is>
      </c>
      <c r="W16">
        <f>HYPERLINK("https://klasma.github.io/Logging_1446/artfynd/A 23268-2022 artfynd.xlsx", "A 23268-2022")</f>
        <v/>
      </c>
      <c r="X16">
        <f>HYPERLINK("https://klasma.github.io/Logging_1446/kartor/A 23268-2022 karta.png", "A 23268-2022")</f>
        <v/>
      </c>
      <c r="Y16">
        <f>HYPERLINK("https://klasma.github.io/Logging_1446/kartor_geotiff/A 23268-2022 georefererad karta.tif", "A 23268-2022")</f>
        <v/>
      </c>
      <c r="AA16">
        <f>HYPERLINK("https://klasma.github.io/Logging_1446/klagomål/A 23268-2022 FSC-klagomål.docx", "A 23268-2022")</f>
        <v/>
      </c>
      <c r="AB16">
        <f>HYPERLINK("https://klasma.github.io/Logging_1446/klagomålsmail/A 23268-2022 FSC-klagomål mail.docx", "A 23268-2022")</f>
        <v/>
      </c>
      <c r="AC16">
        <f>HYPERLINK("https://klasma.github.io/Logging_1446/tillsyn/A 23268-2022 tillsynsbegäran.docx", "A 23268-2022")</f>
        <v/>
      </c>
      <c r="AD16">
        <f>HYPERLINK("https://klasma.github.io/Logging_1446/tillsynsmail/A 23268-2022 tillsynsbegäran mail.docx", "A 23268-2022")</f>
        <v/>
      </c>
    </row>
    <row r="17" ht="15" customHeight="1">
      <c r="A17" t="inlineStr">
        <is>
          <t>A 18567-2026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46127</v>
      </c>
      <c r="E17" s="1" t="n">
        <v>46291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2.6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HYPERLINK("https://klasma.github.io/Logging_1446/artfynd/A 18567-2026 artfynd.xlsx", "A 18567-2026")</f>
        <v/>
      </c>
      <c r="X17">
        <f>HYPERLINK("https://klasma.github.io/Logging_1446/kartor/A 18567-2026 karta.png", "A 18567-2026")</f>
        <v/>
      </c>
      <c r="Y17">
        <f>HYPERLINK("https://klasma.github.io/Logging_1446/kartor_geotiff/A 18567-2026 georefererad karta.tif", "A 18567-2026")</f>
        <v/>
      </c>
      <c r="AA17">
        <f>HYPERLINK("https://klasma.github.io/Logging_1446/klagomål/A 18567-2026 FSC-klagomål.docx", "A 18567-2026")</f>
        <v/>
      </c>
      <c r="AB17">
        <f>HYPERLINK("https://klasma.github.io/Logging_1446/klagomålsmail/A 18567-2026 FSC-klagomål mail.docx", "A 18567-2026")</f>
        <v/>
      </c>
      <c r="AC17">
        <f>HYPERLINK("https://klasma.github.io/Logging_1446/tillsyn/A 18567-2026 tillsynsbegäran.docx", "A 18567-2026")</f>
        <v/>
      </c>
      <c r="AD17">
        <f>HYPERLINK("https://klasma.github.io/Logging_1446/tillsynsmail/A 18567-2026 tillsynsbegäran mail.docx", "A 18567-2026")</f>
        <v/>
      </c>
    </row>
    <row r="18" ht="15" customHeight="1">
      <c r="A18" t="inlineStr">
        <is>
          <t>A 29484-2025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46291</v>
      </c>
      <c r="F18" t="inlineStr">
        <is>
          <t>VÄSTRA GÖTALANDS LÄN</t>
        </is>
      </c>
      <c r="G18" t="inlineStr">
        <is>
          <t>KARLSBORG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Blåsippa</t>
        </is>
      </c>
      <c r="W18">
        <f>HYPERLINK("https://klasma.github.io/Logging_1446/artfynd/A 29484-2025 artfynd.xlsx", "A 29484-2025")</f>
        <v/>
      </c>
      <c r="X18">
        <f>HYPERLINK("https://klasma.github.io/Logging_1446/kartor/A 29484-2025 karta.png", "A 29484-2025")</f>
        <v/>
      </c>
      <c r="Y18">
        <f>HYPERLINK("https://klasma.github.io/Logging_1446/kartor_geotiff/A 29484-2025 georefererad karta.tif", "A 29484-2025")</f>
        <v/>
      </c>
      <c r="AA18">
        <f>HYPERLINK("https://klasma.github.io/Logging_1446/klagomål/A 29484-2025 FSC-klagomål.docx", "A 29484-2025")</f>
        <v/>
      </c>
      <c r="AB18">
        <f>HYPERLINK("https://klasma.github.io/Logging_1446/klagomålsmail/A 29484-2025 FSC-klagomål mail.docx", "A 29484-2025")</f>
        <v/>
      </c>
      <c r="AC18">
        <f>HYPERLINK("https://klasma.github.io/Logging_1446/tillsyn/A 29484-2025 tillsynsbegäran.docx", "A 29484-2025")</f>
        <v/>
      </c>
      <c r="AD18">
        <f>HYPERLINK("https://klasma.github.io/Logging_1446/tillsynsmail/A 29484-2025 tillsynsbegäran mail.docx", "A 29484-2025")</f>
        <v/>
      </c>
    </row>
    <row r="19" ht="15" customHeight="1">
      <c r="A19" t="inlineStr">
        <is>
          <t>A 28315-2025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45818</v>
      </c>
      <c r="E19" s="1" t="n">
        <v>46291</v>
      </c>
      <c r="F19" t="inlineStr">
        <is>
          <t>VÄSTRA GÖTALANDS LÄN</t>
        </is>
      </c>
      <c r="G19" t="inlineStr">
        <is>
          <t>KARLSBORG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Rostfläck</t>
        </is>
      </c>
      <c r="W19">
        <f>HYPERLINK("https://klasma.github.io/Logging_1446/artfynd/A 28315-2025 artfynd.xlsx", "A 28315-2025")</f>
        <v/>
      </c>
      <c r="X19">
        <f>HYPERLINK("https://klasma.github.io/Logging_1446/kartor/A 28315-2025 karta.png", "A 28315-2025")</f>
        <v/>
      </c>
      <c r="Y19">
        <f>HYPERLINK("https://klasma.github.io/Logging_1446/kartor_geotiff/A 28315-2025 georefererad karta.tif", "A 28315-2025")</f>
        <v/>
      </c>
      <c r="AA19">
        <f>HYPERLINK("https://klasma.github.io/Logging_1446/klagomål/A 28315-2025 FSC-klagomål.docx", "A 28315-2025")</f>
        <v/>
      </c>
      <c r="AB19">
        <f>HYPERLINK("https://klasma.github.io/Logging_1446/klagomålsmail/A 28315-2025 FSC-klagomål mail.docx", "A 28315-2025")</f>
        <v/>
      </c>
      <c r="AC19">
        <f>HYPERLINK("https://klasma.github.io/Logging_1446/tillsyn/A 28315-2025 tillsynsbegäran.docx", "A 28315-2025")</f>
        <v/>
      </c>
      <c r="AD19">
        <f>HYPERLINK("https://klasma.github.io/Logging_1446/tillsynsmail/A 28315-2025 tillsynsbegäran mail.docx", "A 28315-2025")</f>
        <v/>
      </c>
    </row>
    <row r="20" ht="15" customHeight="1">
      <c r="A20" t="inlineStr">
        <is>
          <t>A 23973-2023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45075</v>
      </c>
      <c r="E20" s="1" t="n">
        <v>46291</v>
      </c>
      <c r="F20" t="inlineStr">
        <is>
          <t>VÄSTRA GÖTALANDS LÄN</t>
        </is>
      </c>
      <c r="G20" t="inlineStr">
        <is>
          <t>KARLSBORG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Orre</t>
        </is>
      </c>
      <c r="W20">
        <f>HYPERLINK("https://klasma.github.io/Logging_1446/artfynd/A 23973-2023 artfynd.xlsx", "A 23973-2023")</f>
        <v/>
      </c>
      <c r="X20">
        <f>HYPERLINK("https://klasma.github.io/Logging_1446/kartor/A 23973-2023 karta.png", "A 23973-2023")</f>
        <v/>
      </c>
      <c r="Y20">
        <f>HYPERLINK("https://klasma.github.io/Logging_1446/kartor_geotiff/A 23973-2023 georefererad karta.tif", "A 23973-2023")</f>
        <v/>
      </c>
      <c r="AA20">
        <f>HYPERLINK("https://klasma.github.io/Logging_1446/klagomål/A 23973-2023 FSC-klagomål.docx", "A 23973-2023")</f>
        <v/>
      </c>
      <c r="AB20">
        <f>HYPERLINK("https://klasma.github.io/Logging_1446/klagomålsmail/A 23973-2023 FSC-klagomål mail.docx", "A 23973-2023")</f>
        <v/>
      </c>
      <c r="AC20">
        <f>HYPERLINK("https://klasma.github.io/Logging_1446/tillsyn/A 23973-2023 tillsynsbegäran.docx", "A 23973-2023")</f>
        <v/>
      </c>
      <c r="AD20">
        <f>HYPERLINK("https://klasma.github.io/Logging_1446/tillsynsmail/A 23973-2023 tillsynsbegäran mail.docx", "A 23973-2023")</f>
        <v/>
      </c>
      <c r="AE20">
        <f>HYPERLINK("https://klasma.github.io/Logging_1446/fåglar/A 23973-2023 prioriterade fågelarter.docx", "A 23973-2023")</f>
        <v/>
      </c>
    </row>
    <row r="21" ht="15" customHeight="1">
      <c r="A21" t="inlineStr">
        <is>
          <t>A 8984-2025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46291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HYPERLINK("https://klasma.github.io/Logging_1446/artfynd/A 8984-2025 artfynd.xlsx", "A 8984-2025")</f>
        <v/>
      </c>
      <c r="X21">
        <f>HYPERLINK("https://klasma.github.io/Logging_1446/kartor/A 8984-2025 karta.png", "A 8984-2025")</f>
        <v/>
      </c>
      <c r="Y21">
        <f>HYPERLINK("https://klasma.github.io/Logging_1446/kartor_geotiff/A 8984-2025 georefererad karta.tif", "A 8984-2025")</f>
        <v/>
      </c>
      <c r="AA21">
        <f>HYPERLINK("https://klasma.github.io/Logging_1446/klagomål/A 8984-2025 FSC-klagomål.docx", "A 8984-2025")</f>
        <v/>
      </c>
      <c r="AB21">
        <f>HYPERLINK("https://klasma.github.io/Logging_1446/klagomålsmail/A 8984-2025 FSC-klagomål mail.docx", "A 8984-2025")</f>
        <v/>
      </c>
      <c r="AC21">
        <f>HYPERLINK("https://klasma.github.io/Logging_1446/tillsyn/A 8984-2025 tillsynsbegäran.docx", "A 8984-2025")</f>
        <v/>
      </c>
      <c r="AD21">
        <f>HYPERLINK("https://klasma.github.io/Logging_1446/tillsynsmail/A 8984-2025 tillsynsbegäran mail.docx", "A 8984-2025")</f>
        <v/>
      </c>
      <c r="AE21">
        <f>HYPERLINK("https://klasma.github.io/Logging_1446/fåglar/A 8984-2025 prioriterade fågelarter.docx", "A 8984-2025")</f>
        <v/>
      </c>
    </row>
    <row r="22" ht="15" customHeight="1">
      <c r="A22" t="inlineStr">
        <is>
          <t>A 42778-2024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45566</v>
      </c>
      <c r="E22" s="1" t="n">
        <v>46291</v>
      </c>
      <c r="F22" t="inlineStr">
        <is>
          <t>VÄSTRA GÖTALANDS LÄN</t>
        </is>
      </c>
      <c r="G22" t="inlineStr">
        <is>
          <t>KARLSBORG</t>
        </is>
      </c>
      <c r="I22" t="n">
        <v>1.6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HYPERLINK("https://klasma.github.io/Logging_1446/artfynd/A 42778-2024 artfynd.xlsx", "A 42778-2024")</f>
        <v/>
      </c>
      <c r="X22">
        <f>HYPERLINK("https://klasma.github.io/Logging_1446/kartor/A 42778-2024 karta.png", "A 42778-2024")</f>
        <v/>
      </c>
      <c r="Y22">
        <f>HYPERLINK("https://klasma.github.io/Logging_1446/kartor_geotiff/A 42778-2024 georefererad karta.tif", "A 42778-2024")</f>
        <v/>
      </c>
      <c r="AA22">
        <f>HYPERLINK("https://klasma.github.io/Logging_1446/klagomål/A 42778-2024 FSC-klagomål.docx", "A 42778-2024")</f>
        <v/>
      </c>
      <c r="AB22">
        <f>HYPERLINK("https://klasma.github.io/Logging_1446/klagomålsmail/A 42778-2024 FSC-klagomål mail.docx", "A 42778-2024")</f>
        <v/>
      </c>
      <c r="AC22">
        <f>HYPERLINK("https://klasma.github.io/Logging_1446/tillsyn/A 42778-2024 tillsynsbegäran.docx", "A 42778-2024")</f>
        <v/>
      </c>
      <c r="AD22">
        <f>HYPERLINK("https://klasma.github.io/Logging_1446/tillsynsmail/A 42778-2024 tillsynsbegäran mail.docx", "A 42778-2024")</f>
        <v/>
      </c>
    </row>
    <row r="23" ht="15" customHeight="1">
      <c r="A23" t="inlineStr">
        <is>
          <t>A 59712-2021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44494</v>
      </c>
      <c r="E23" s="1" t="n">
        <v>46291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Ask</t>
        </is>
      </c>
      <c r="W23">
        <f>HYPERLINK("https://klasma.github.io/Logging_1446/artfynd/A 59712-2021 artfynd.xlsx", "A 59712-2021")</f>
        <v/>
      </c>
      <c r="X23">
        <f>HYPERLINK("https://klasma.github.io/Logging_1446/kartor/A 59712-2021 karta.png", "A 59712-2021")</f>
        <v/>
      </c>
      <c r="Y23">
        <f>HYPERLINK("https://klasma.github.io/Logging_1446/kartor_geotiff/A 59712-2021 georefererad karta.tif", "A 59712-2021")</f>
        <v/>
      </c>
      <c r="AA23">
        <f>HYPERLINK("https://klasma.github.io/Logging_1446/klagomål/A 59712-2021 FSC-klagomål.docx", "A 59712-2021")</f>
        <v/>
      </c>
      <c r="AB23">
        <f>HYPERLINK("https://klasma.github.io/Logging_1446/klagomålsmail/A 59712-2021 FSC-klagomål mail.docx", "A 59712-2021")</f>
        <v/>
      </c>
      <c r="AC23">
        <f>HYPERLINK("https://klasma.github.io/Logging_1446/tillsyn/A 59712-2021 tillsynsbegäran.docx", "A 59712-2021")</f>
        <v/>
      </c>
      <c r="AD23">
        <f>HYPERLINK("https://klasma.github.io/Logging_1446/tillsynsmail/A 59712-2021 tillsynsbegäran mail.docx", "A 59712-2021")</f>
        <v/>
      </c>
    </row>
    <row r="24" ht="15" customHeight="1">
      <c r="A24" t="inlineStr">
        <is>
          <t>A 9337-2025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45714</v>
      </c>
      <c r="E24" s="1" t="n">
        <v>46291</v>
      </c>
      <c r="F24" t="inlineStr">
        <is>
          <t>VÄSTRA GÖTALANDS LÄN</t>
        </is>
      </c>
      <c r="G24" t="inlineStr">
        <is>
          <t>KARLSBORG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HYPERLINK("https://klasma.github.io/Logging_1446/artfynd/A 9337-2025 artfynd.xlsx", "A 9337-2025")</f>
        <v/>
      </c>
      <c r="X24">
        <f>HYPERLINK("https://klasma.github.io/Logging_1446/kartor/A 9337-2025 karta.png", "A 9337-2025")</f>
        <v/>
      </c>
      <c r="Y24">
        <f>HYPERLINK("https://klasma.github.io/Logging_1446/kartor_geotiff/A 9337-2025 georefererad karta.tif", "A 9337-2025")</f>
        <v/>
      </c>
      <c r="AA24">
        <f>HYPERLINK("https://klasma.github.io/Logging_1446/klagomål/A 9337-2025 FSC-klagomål.docx", "A 9337-2025")</f>
        <v/>
      </c>
      <c r="AB24">
        <f>HYPERLINK("https://klasma.github.io/Logging_1446/klagomålsmail/A 9337-2025 FSC-klagomål mail.docx", "A 9337-2025")</f>
        <v/>
      </c>
      <c r="AC24">
        <f>HYPERLINK("https://klasma.github.io/Logging_1446/tillsyn/A 9337-2025 tillsynsbegäran.docx", "A 9337-2025")</f>
        <v/>
      </c>
      <c r="AD24">
        <f>HYPERLINK("https://klasma.github.io/Logging_1446/tillsynsmail/A 9337-2025 tillsynsbegäran mail.docx", "A 9337-2025")</f>
        <v/>
      </c>
    </row>
    <row r="25" ht="15" customHeight="1">
      <c r="A25" t="inlineStr">
        <is>
          <t>A 29156-2026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46202</v>
      </c>
      <c r="E25" s="1" t="n">
        <v>46291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1.2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Spindelblomster</t>
        </is>
      </c>
      <c r="W25">
        <f>HYPERLINK("https://klasma.github.io/Logging_1446/artfynd/A 29156-2026 artfynd.xlsx", "A 29156-2026")</f>
        <v/>
      </c>
      <c r="X25">
        <f>HYPERLINK("https://klasma.github.io/Logging_1446/kartor/A 29156-2026 karta.png", "A 29156-2026")</f>
        <v/>
      </c>
      <c r="Y25">
        <f>HYPERLINK("https://klasma.github.io/Logging_1446/kartor_geotiff/A 29156-2026 georefererad karta.tif", "A 29156-2026")</f>
        <v/>
      </c>
      <c r="AA25">
        <f>HYPERLINK("https://klasma.github.io/Logging_1446/klagomål/A 29156-2026 FSC-klagomål.docx", "A 29156-2026")</f>
        <v/>
      </c>
      <c r="AB25">
        <f>HYPERLINK("https://klasma.github.io/Logging_1446/klagomålsmail/A 29156-2026 FSC-klagomål mail.docx", "A 29156-2026")</f>
        <v/>
      </c>
      <c r="AC25">
        <f>HYPERLINK("https://klasma.github.io/Logging_1446/tillsyn/A 29156-2026 tillsynsbegäran.docx", "A 29156-2026")</f>
        <v/>
      </c>
      <c r="AD25">
        <f>HYPERLINK("https://klasma.github.io/Logging_1446/tillsynsmail/A 29156-2026 tillsynsbegäran mail.docx", "A 29156-2026")</f>
        <v/>
      </c>
    </row>
    <row r="26" ht="15" customHeight="1">
      <c r="A26" t="inlineStr">
        <is>
          <t>A 51531-2023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45222</v>
      </c>
      <c r="E26" s="1" t="n">
        <v>46291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Kommuner</t>
        </is>
      </c>
      <c r="I26" t="n">
        <v>11.2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HYPERLINK("https://klasma.github.io/Logging_1446/artfynd/A 51531-2023 artfynd.xlsx", "A 51531-2023")</f>
        <v/>
      </c>
      <c r="X26">
        <f>HYPERLINK("https://klasma.github.io/Logging_1446/kartor/A 51531-2023 karta.png", "A 51531-2023")</f>
        <v/>
      </c>
      <c r="Y26">
        <f>HYPERLINK("https://klasma.github.io/Logging_1446/kartor_geotiff/A 51531-2023 georefererad karta.tif", "A 51531-2023")</f>
        <v/>
      </c>
      <c r="AA26">
        <f>HYPERLINK("https://klasma.github.io/Logging_1446/klagomål/A 51531-2023 FSC-klagomål.docx", "A 51531-2023")</f>
        <v/>
      </c>
      <c r="AB26">
        <f>HYPERLINK("https://klasma.github.io/Logging_1446/klagomålsmail/A 51531-2023 FSC-klagomål mail.docx", "A 51531-2023")</f>
        <v/>
      </c>
      <c r="AC26">
        <f>HYPERLINK("https://klasma.github.io/Logging_1446/tillsyn/A 51531-2023 tillsynsbegäran.docx", "A 51531-2023")</f>
        <v/>
      </c>
      <c r="AD26">
        <f>HYPERLINK("https://klasma.github.io/Logging_1446/tillsynsmail/A 51531-2023 tillsynsbegäran mail.docx", "A 51531-2023")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46291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53909-2023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45231</v>
      </c>
      <c r="E28" s="1" t="n">
        <v>46291</v>
      </c>
      <c r="F28" t="inlineStr">
        <is>
          <t>VÄSTRA GÖTALANDS LÄN</t>
        </is>
      </c>
      <c r="G28" t="inlineStr">
        <is>
          <t>KARLSBORG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HYPERLINK("https://klasma.github.io/Logging_1446/artfynd/A 53909-2023 artfynd.xlsx", "A 53909-2023")</f>
        <v/>
      </c>
      <c r="X28">
        <f>HYPERLINK("https://klasma.github.io/Logging_1446/kartor/A 53909-2023 karta.png", "A 53909-2023")</f>
        <v/>
      </c>
      <c r="Y28">
        <f>HYPERLINK("https://klasma.github.io/Logging_1446/kartor_geotiff/A 53909-2023 georefererad karta.tif", "A 53909-2023")</f>
        <v/>
      </c>
      <c r="AA28">
        <f>HYPERLINK("https://klasma.github.io/Logging_1446/klagomål/A 53909-2023 FSC-klagomål.docx", "A 53909-2023")</f>
        <v/>
      </c>
      <c r="AB28">
        <f>HYPERLINK("https://klasma.github.io/Logging_1446/klagomålsmail/A 53909-2023 FSC-klagomål mail.docx", "A 53909-2023")</f>
        <v/>
      </c>
      <c r="AC28">
        <f>HYPERLINK("https://klasma.github.io/Logging_1446/tillsyn/A 53909-2023 tillsynsbegäran.docx", "A 53909-2023")</f>
        <v/>
      </c>
      <c r="AD28">
        <f>HYPERLINK("https://klasma.github.io/Logging_1446/tillsynsmail/A 53909-2023 tillsynsbegäran mail.docx", "A 53909-2023")</f>
        <v/>
      </c>
    </row>
    <row r="29" ht="15" customHeight="1">
      <c r="A29" t="inlineStr">
        <is>
          <t>A 31801-2026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46230</v>
      </c>
      <c r="E29" s="1" t="n">
        <v>46291</v>
      </c>
      <c r="F29" t="inlineStr">
        <is>
          <t>VÄSTRA GÖTALANDS LÄN</t>
        </is>
      </c>
      <c r="G29" t="inlineStr">
        <is>
          <t>KARLSBORG</t>
        </is>
      </c>
      <c r="I29" t="n">
        <v>1.3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Knärot</t>
        </is>
      </c>
      <c r="W29">
        <f>HYPERLINK("https://klasma.github.io/Logging_1446/artfynd/A 31801-2026 artfynd.xlsx", "A 31801-2026")</f>
        <v/>
      </c>
      <c r="X29">
        <f>HYPERLINK("https://klasma.github.io/Logging_1446/kartor/A 31801-2026 karta.png", "A 31801-2026")</f>
        <v/>
      </c>
      <c r="Y29">
        <f>HYPERLINK("https://klasma.github.io/Logging_1446/kartor_geotiff/A 31801-2026 georefererad karta.tif", "A 31801-2026")</f>
        <v/>
      </c>
      <c r="Z29">
        <f>HYPERLINK("https://klasma.github.io/Logging_1446/knärot/A 31801-2026 karta knärot.png", "A 31801-2026")</f>
        <v/>
      </c>
      <c r="AA29">
        <f>HYPERLINK("https://klasma.github.io/Logging_1446/klagomål/A 31801-2026 FSC-klagomål.docx", "A 31801-2026")</f>
        <v/>
      </c>
      <c r="AB29">
        <f>HYPERLINK("https://klasma.github.io/Logging_1446/klagomålsmail/A 31801-2026 FSC-klagomål mail.docx", "A 31801-2026")</f>
        <v/>
      </c>
      <c r="AC29">
        <f>HYPERLINK("https://klasma.github.io/Logging_1446/tillsyn/A 31801-2026 tillsynsbegäran.docx", "A 31801-2026")</f>
        <v/>
      </c>
      <c r="AD29">
        <f>HYPERLINK("https://klasma.github.io/Logging_1446/tillsynsmail/A 31801-2026 tillsynsbegäran mail.docx", "A 31801-2026")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46291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46291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46291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46291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46291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46291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46291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44687</v>
      </c>
      <c r="E37" s="1" t="n">
        <v>46291</v>
      </c>
      <c r="F37" t="inlineStr">
        <is>
          <t>VÄSTRA GÖTALANDS LÄN</t>
        </is>
      </c>
      <c r="G37" t="inlineStr">
        <is>
          <t>KARLSBORG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46291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46291</v>
      </c>
      <c r="F39" t="inlineStr">
        <is>
          <t>VÄSTRA GÖTALANDS LÄN</t>
        </is>
      </c>
      <c r="G39" t="inlineStr">
        <is>
          <t>KARLSBORG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46291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59883-2021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46291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statliga verk och myndigheter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55831-2021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46291</v>
      </c>
      <c r="F42" t="inlineStr">
        <is>
          <t>VÄSTRA GÖTALANDS LÄN</t>
        </is>
      </c>
      <c r="G42" t="inlineStr">
        <is>
          <t>KARLSBORG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46291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25999-2023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45090</v>
      </c>
      <c r="E44" s="1" t="n">
        <v>46291</v>
      </c>
      <c r="F44" t="inlineStr">
        <is>
          <t>VÄSTRA GÖTALANDS LÄN</t>
        </is>
      </c>
      <c r="G44" t="inlineStr">
        <is>
          <t>KARLSBORG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26016-2023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45090</v>
      </c>
      <c r="E45" s="1" t="n">
        <v>46291</v>
      </c>
      <c r="F45" t="inlineStr">
        <is>
          <t>VÄSTRA GÖTALANDS LÄN</t>
        </is>
      </c>
      <c r="G45" t="inlineStr">
        <is>
          <t>KARLSBORG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14522-2024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45394</v>
      </c>
      <c r="E46" s="1" t="n">
        <v>46291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56541-2023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45243</v>
      </c>
      <c r="E47" s="1" t="n">
        <v>46291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53898-2023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45231</v>
      </c>
      <c r="E48" s="1" t="n">
        <v>46291</v>
      </c>
      <c r="F48" t="inlineStr">
        <is>
          <t>VÄSTRA GÖTALANDS LÄN</t>
        </is>
      </c>
      <c r="G48" t="inlineStr">
        <is>
          <t>KARLSBORG</t>
        </is>
      </c>
      <c r="I48" t="n">
        <v>9.5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8052-2023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44974</v>
      </c>
      <c r="E49" s="1" t="n">
        <v>46291</v>
      </c>
      <c r="F49" t="inlineStr">
        <is>
          <t>VÄSTRA GÖTALANDS LÄN</t>
        </is>
      </c>
      <c r="G49" t="inlineStr">
        <is>
          <t>KARLSBORG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58533-2023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45251</v>
      </c>
      <c r="E50" s="1" t="n">
        <v>46291</v>
      </c>
      <c r="F50" t="inlineStr">
        <is>
          <t>VÄSTRA GÖTALANDS LÄN</t>
        </is>
      </c>
      <c r="G50" t="inlineStr">
        <is>
          <t>KARLSBORG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8053-2023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46291</v>
      </c>
      <c r="F51" t="inlineStr">
        <is>
          <t>VÄSTRA GÖTALANDS LÄN</t>
        </is>
      </c>
      <c r="G51" t="inlineStr">
        <is>
          <t>KARLSBORG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3575-2025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45680</v>
      </c>
      <c r="E52" s="1" t="n">
        <v>46291</v>
      </c>
      <c r="F52" t="inlineStr">
        <is>
          <t>VÄSTRA GÖTALANDS LÄN</t>
        </is>
      </c>
      <c r="G52" t="inlineStr">
        <is>
          <t>KARLSBORG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38290-2025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46291</v>
      </c>
      <c r="F53" t="inlineStr">
        <is>
          <t>VÄSTRA GÖTALANDS LÄN</t>
        </is>
      </c>
      <c r="G53" t="inlineStr">
        <is>
          <t>KARLSBORG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26914-2024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45470</v>
      </c>
      <c r="E54" s="1" t="n">
        <v>46291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Övriga Aktiebolag</t>
        </is>
      </c>
      <c r="I54" t="n">
        <v>7.1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64011-2025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46021</v>
      </c>
      <c r="E55" s="1" t="n">
        <v>46291</v>
      </c>
      <c r="F55" t="inlineStr">
        <is>
          <t>VÄSTRA GÖTALANDS LÄN</t>
        </is>
      </c>
      <c r="G55" t="inlineStr">
        <is>
          <t>KARLSBORG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64012-2025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46021</v>
      </c>
      <c r="E56" s="1" t="n">
        <v>46291</v>
      </c>
      <c r="F56" t="inlineStr">
        <is>
          <t>VÄSTRA GÖTALANDS LÄN</t>
        </is>
      </c>
      <c r="G56" t="inlineStr">
        <is>
          <t>KARLSBORG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64025-2025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46021</v>
      </c>
      <c r="E57" s="1" t="n">
        <v>46291</v>
      </c>
      <c r="F57" t="inlineStr">
        <is>
          <t>VÄSTRA GÖTALANDS LÄN</t>
        </is>
      </c>
      <c r="G57" t="inlineStr">
        <is>
          <t>KARLSBORG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45527</v>
      </c>
      <c r="E58" s="1" t="n">
        <v>46291</v>
      </c>
      <c r="F58" t="inlineStr">
        <is>
          <t>VÄSTRA GÖTALANDS LÄN</t>
        </is>
      </c>
      <c r="G58" t="inlineStr">
        <is>
          <t>KARLSBORG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29357-2024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45483</v>
      </c>
      <c r="E59" s="1" t="n">
        <v>46291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45630</v>
      </c>
      <c r="E60" s="1" t="n">
        <v>46291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Övriga Aktiebolag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61542-2023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45265</v>
      </c>
      <c r="E61" s="1" t="n">
        <v>46291</v>
      </c>
      <c r="F61" t="inlineStr">
        <is>
          <t>VÄSTRA GÖTALANDS LÄN</t>
        </is>
      </c>
      <c r="G61" t="inlineStr">
        <is>
          <t>KARLSBORG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65313-2021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46291</v>
      </c>
      <c r="F62" t="inlineStr">
        <is>
          <t>VÄSTRA GÖTALANDS LÄN</t>
        </is>
      </c>
      <c r="G62" t="inlineStr">
        <is>
          <t>KARLSBORG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45176</v>
      </c>
      <c r="E63" s="1" t="n">
        <v>46291</v>
      </c>
      <c r="F63" t="inlineStr">
        <is>
          <t>VÄSTRA GÖTALANDS LÄN</t>
        </is>
      </c>
      <c r="G63" t="inlineStr">
        <is>
          <t>KARLSBORG</t>
        </is>
      </c>
      <c r="I63" t="n">
        <v>7.3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45548</v>
      </c>
      <c r="E64" s="1" t="n">
        <v>46291</v>
      </c>
      <c r="F64" t="inlineStr">
        <is>
          <t>VÄSTRA GÖTALANDS LÄN</t>
        </is>
      </c>
      <c r="G64" t="inlineStr">
        <is>
          <t>KARLSBORG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29490-2025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45824</v>
      </c>
      <c r="E65" s="1" t="n">
        <v>46291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Aktiebolag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28460-2023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45103</v>
      </c>
      <c r="E66" s="1" t="n">
        <v>46291</v>
      </c>
      <c r="F66" t="inlineStr">
        <is>
          <t>VÄSTRA GÖTALANDS LÄN</t>
        </is>
      </c>
      <c r="G66" t="inlineStr">
        <is>
          <t>KARLSBORG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58129-2024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45632</v>
      </c>
      <c r="E67" s="1" t="n">
        <v>46291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Sveaskog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61211-2022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44908</v>
      </c>
      <c r="E68" s="1" t="n">
        <v>46291</v>
      </c>
      <c r="F68" t="inlineStr">
        <is>
          <t>VÄSTRA GÖTALANDS LÄN</t>
        </is>
      </c>
      <c r="G68" t="inlineStr">
        <is>
          <t>KARLSBORG</t>
        </is>
      </c>
      <c r="I68" t="n">
        <v>8.1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46045</v>
      </c>
      <c r="E69" s="1" t="n">
        <v>46291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46045</v>
      </c>
      <c r="E70" s="1" t="n">
        <v>46291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Övriga Aktiebolag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46291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Övriga Aktiebolag</t>
        </is>
      </c>
      <c r="I71" t="n">
        <v>14.3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45899</v>
      </c>
      <c r="E72" s="1" t="n">
        <v>46291</v>
      </c>
      <c r="F72" t="inlineStr">
        <is>
          <t>VÄSTRA GÖTALANDS LÄN</t>
        </is>
      </c>
      <c r="G72" t="inlineStr">
        <is>
          <t>KARLSBORG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45589</v>
      </c>
      <c r="E73" s="1" t="n">
        <v>46291</v>
      </c>
      <c r="F73" t="inlineStr">
        <is>
          <t>VÄSTRA GÖTALANDS LÄN</t>
        </is>
      </c>
      <c r="G73" t="inlineStr">
        <is>
          <t>KARLSBORG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45908</v>
      </c>
      <c r="E74" s="1" t="n">
        <v>46291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Kyrkan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46052</v>
      </c>
      <c r="E75" s="1" t="n">
        <v>46291</v>
      </c>
      <c r="F75" t="inlineStr">
        <is>
          <t>VÄSTRA GÖTALANDS LÄN</t>
        </is>
      </c>
      <c r="G75" t="inlineStr">
        <is>
          <t>KARLSBORG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46055</v>
      </c>
      <c r="E76" s="1" t="n">
        <v>46291</v>
      </c>
      <c r="F76" t="inlineStr">
        <is>
          <t>VÄSTRA GÖTALANDS LÄN</t>
        </is>
      </c>
      <c r="G76" t="inlineStr">
        <is>
          <t>KARLSBORG</t>
        </is>
      </c>
      <c r="I76" t="n">
        <v>7.3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14703-2025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45742</v>
      </c>
      <c r="E77" s="1" t="n">
        <v>46291</v>
      </c>
      <c r="F77" t="inlineStr">
        <is>
          <t>VÄSTRA GÖTALANDS LÄN</t>
        </is>
      </c>
      <c r="G77" t="inlineStr">
        <is>
          <t>KARLSBORG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45916</v>
      </c>
      <c r="E78" s="1" t="n">
        <v>46291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Kyrkan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46010</v>
      </c>
      <c r="E79" s="1" t="n">
        <v>46291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Övriga statliga verk och myndigheter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46010</v>
      </c>
      <c r="E80" s="1" t="n">
        <v>46291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Övriga statliga verk och myndigheter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7644-2026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46062</v>
      </c>
      <c r="E81" s="1" t="n">
        <v>46291</v>
      </c>
      <c r="F81" t="inlineStr">
        <is>
          <t>VÄSTRA GÖTALANDS LÄN</t>
        </is>
      </c>
      <c r="G81" t="inlineStr">
        <is>
          <t>KARLSBORG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63731-2025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46010</v>
      </c>
      <c r="E82" s="1" t="n">
        <v>46291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statliga verk och myndigheter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63734-2025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46010</v>
      </c>
      <c r="E83" s="1" t="n">
        <v>46291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Övriga statliga verk och myndigheter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46291</v>
      </c>
      <c r="F84" t="inlineStr">
        <is>
          <t>VÄSTRA GÖTALANDS LÄN</t>
        </is>
      </c>
      <c r="G84" t="inlineStr">
        <is>
          <t>KARLSBORG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45247-2025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45919</v>
      </c>
      <c r="E85" s="1" t="n">
        <v>46291</v>
      </c>
      <c r="F85" t="inlineStr">
        <is>
          <t>VÄSTRA GÖTALANDS LÄN</t>
        </is>
      </c>
      <c r="G85" t="inlineStr">
        <is>
          <t>KARLSBORG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45256-2025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45919</v>
      </c>
      <c r="E86" s="1" t="n">
        <v>46291</v>
      </c>
      <c r="F86" t="inlineStr">
        <is>
          <t>VÄSTRA GÖTALANDS LÄN</t>
        </is>
      </c>
      <c r="G86" t="inlineStr">
        <is>
          <t>KARLSBORG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25982-2025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46291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Aktiebolag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9130-2026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46069</v>
      </c>
      <c r="E88" s="1" t="n">
        <v>46291</v>
      </c>
      <c r="F88" t="inlineStr">
        <is>
          <t>VÄSTRA GÖTALANDS LÄN</t>
        </is>
      </c>
      <c r="G88" t="inlineStr">
        <is>
          <t>KARLSBORG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45566</v>
      </c>
      <c r="E89" s="1" t="n">
        <v>46291</v>
      </c>
      <c r="F89" t="inlineStr">
        <is>
          <t>VÄSTRA GÖTALANDS LÄN</t>
        </is>
      </c>
      <c r="G89" t="inlineStr">
        <is>
          <t>KARLSBORG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42598-2024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45565</v>
      </c>
      <c r="E90" s="1" t="n">
        <v>46291</v>
      </c>
      <c r="F90" t="inlineStr">
        <is>
          <t>VÄSTRA GÖTALANDS LÄN</t>
        </is>
      </c>
      <c r="G90" t="inlineStr">
        <is>
          <t>KARLSBORG</t>
        </is>
      </c>
      <c r="I90" t="n">
        <v>8.9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13076-2023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45002</v>
      </c>
      <c r="E91" s="1" t="n">
        <v>46291</v>
      </c>
      <c r="F91" t="inlineStr">
        <is>
          <t>VÄSTRA GÖTALANDS LÄN</t>
        </is>
      </c>
      <c r="G91" t="inlineStr">
        <is>
          <t>KARLSBORG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47265-2025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46291</v>
      </c>
      <c r="F92" t="inlineStr">
        <is>
          <t>VÄSTRA GÖTALANDS LÄN</t>
        </is>
      </c>
      <c r="G92" t="inlineStr">
        <is>
          <t>KARLSBORG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10907-2026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46079</v>
      </c>
      <c r="E93" s="1" t="n">
        <v>46291</v>
      </c>
      <c r="F93" t="inlineStr">
        <is>
          <t>VÄSTRA GÖTALANDS LÄN</t>
        </is>
      </c>
      <c r="G93" t="inlineStr">
        <is>
          <t>KARLSBORG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47262-2025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46291</v>
      </c>
      <c r="F94" t="inlineStr">
        <is>
          <t>VÄSTRA GÖTALANDS LÄN</t>
        </is>
      </c>
      <c r="G94" t="inlineStr">
        <is>
          <t>KARLSBORG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44937</v>
      </c>
      <c r="E95" s="1" t="n">
        <v>46291</v>
      </c>
      <c r="F95" t="inlineStr">
        <is>
          <t>VÄSTRA GÖTALANDS LÄN</t>
        </is>
      </c>
      <c r="G95" t="inlineStr">
        <is>
          <t>KARLSBORG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45566</v>
      </c>
      <c r="E96" s="1" t="n">
        <v>46291</v>
      </c>
      <c r="F96" t="inlineStr">
        <is>
          <t>VÄSTRA GÖTALANDS LÄN</t>
        </is>
      </c>
      <c r="G96" t="inlineStr">
        <is>
          <t>KARLSBORG</t>
        </is>
      </c>
      <c r="I96" t="n">
        <v>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45575</v>
      </c>
      <c r="E97" s="1" t="n">
        <v>46291</v>
      </c>
      <c r="F97" t="inlineStr">
        <is>
          <t>VÄSTRA GÖTALANDS LÄN</t>
        </is>
      </c>
      <c r="G97" t="inlineStr">
        <is>
          <t>KARLSBORG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45933</v>
      </c>
      <c r="E98" s="1" t="n">
        <v>46291</v>
      </c>
      <c r="F98" t="inlineStr">
        <is>
          <t>VÄSTRA GÖTALANDS LÄN</t>
        </is>
      </c>
      <c r="G98" t="inlineStr">
        <is>
          <t>KARLSBORG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45707</v>
      </c>
      <c r="E99" s="1" t="n">
        <v>46291</v>
      </c>
      <c r="F99" t="inlineStr">
        <is>
          <t>VÄSTRA GÖTALANDS LÄN</t>
        </is>
      </c>
      <c r="G99" t="inlineStr">
        <is>
          <t>KARLSBORG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44906</v>
      </c>
      <c r="E100" s="1" t="n">
        <v>46291</v>
      </c>
      <c r="F100" t="inlineStr">
        <is>
          <t>VÄSTRA GÖTALANDS LÄN</t>
        </is>
      </c>
      <c r="G100" t="inlineStr">
        <is>
          <t>KARLSBORG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48888-2023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45209</v>
      </c>
      <c r="E101" s="1" t="n">
        <v>46291</v>
      </c>
      <c r="F101" t="inlineStr">
        <is>
          <t>VÄSTRA GÖTALANDS LÄN</t>
        </is>
      </c>
      <c r="G101" t="inlineStr">
        <is>
          <t>KARLSBORG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49866-2025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45940</v>
      </c>
      <c r="E102" s="1" t="n">
        <v>46291</v>
      </c>
      <c r="F102" t="inlineStr">
        <is>
          <t>VÄSTRA GÖTALANDS LÄN</t>
        </is>
      </c>
      <c r="G102" t="inlineStr">
        <is>
          <t>KARLSBORG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45942</v>
      </c>
      <c r="E103" s="1" t="n">
        <v>46291</v>
      </c>
      <c r="F103" t="inlineStr">
        <is>
          <t>VÄSTRA GÖTALANDS LÄN</t>
        </is>
      </c>
      <c r="G103" t="inlineStr">
        <is>
          <t>KARLSBORG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48174-2024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45589</v>
      </c>
      <c r="E104" s="1" t="n">
        <v>46291</v>
      </c>
      <c r="F104" t="inlineStr">
        <is>
          <t>VÄSTRA GÖTALANDS LÄN</t>
        </is>
      </c>
      <c r="G104" t="inlineStr">
        <is>
          <t>KARLSBORG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34314-2024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45524</v>
      </c>
      <c r="E105" s="1" t="n">
        <v>46291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Aktiebolag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412-2023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44929</v>
      </c>
      <c r="E106" s="1" t="n">
        <v>46291</v>
      </c>
      <c r="F106" t="inlineStr">
        <is>
          <t>VÄSTRA GÖTALANDS LÄN</t>
        </is>
      </c>
      <c r="G106" t="inlineStr">
        <is>
          <t>KARLSBORG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  <c r="X106">
        <f>HYPERLINK("https://klasma.github.io/Logging_1446/kartor/A 412-2023 karta.png", "A 412-2023")</f>
        <v/>
      </c>
      <c r="Y106">
        <f>HYPERLINK("https://klasma.github.io/Logging_1446/kartor_geotiff/A 412-2023 georefererad karta.tif", "A 412-2023")</f>
        <v/>
      </c>
      <c r="AA106">
        <f>HYPERLINK("https://klasma.github.io/Logging_1446/klagomål/A 412-2023 FSC-klagomål.docx", "A 412-2023")</f>
        <v/>
      </c>
      <c r="AB106">
        <f>HYPERLINK("https://klasma.github.io/Logging_1446/klagomålsmail/A 412-2023 FSC-klagomål mail.docx", "A 412-2023")</f>
        <v/>
      </c>
      <c r="AC106">
        <f>HYPERLINK("https://klasma.github.io/Logging_1446/tillsyn/A 412-2023 tillsynsbegäran.docx", "A 412-2023")</f>
        <v/>
      </c>
      <c r="AD106">
        <f>HYPERLINK("https://klasma.github.io/Logging_1446/tillsynsmail/A 412-2023 tillsynsbegäran mail.docx", "A 412-2023")</f>
        <v/>
      </c>
    </row>
    <row r="107" ht="15" customHeight="1">
      <c r="A107" t="inlineStr">
        <is>
          <t>A 10828-2024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45369</v>
      </c>
      <c r="E107" s="1" t="n">
        <v>46291</v>
      </c>
      <c r="F107" t="inlineStr">
        <is>
          <t>VÄSTRA GÖTALANDS LÄN</t>
        </is>
      </c>
      <c r="G107" t="inlineStr">
        <is>
          <t>KARLSBORG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45614</v>
      </c>
      <c r="E108" s="1" t="n">
        <v>46291</v>
      </c>
      <c r="F108" t="inlineStr">
        <is>
          <t>VÄSTRA GÖTALANDS LÄN</t>
        </is>
      </c>
      <c r="G108" t="inlineStr">
        <is>
          <t>KARLSBORG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18564-2026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46127</v>
      </c>
      <c r="E109" s="1" t="n">
        <v>46291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Sveaskog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56110-2025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46291</v>
      </c>
      <c r="F110" t="inlineStr">
        <is>
          <t>VÄSTRA GÖTALANDS LÄN</t>
        </is>
      </c>
      <c r="G110" t="inlineStr">
        <is>
          <t>KARLSBORG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57581-2025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45980</v>
      </c>
      <c r="E111" s="1" t="n">
        <v>46291</v>
      </c>
      <c r="F111" t="inlineStr">
        <is>
          <t>VÄSTRA GÖTALANDS LÄN</t>
        </is>
      </c>
      <c r="G111" t="inlineStr">
        <is>
          <t>KARLSBORG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59845-2023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45257</v>
      </c>
      <c r="E112" s="1" t="n">
        <v>46291</v>
      </c>
      <c r="F112" t="inlineStr">
        <is>
          <t>VÄSTRA GÖTALANDS LÄN</t>
        </is>
      </c>
      <c r="G112" t="inlineStr">
        <is>
          <t>KARLSBORG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13077-2023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45002</v>
      </c>
      <c r="E113" s="1" t="n">
        <v>46291</v>
      </c>
      <c r="F113" t="inlineStr">
        <is>
          <t>VÄSTRA GÖTALANDS LÄN</t>
        </is>
      </c>
      <c r="G113" t="inlineStr">
        <is>
          <t>KARLSBORG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58152-2022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44900</v>
      </c>
      <c r="E114" s="1" t="n">
        <v>46291</v>
      </c>
      <c r="F114" t="inlineStr">
        <is>
          <t>VÄSTRA GÖTALANDS LÄN</t>
        </is>
      </c>
      <c r="G114" t="inlineStr">
        <is>
          <t>KARLSBORG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29685-2022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44755</v>
      </c>
      <c r="E115" s="1" t="n">
        <v>46291</v>
      </c>
      <c r="F115" t="inlineStr">
        <is>
          <t>VÄSTRA GÖTALANDS LÄN</t>
        </is>
      </c>
      <c r="G115" t="inlineStr">
        <is>
          <t>KARLSBORG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45988</v>
      </c>
      <c r="E116" s="1" t="n">
        <v>46291</v>
      </c>
      <c r="F116" t="inlineStr">
        <is>
          <t>VÄSTRA GÖTALANDS LÄN</t>
        </is>
      </c>
      <c r="G116" t="inlineStr">
        <is>
          <t>KARLSBORG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24594-2022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44727</v>
      </c>
      <c r="E117" s="1" t="n">
        <v>46291</v>
      </c>
      <c r="F117" t="inlineStr">
        <is>
          <t>VÄSTRA GÖTALANDS LÄN</t>
        </is>
      </c>
      <c r="G117" t="inlineStr">
        <is>
          <t>KARLSBORG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59697-2025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45992</v>
      </c>
      <c r="E118" s="1" t="n">
        <v>46291</v>
      </c>
      <c r="F118" t="inlineStr">
        <is>
          <t>VÄSTRA GÖTALANDS LÄN</t>
        </is>
      </c>
      <c r="G118" t="inlineStr">
        <is>
          <t>KARLSBORG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48385-2025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45933</v>
      </c>
      <c r="E119" s="1" t="n">
        <v>46291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9.4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40128-2023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45169</v>
      </c>
      <c r="E120" s="1" t="n">
        <v>46291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Aktiebolag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46291</v>
      </c>
      <c r="F121" t="inlineStr">
        <is>
          <t>VÄSTRA GÖTALANDS LÄN</t>
        </is>
      </c>
      <c r="G121" t="inlineStr">
        <is>
          <t>KARLSBORG</t>
        </is>
      </c>
      <c r="I121" t="n">
        <v>8.300000000000001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62068-2025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46006</v>
      </c>
      <c r="E122" s="1" t="n">
        <v>46291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Sveaskog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62072-2025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46291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45755</v>
      </c>
      <c r="E124" s="1" t="n">
        <v>46291</v>
      </c>
      <c r="F124" t="inlineStr">
        <is>
          <t>VÄSTRA GÖTALANDS LÄN</t>
        </is>
      </c>
      <c r="G124" t="inlineStr">
        <is>
          <t>KARLSBORG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45229</v>
      </c>
      <c r="E125" s="1" t="n">
        <v>46291</v>
      </c>
      <c r="F125" t="inlineStr">
        <is>
          <t>VÄSTRA GÖTALANDS LÄN</t>
        </is>
      </c>
      <c r="G125" t="inlineStr">
        <is>
          <t>KARLSBORG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33122-2022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44785</v>
      </c>
      <c r="E126" s="1" t="n">
        <v>46291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Sveaskog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35441-2024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45531</v>
      </c>
      <c r="E127" s="1" t="n">
        <v>46291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9.800000000000001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20940-2026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46142</v>
      </c>
      <c r="E128" s="1" t="n">
        <v>46291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Sveaskog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58573-2023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46291</v>
      </c>
      <c r="F129" t="inlineStr">
        <is>
          <t>VÄSTRA GÖTALANDS LÄN</t>
        </is>
      </c>
      <c r="G129" t="inlineStr">
        <is>
          <t>KARLSBORG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70945-2021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44538</v>
      </c>
      <c r="E130" s="1" t="n">
        <v>46291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Övriga Aktiebolag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21014-2026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46143</v>
      </c>
      <c r="E131" s="1" t="n">
        <v>46291</v>
      </c>
      <c r="F131" t="inlineStr">
        <is>
          <t>VÄSTRA GÖTALANDS LÄN</t>
        </is>
      </c>
      <c r="G131" t="inlineStr">
        <is>
          <t>KARLSBORG</t>
        </is>
      </c>
      <c r="I131" t="n">
        <v>14.6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42710-2024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45566</v>
      </c>
      <c r="E132" s="1" t="n">
        <v>46291</v>
      </c>
      <c r="F132" t="inlineStr">
        <is>
          <t>VÄSTRA GÖTALANDS LÄN</t>
        </is>
      </c>
      <c r="G132" t="inlineStr">
        <is>
          <t>KARLSBORG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25696-2023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45089</v>
      </c>
      <c r="E133" s="1" t="n">
        <v>46291</v>
      </c>
      <c r="F133" t="inlineStr">
        <is>
          <t>VÄSTRA GÖTALANDS LÄN</t>
        </is>
      </c>
      <c r="G133" t="inlineStr">
        <is>
          <t>KARLSBORG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21988-2026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46153</v>
      </c>
      <c r="E134" s="1" t="n">
        <v>46291</v>
      </c>
      <c r="F134" t="inlineStr">
        <is>
          <t>VÄSTRA GÖTALANDS LÄN</t>
        </is>
      </c>
      <c r="G134" t="inlineStr">
        <is>
          <t>KARLSBORG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45834</v>
      </c>
      <c r="E135" s="1" t="n">
        <v>46291</v>
      </c>
      <c r="F135" t="inlineStr">
        <is>
          <t>VÄSTRA GÖTALANDS LÄN</t>
        </is>
      </c>
      <c r="G135" t="inlineStr">
        <is>
          <t>KARLSBORG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31701-2025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45834</v>
      </c>
      <c r="E136" s="1" t="n">
        <v>46291</v>
      </c>
      <c r="F136" t="inlineStr">
        <is>
          <t>VÄSTRA GÖTALANDS LÄN</t>
        </is>
      </c>
      <c r="G136" t="inlineStr">
        <is>
          <t>KARLSBORG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39699-2025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45890</v>
      </c>
      <c r="E137" s="1" t="n">
        <v>46291</v>
      </c>
      <c r="F137" t="inlineStr">
        <is>
          <t>VÄSTRA GÖTALANDS LÄN</t>
        </is>
      </c>
      <c r="G137" t="inlineStr">
        <is>
          <t>KARLSBORG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44944</v>
      </c>
      <c r="E138" s="1" t="n">
        <v>46291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Övriga Aktiebolag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32128-2025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45835</v>
      </c>
      <c r="E139" s="1" t="n">
        <v>46291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27823-2023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45098</v>
      </c>
      <c r="E140" s="1" t="n">
        <v>46291</v>
      </c>
      <c r="F140" t="inlineStr">
        <is>
          <t>VÄSTRA GÖTALANDS LÄN</t>
        </is>
      </c>
      <c r="G140" t="inlineStr">
        <is>
          <t>KARLSBORG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40129-2023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45169</v>
      </c>
      <c r="E141" s="1" t="n">
        <v>46291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Aktiebolag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45394</v>
      </c>
      <c r="E142" s="1" t="n">
        <v>46291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24008-2023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45078</v>
      </c>
      <c r="E143" s="1" t="n">
        <v>46291</v>
      </c>
      <c r="F143" t="inlineStr">
        <is>
          <t>VÄSTRA GÖTALANDS LÄN</t>
        </is>
      </c>
      <c r="G143" t="inlineStr">
        <is>
          <t>KARLSBORG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70783-2021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44537</v>
      </c>
      <c r="E144" s="1" t="n">
        <v>46291</v>
      </c>
      <c r="F144" t="inlineStr">
        <is>
          <t>VÄSTRA GÖTALANDS LÄN</t>
        </is>
      </c>
      <c r="G144" t="inlineStr">
        <is>
          <t>KARLSBORG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44944</v>
      </c>
      <c r="E145" s="1" t="n">
        <v>46291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Aktiebolag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45716</v>
      </c>
      <c r="E146" s="1" t="n">
        <v>46291</v>
      </c>
      <c r="F146" t="inlineStr">
        <is>
          <t>VÄSTRA GÖTALANDS LÄN</t>
        </is>
      </c>
      <c r="G146" t="inlineStr">
        <is>
          <t>KARLSBORG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61559-2023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45265</v>
      </c>
      <c r="E147" s="1" t="n">
        <v>46291</v>
      </c>
      <c r="F147" t="inlineStr">
        <is>
          <t>VÄSTRA GÖTALANDS LÄN</t>
        </is>
      </c>
      <c r="G147" t="inlineStr">
        <is>
          <t>KARLSBORG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24541-2026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46170</v>
      </c>
      <c r="E148" s="1" t="n">
        <v>46291</v>
      </c>
      <c r="F148" t="inlineStr">
        <is>
          <t>VÄSTRA GÖTALANDS LÄN</t>
        </is>
      </c>
      <c r="G148" t="inlineStr">
        <is>
          <t>KARLSBORG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45019-2024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45575</v>
      </c>
      <c r="E149" s="1" t="n">
        <v>46291</v>
      </c>
      <c r="F149" t="inlineStr">
        <is>
          <t>VÄSTRA GÖTALANDS LÄN</t>
        </is>
      </c>
      <c r="G149" t="inlineStr">
        <is>
          <t>KARLSBORG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35930-2025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45862</v>
      </c>
      <c r="E150" s="1" t="n">
        <v>46291</v>
      </c>
      <c r="F150" t="inlineStr">
        <is>
          <t>VÄSTRA GÖTALANDS LÄN</t>
        </is>
      </c>
      <c r="G150" t="inlineStr">
        <is>
          <t>KARLSBORG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34120-2024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45524</v>
      </c>
      <c r="E151" s="1" t="n">
        <v>46291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Aktiebolag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45524</v>
      </c>
      <c r="E152" s="1" t="n">
        <v>46291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Aktiebolag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34125-2024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45524</v>
      </c>
      <c r="E153" s="1" t="n">
        <v>46291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Aktiebolag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25977-2026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46181</v>
      </c>
      <c r="E154" s="1" t="n">
        <v>46291</v>
      </c>
      <c r="F154" t="inlineStr">
        <is>
          <t>VÄSTRA GÖTALANDS LÄN</t>
        </is>
      </c>
      <c r="G154" t="inlineStr">
        <is>
          <t>KARLSBORG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59887-2021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44494</v>
      </c>
      <c r="E155" s="1" t="n">
        <v>46291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statliga verk och myndigheter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59890-2021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46291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Övriga statliga verk och myndigheter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10007-2025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45719</v>
      </c>
      <c r="E157" s="1" t="n">
        <v>46291</v>
      </c>
      <c r="F157" t="inlineStr">
        <is>
          <t>VÄSTRA GÖTALANDS LÄN</t>
        </is>
      </c>
      <c r="G157" t="inlineStr">
        <is>
          <t>KARLSBORG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46188</v>
      </c>
      <c r="E158" s="1" t="n">
        <v>46291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27332-2026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46188</v>
      </c>
      <c r="E159" s="1" t="n">
        <v>46291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12.6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27349-2026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46188</v>
      </c>
      <c r="E160" s="1" t="n">
        <v>46291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Sveaskog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69341-2021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44531</v>
      </c>
      <c r="E161" s="1" t="n">
        <v>46291</v>
      </c>
      <c r="F161" t="inlineStr">
        <is>
          <t>VÄSTRA GÖTALANDS LÄN</t>
        </is>
      </c>
      <c r="G161" t="inlineStr">
        <is>
          <t>KARLSBORG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57913-2024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45631</v>
      </c>
      <c r="E162" s="1" t="n">
        <v>46291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45742</v>
      </c>
      <c r="E163" s="1" t="n">
        <v>46291</v>
      </c>
      <c r="F163" t="inlineStr">
        <is>
          <t>VÄSTRA GÖTALANDS LÄN</t>
        </is>
      </c>
      <c r="G163" t="inlineStr">
        <is>
          <t>KARLSBORG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23500-2023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45076</v>
      </c>
      <c r="E164" s="1" t="n">
        <v>46291</v>
      </c>
      <c r="F164" t="inlineStr">
        <is>
          <t>VÄSTRA GÖTALANDS LÄN</t>
        </is>
      </c>
      <c r="G164" t="inlineStr">
        <is>
          <t>KARLSBORG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45561</v>
      </c>
      <c r="E165" s="1" t="n">
        <v>46291</v>
      </c>
      <c r="F165" t="inlineStr">
        <is>
          <t>VÄSTRA GÖTALANDS LÄN</t>
        </is>
      </c>
      <c r="G165" t="inlineStr">
        <is>
          <t>KARLSBORG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45233</v>
      </c>
      <c r="E166" s="1" t="n">
        <v>46291</v>
      </c>
      <c r="F166" t="inlineStr">
        <is>
          <t>VÄSTRA GÖTALANDS LÄN</t>
        </is>
      </c>
      <c r="G166" t="inlineStr">
        <is>
          <t>KARLSBORG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50985-2023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45218</v>
      </c>
      <c r="E167" s="1" t="n">
        <v>46291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30262-2026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46206</v>
      </c>
      <c r="E168" s="1" t="n">
        <v>46291</v>
      </c>
      <c r="F168" t="inlineStr">
        <is>
          <t>VÄSTRA GÖTALANDS LÄN</t>
        </is>
      </c>
      <c r="G168" t="inlineStr">
        <is>
          <t>KARLSBORG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22890-2026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46160</v>
      </c>
      <c r="E169" s="1" t="n">
        <v>46291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30610-2026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46210</v>
      </c>
      <c r="E170" s="1" t="n">
        <v>46291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30609-2026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46210</v>
      </c>
      <c r="E171" s="1" t="n">
        <v>46291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35151-2026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46260</v>
      </c>
      <c r="E172" s="1" t="n">
        <v>46291</v>
      </c>
      <c r="F172" t="inlineStr">
        <is>
          <t>VÄSTRA GÖTALANDS LÄN</t>
        </is>
      </c>
      <c r="G172" t="inlineStr">
        <is>
          <t>KARLSBORG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56545-2023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46291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44577-2023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45183</v>
      </c>
      <c r="E174" s="1" t="n">
        <v>46291</v>
      </c>
      <c r="F174" t="inlineStr">
        <is>
          <t>VÄSTRA GÖTALANDS LÄN</t>
        </is>
      </c>
      <c r="G174" t="inlineStr">
        <is>
          <t>KARLSBORG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45720</v>
      </c>
      <c r="E175" s="1" t="n">
        <v>46291</v>
      </c>
      <c r="F175" t="inlineStr">
        <is>
          <t>VÄSTRA GÖTALANDS LÄN</t>
        </is>
      </c>
      <c r="G175" t="inlineStr">
        <is>
          <t>KARLSBORG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59047-2023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45252</v>
      </c>
      <c r="E176" s="1" t="n">
        <v>46291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Övriga Aktiebolag</t>
        </is>
      </c>
      <c r="I176" t="n">
        <v>7.4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44809</v>
      </c>
      <c r="E177" s="1" t="n">
        <v>46291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31798-2026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46230</v>
      </c>
      <c r="E178" s="1" t="n">
        <v>46291</v>
      </c>
      <c r="F178" t="inlineStr">
        <is>
          <t>VÄSTRA GÖTALANDS LÄN</t>
        </is>
      </c>
      <c r="G178" t="inlineStr">
        <is>
          <t>KARLSBORG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27906-2026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46191</v>
      </c>
      <c r="E179" s="1" t="n">
        <v>46291</v>
      </c>
      <c r="F179" t="inlineStr">
        <is>
          <t>VÄSTRA GÖTALANDS LÄN</t>
        </is>
      </c>
      <c r="G179" t="inlineStr">
        <is>
          <t>KARLSBORG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42825-2024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45566</v>
      </c>
      <c r="E180" s="1" t="n">
        <v>46291</v>
      </c>
      <c r="F180" t="inlineStr">
        <is>
          <t>VÄSTRA GÖTALANDS LÄN</t>
        </is>
      </c>
      <c r="G180" t="inlineStr">
        <is>
          <t>KARLSBORG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46276</v>
      </c>
      <c r="E181" s="1" t="n">
        <v>46291</v>
      </c>
      <c r="F181" t="inlineStr">
        <is>
          <t>VÄSTRA GÖTALANDS LÄN</t>
        </is>
      </c>
      <c r="G181" t="inlineStr">
        <is>
          <t>KARLSBORG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59045-2023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46291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Övriga Aktiebolag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57235-2022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46291</v>
      </c>
      <c r="F183" t="inlineStr">
        <is>
          <t>VÄSTRA GÖTALANDS LÄN</t>
        </is>
      </c>
      <c r="G183" t="inlineStr">
        <is>
          <t>KARLSBORG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59404-2022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44906</v>
      </c>
      <c r="E184" s="1" t="n">
        <v>46291</v>
      </c>
      <c r="F184" t="inlineStr">
        <is>
          <t>VÄSTRA GÖTALANDS LÄN</t>
        </is>
      </c>
      <c r="G184" t="inlineStr">
        <is>
          <t>KARLSBORG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62304-2021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46291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15958-2022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44664</v>
      </c>
      <c r="E186" s="1" t="n">
        <v>46291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Övriga Aktiebolag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15396-2024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45401</v>
      </c>
      <c r="E187" s="1" t="n">
        <v>46291</v>
      </c>
      <c r="F187" t="inlineStr">
        <is>
          <t>VÄSTRA GÖTALANDS LÄN</t>
        </is>
      </c>
      <c r="G187" t="inlineStr">
        <is>
          <t>KARLSBORG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30136-2024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45489</v>
      </c>
      <c r="E188" s="1" t="n">
        <v>46291</v>
      </c>
      <c r="F188" t="inlineStr">
        <is>
          <t>VÄSTRA GÖTALANDS LÄN</t>
        </is>
      </c>
      <c r="G188" t="inlineStr">
        <is>
          <t>KARLSBORG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59877-2021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46291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Övriga statliga verk och myndigheter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39394-2026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46288</v>
      </c>
      <c r="E190" s="1" t="n">
        <v>46291</v>
      </c>
      <c r="F190" t="inlineStr">
        <is>
          <t>VÄSTRA GÖTALANDS LÄN</t>
        </is>
      </c>
      <c r="G190" t="inlineStr">
        <is>
          <t>KARLSBORG</t>
        </is>
      </c>
      <c r="I190" t="n">
        <v>7.3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20564-2024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45436</v>
      </c>
      <c r="E191" s="1" t="n">
        <v>46291</v>
      </c>
      <c r="F191" t="inlineStr">
        <is>
          <t>VÄSTRA GÖTALANDS LÄN</t>
        </is>
      </c>
      <c r="G191" t="inlineStr">
        <is>
          <t>KARLSBORG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2100-2023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44939</v>
      </c>
      <c r="E192" s="1" t="n">
        <v>46291</v>
      </c>
      <c r="F192" t="inlineStr">
        <is>
          <t>VÄSTRA GÖTALANDS LÄN</t>
        </is>
      </c>
      <c r="G192" t="inlineStr">
        <is>
          <t>KARLSBORG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24725-2026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46171</v>
      </c>
      <c r="E193" s="1" t="n">
        <v>46291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25697-2023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45089</v>
      </c>
      <c r="E194" s="1" t="n">
        <v>46291</v>
      </c>
      <c r="F194" t="inlineStr">
        <is>
          <t>VÄSTRA GÖTALANDS LÄN</t>
        </is>
      </c>
      <c r="G194" t="inlineStr">
        <is>
          <t>KARLSBORG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26017-2023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45090</v>
      </c>
      <c r="E195" s="1" t="n">
        <v>46291</v>
      </c>
      <c r="F195" t="inlineStr">
        <is>
          <t>VÄSTRA GÖTALANDS LÄN</t>
        </is>
      </c>
      <c r="G195" t="inlineStr">
        <is>
          <t>KARLSBORG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18623-2022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44687</v>
      </c>
      <c r="E196" s="1" t="n">
        <v>46291</v>
      </c>
      <c r="F196" t="inlineStr">
        <is>
          <t>VÄSTRA GÖTALANDS LÄN</t>
        </is>
      </c>
      <c r="G196" t="inlineStr">
        <is>
          <t>KARLSBORG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59399-2022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44906</v>
      </c>
      <c r="E197" s="1" t="n">
        <v>46291</v>
      </c>
      <c r="F197" t="inlineStr">
        <is>
          <t>VÄSTRA GÖTALANDS LÄN</t>
        </is>
      </c>
      <c r="G197" t="inlineStr">
        <is>
          <t>KARLSBORG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37363-2022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44809</v>
      </c>
      <c r="E198" s="1" t="n">
        <v>46291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44972</v>
      </c>
      <c r="E199" s="1" t="n">
        <v>46291</v>
      </c>
      <c r="F199" t="inlineStr">
        <is>
          <t>VÄSTRA GÖTALANDS LÄN</t>
        </is>
      </c>
      <c r="G199" t="inlineStr">
        <is>
          <t>KARLSBORG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39285-2023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45166</v>
      </c>
      <c r="E200" s="1" t="n">
        <v>46291</v>
      </c>
      <c r="F200" t="inlineStr">
        <is>
          <t>VÄSTRA GÖTALANDS LÄN</t>
        </is>
      </c>
      <c r="G200" t="inlineStr">
        <is>
          <t>KARLSBORG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39287-2023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45166</v>
      </c>
      <c r="E201" s="1" t="n">
        <v>46291</v>
      </c>
      <c r="F201" t="inlineStr">
        <is>
          <t>VÄSTRA GÖTALANDS LÄN</t>
        </is>
      </c>
      <c r="G201" t="inlineStr">
        <is>
          <t>KARLSBORG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14514-2024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45394</v>
      </c>
      <c r="E202" s="1" t="n">
        <v>46291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34670-2022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44795</v>
      </c>
      <c r="E203" s="1" t="n">
        <v>46291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58127-2024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45632</v>
      </c>
      <c r="E204" s="1" t="n">
        <v>46291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Sveaskog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15220-2023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45019</v>
      </c>
      <c r="E205" s="1" t="n">
        <v>46291</v>
      </c>
      <c r="F205" t="inlineStr">
        <is>
          <t>VÄSTRA GÖTALANDS LÄN</t>
        </is>
      </c>
      <c r="G205" t="inlineStr">
        <is>
          <t>KARLSBORG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44944</v>
      </c>
      <c r="E206" s="1" t="n">
        <v>46291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Övriga Aktiebolag</t>
        </is>
      </c>
      <c r="I206" t="n">
        <v>8.5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57454-2024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45630</v>
      </c>
      <c r="E207" s="1" t="n">
        <v>46291</v>
      </c>
      <c r="F207" t="inlineStr">
        <is>
          <t>VÄSTRA GÖTALANDS LÄN</t>
        </is>
      </c>
      <c r="G207" t="inlineStr">
        <is>
          <t>KARLSBORG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45209</v>
      </c>
      <c r="E208" s="1" t="n">
        <v>46291</v>
      </c>
      <c r="F208" t="inlineStr">
        <is>
          <t>VÄSTRA GÖTALANDS LÄN</t>
        </is>
      </c>
      <c r="G208" t="inlineStr">
        <is>
          <t>KARLSBORG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45243</v>
      </c>
      <c r="E209" s="1" t="n">
        <v>46291</v>
      </c>
      <c r="F209" t="inlineStr">
        <is>
          <t>VÄSTRA GÖTALANDS LÄN</t>
        </is>
      </c>
      <c r="G209" t="inlineStr">
        <is>
          <t>KARLSBORG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51111-2024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45603</v>
      </c>
      <c r="E210" s="1" t="n">
        <v>46291</v>
      </c>
      <c r="F210" t="inlineStr">
        <is>
          <t>VÄSTRA GÖTALANDS LÄN</t>
        </is>
      </c>
      <c r="G210" t="inlineStr">
        <is>
          <t>KARLSBORG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38073-2023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45160</v>
      </c>
      <c r="E211" s="1" t="n">
        <v>46291</v>
      </c>
      <c r="F211" t="inlineStr">
        <is>
          <t>VÄSTRA GÖTALANDS LÄN</t>
        </is>
      </c>
      <c r="G211" t="inlineStr">
        <is>
          <t>KARLSBORG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45478</v>
      </c>
      <c r="E212" s="1" t="n">
        <v>46291</v>
      </c>
      <c r="F212" t="inlineStr">
        <is>
          <t>VÄSTRA GÖTALANDS LÄN</t>
        </is>
      </c>
      <c r="G212" t="inlineStr">
        <is>
          <t>KARLSBORG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13252-2024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45386</v>
      </c>
      <c r="E213" s="1" t="n">
        <v>46291</v>
      </c>
      <c r="F213" t="inlineStr">
        <is>
          <t>VÄSTRA GÖTALANDS LÄN</t>
        </is>
      </c>
      <c r="G213" t="inlineStr">
        <is>
          <t>KARLSBORG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41943-2024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45561</v>
      </c>
      <c r="E214" s="1" t="n">
        <v>46291</v>
      </c>
      <c r="F214" t="inlineStr">
        <is>
          <t>VÄSTRA GÖTALANDS LÄN</t>
        </is>
      </c>
      <c r="G214" t="inlineStr">
        <is>
          <t>KARLSBORG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7977-2025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45707</v>
      </c>
      <c r="E215" s="1" t="n">
        <v>46291</v>
      </c>
      <c r="F215" t="inlineStr">
        <is>
          <t>VÄSTRA GÖTALANDS LÄN</t>
        </is>
      </c>
      <c r="G215" t="inlineStr">
        <is>
          <t>KARLSBORG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57915-2024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45631</v>
      </c>
      <c r="E216" s="1" t="n">
        <v>46291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53898-2021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44469</v>
      </c>
      <c r="E217" s="1" t="n">
        <v>46291</v>
      </c>
      <c r="F217" t="inlineStr">
        <is>
          <t>VÄSTRA GÖTALANDS LÄN</t>
        </is>
      </c>
      <c r="G217" t="inlineStr">
        <is>
          <t>KARLSBORG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54416-2024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45617</v>
      </c>
      <c r="E218" s="1" t="n">
        <v>46291</v>
      </c>
      <c r="F218" t="inlineStr">
        <is>
          <t>VÄSTRA GÖTALANDS LÄN</t>
        </is>
      </c>
      <c r="G218" t="inlineStr">
        <is>
          <t>KARLSBORG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22435-2025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45786</v>
      </c>
      <c r="E219" s="1" t="n">
        <v>46291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Sveaskog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45789</v>
      </c>
      <c r="E220" s="1" t="n">
        <v>46291</v>
      </c>
      <c r="F220" t="inlineStr">
        <is>
          <t>VÄSTRA GÖTALANDS LÄN</t>
        </is>
      </c>
      <c r="G220" t="inlineStr">
        <is>
          <t>KARLSBORG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10667-2025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45721</v>
      </c>
      <c r="E221" s="1" t="n">
        <v>46291</v>
      </c>
      <c r="F221" t="inlineStr">
        <is>
          <t>VÄSTRA GÖTALANDS LÄN</t>
        </is>
      </c>
      <c r="G221" t="inlineStr">
        <is>
          <t>KARLSBORG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46291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46291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2026-09-26T02:04:43Z</dcterms:created>
  <dcterms:modified xmlns:dcterms="http://purl.org/dc/terms/" xmlns:xsi="http://www.w3.org/2001/XMLSchema-instance" xsi:type="dcterms:W3CDTF">2026-09-26T02:04:43Z</dcterms:modified>
</cp:coreProperties>
</file>