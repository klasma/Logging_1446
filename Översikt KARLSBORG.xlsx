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46234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46234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46234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46234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46234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46234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46234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46234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46234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46234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46234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46234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46234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46234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46234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46234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46234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18567-2026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46234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2.6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18567-2026 artfynd.xlsx", "A 18567-2026")</f>
        <v/>
      </c>
      <c r="X23">
        <f>HYPERLINK("https://klasma.github.io/Logging_1446/kartor/A 18567-2026 karta.png", "A 18567-2026")</f>
        <v/>
      </c>
      <c r="Y23">
        <f>HYPERLINK("https://klasma.github.io/Logging_1446/kartor_geotiff/A 18567-2026 georefererad karta.tif", "A 18567-2026")</f>
        <v/>
      </c>
      <c r="AA23">
        <f>HYPERLINK("https://klasma.github.io/Logging_1446/klagomål/A 18567-2026 FSC-klagomål.docx", "A 18567-2026")</f>
        <v/>
      </c>
      <c r="AB23">
        <f>HYPERLINK("https://klasma.github.io/Logging_1446/klagomålsmail/A 18567-2026 FSC-klagomål mail.docx", "A 18567-2026")</f>
        <v/>
      </c>
      <c r="AC23">
        <f>HYPERLINK("https://klasma.github.io/Logging_1446/tillsyn/A 18567-2026 tillsynsbegäran.docx", "A 18567-2026")</f>
        <v/>
      </c>
      <c r="AD23">
        <f>HYPERLINK("https://klasma.github.io/Logging_1446/tillsynsmail/A 18567-2026 tillsynsbegäran mail.docx", "A 18567-2026")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46234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46234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46234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46234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46234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46234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46234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46234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46234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46234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46234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46234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46234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46234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46234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46234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46234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46234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46234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46234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46234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46234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46234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46234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45453</v>
      </c>
      <c r="E48" s="1" t="n">
        <v>46234</v>
      </c>
      <c r="F48" t="inlineStr">
        <is>
          <t>VÄSTRA GÖTALANDS LÄN</t>
        </is>
      </c>
      <c r="G48" t="inlineStr">
        <is>
          <t>KARLSBORG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44595</v>
      </c>
      <c r="E49" s="1" t="n">
        <v>46234</v>
      </c>
      <c r="F49" t="inlineStr">
        <is>
          <t>VÄSTRA GÖTALANDS LÄN</t>
        </is>
      </c>
      <c r="G49" t="inlineStr">
        <is>
          <t>KARLSBORG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13076-2023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45002</v>
      </c>
      <c r="E50" s="1" t="n">
        <v>46234</v>
      </c>
      <c r="F50" t="inlineStr">
        <is>
          <t>VÄSTRA GÖTALANDS LÄN</t>
        </is>
      </c>
      <c r="G50" t="inlineStr">
        <is>
          <t>KARLSBORG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46234</v>
      </c>
      <c r="F51" t="inlineStr">
        <is>
          <t>VÄSTRA GÖTALANDS LÄN</t>
        </is>
      </c>
      <c r="G51" t="inlineStr">
        <is>
          <t>KARLSBORG</t>
        </is>
      </c>
      <c r="I51" t="n">
        <v>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46234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45524</v>
      </c>
      <c r="E53" s="1" t="n">
        <v>46234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46234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46234</v>
      </c>
      <c r="F55" t="inlineStr">
        <is>
          <t>VÄSTRA GÖTALANDS LÄN</t>
        </is>
      </c>
      <c r="G55" t="inlineStr">
        <is>
          <t>KARLSBORG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48129-2025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46234</v>
      </c>
      <c r="F56" t="inlineStr">
        <is>
          <t>VÄSTRA GÖTALANDS LÄN</t>
        </is>
      </c>
      <c r="G56" t="inlineStr">
        <is>
          <t>KARLSBORG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53898-2021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44469</v>
      </c>
      <c r="E57" s="1" t="n">
        <v>46234</v>
      </c>
      <c r="F57" t="inlineStr">
        <is>
          <t>VÄSTRA GÖTALANDS LÄN</t>
        </is>
      </c>
      <c r="G57" t="inlineStr">
        <is>
          <t>KARLSBORG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46234</v>
      </c>
      <c r="F58" t="inlineStr">
        <is>
          <t>VÄSTRA GÖTALANDS LÄN</t>
        </is>
      </c>
      <c r="G58" t="inlineStr">
        <is>
          <t>KARLSBORG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46234</v>
      </c>
      <c r="F59" t="inlineStr">
        <is>
          <t>VÄSTRA GÖTALANDS LÄN</t>
        </is>
      </c>
      <c r="G59" t="inlineStr">
        <is>
          <t>KARLSBORG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46234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45789</v>
      </c>
      <c r="E61" s="1" t="n">
        <v>46234</v>
      </c>
      <c r="F61" t="inlineStr">
        <is>
          <t>VÄSTRA GÖTALANDS LÄN</t>
        </is>
      </c>
      <c r="G61" t="inlineStr">
        <is>
          <t>KARLSBORG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45942</v>
      </c>
      <c r="E62" s="1" t="n">
        <v>46234</v>
      </c>
      <c r="F62" t="inlineStr">
        <is>
          <t>VÄSTRA GÖTALANDS LÄN</t>
        </is>
      </c>
      <c r="G62" t="inlineStr">
        <is>
          <t>KARLSBORG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46234</v>
      </c>
      <c r="F63" t="inlineStr">
        <is>
          <t>VÄSTRA GÖTALANDS LÄN</t>
        </is>
      </c>
      <c r="G63" t="inlineStr">
        <is>
          <t>KARLSBORG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45940</v>
      </c>
      <c r="E64" s="1" t="n">
        <v>46234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70945-2021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46234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46234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46234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46234</v>
      </c>
      <c r="F68" t="inlineStr">
        <is>
          <t>VÄSTRA GÖTALANDS LÄN</t>
        </is>
      </c>
      <c r="G68" t="inlineStr">
        <is>
          <t>KARLSBORG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46234</v>
      </c>
      <c r="F69" t="inlineStr">
        <is>
          <t>VÄSTRA GÖTALANDS LÄN</t>
        </is>
      </c>
      <c r="G69" t="inlineStr">
        <is>
          <t>KARLSBORG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57454-2024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45630</v>
      </c>
      <c r="E70" s="1" t="n">
        <v>46234</v>
      </c>
      <c r="F70" t="inlineStr">
        <is>
          <t>VÄSTRA GÖTALANDS LÄN</t>
        </is>
      </c>
      <c r="G70" t="inlineStr">
        <is>
          <t>KARLSBORG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46234</v>
      </c>
      <c r="F71" t="inlineStr">
        <is>
          <t>VÄSTRA GÖTALANDS LÄN</t>
        </is>
      </c>
      <c r="G71" t="inlineStr">
        <is>
          <t>KARLSBORG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45243</v>
      </c>
      <c r="E72" s="1" t="n">
        <v>46234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45630</v>
      </c>
      <c r="E73" s="1" t="n">
        <v>46234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46234</v>
      </c>
      <c r="F74" t="inlineStr">
        <is>
          <t>VÄSTRA GÖTALANDS LÄN</t>
        </is>
      </c>
      <c r="G74" t="inlineStr">
        <is>
          <t>KARLSBORG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46234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46234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46234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46234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46234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46234</v>
      </c>
      <c r="F80" t="inlineStr">
        <is>
          <t>VÄSTRA GÖTALANDS LÄN</t>
        </is>
      </c>
      <c r="G80" t="inlineStr">
        <is>
          <t>KARLSBORG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46234</v>
      </c>
      <c r="F81" t="inlineStr">
        <is>
          <t>VÄSTRA GÖTALANDS LÄN</t>
        </is>
      </c>
      <c r="G81" t="inlineStr">
        <is>
          <t>KARLSBORG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46234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46234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45707</v>
      </c>
      <c r="E84" s="1" t="n">
        <v>46234</v>
      </c>
      <c r="F84" t="inlineStr">
        <is>
          <t>VÄSTRA GÖTALANDS LÄN</t>
        </is>
      </c>
      <c r="G84" t="inlineStr">
        <is>
          <t>KARLSBORG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46234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45019</v>
      </c>
      <c r="E86" s="1" t="n">
        <v>46234</v>
      </c>
      <c r="F86" t="inlineStr">
        <is>
          <t>VÄSTRA GÖTALANDS LÄN</t>
        </is>
      </c>
      <c r="G86" t="inlineStr">
        <is>
          <t>KARLSBORG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46234</v>
      </c>
      <c r="F87" t="inlineStr">
        <is>
          <t>VÄSTRA GÖTALANDS LÄN</t>
        </is>
      </c>
      <c r="G87" t="inlineStr">
        <is>
          <t>KARLSBORG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46234</v>
      </c>
      <c r="F88" t="inlineStr">
        <is>
          <t>VÄSTRA GÖTALANDS LÄN</t>
        </is>
      </c>
      <c r="G88" t="inlineStr">
        <is>
          <t>KARLSBORG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46234</v>
      </c>
      <c r="F89" t="inlineStr">
        <is>
          <t>VÄSTRA GÖTALANDS LÄN</t>
        </is>
      </c>
      <c r="G89" t="inlineStr">
        <is>
          <t>KARLSBORG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45478</v>
      </c>
      <c r="E90" s="1" t="n">
        <v>46234</v>
      </c>
      <c r="F90" t="inlineStr">
        <is>
          <t>VÄSTRA GÖTALANDS LÄN</t>
        </is>
      </c>
      <c r="G90" t="inlineStr">
        <is>
          <t>KARLSBORG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46234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46234</v>
      </c>
      <c r="F92" t="inlineStr">
        <is>
          <t>VÄSTRA GÖTALANDS LÄN</t>
        </is>
      </c>
      <c r="G92" t="inlineStr">
        <is>
          <t>KARLSBORG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45603</v>
      </c>
      <c r="E93" s="1" t="n">
        <v>46234</v>
      </c>
      <c r="F93" t="inlineStr">
        <is>
          <t>VÄSTRA GÖTALANDS LÄN</t>
        </is>
      </c>
      <c r="G93" t="inlineStr">
        <is>
          <t>KARLSBORG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46234</v>
      </c>
      <c r="F94" t="inlineStr">
        <is>
          <t>VÄSTRA GÖTALANDS LÄN</t>
        </is>
      </c>
      <c r="G94" t="inlineStr">
        <is>
          <t>KARLSBORG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32128-2025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45835</v>
      </c>
      <c r="E95" s="1" t="n">
        <v>46234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58127-2024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45632</v>
      </c>
      <c r="E96" s="1" t="n">
        <v>46234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31701-2025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45834</v>
      </c>
      <c r="E97" s="1" t="n">
        <v>46234</v>
      </c>
      <c r="F97" t="inlineStr">
        <is>
          <t>VÄSTRA GÖTALANDS LÄN</t>
        </is>
      </c>
      <c r="G97" t="inlineStr">
        <is>
          <t>KARLSBORG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46234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statliga verk och myndigheter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46234</v>
      </c>
      <c r="F99" t="inlineStr">
        <is>
          <t>VÄSTRA GÖTALANDS LÄN</t>
        </is>
      </c>
      <c r="G99" t="inlineStr">
        <is>
          <t>KARLSBORG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46234</v>
      </c>
      <c r="F100" t="inlineStr">
        <is>
          <t>VÄSTRA GÖTALANDS LÄN</t>
        </is>
      </c>
      <c r="G100" t="inlineStr">
        <is>
          <t>KARLSBORG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46234</v>
      </c>
      <c r="F101" t="inlineStr">
        <is>
          <t>VÄSTRA GÖTALANDS LÄN</t>
        </is>
      </c>
      <c r="G101" t="inlineStr">
        <is>
          <t>KARLSBORG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46234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46234</v>
      </c>
      <c r="F103" t="inlineStr">
        <is>
          <t>VÄSTRA GÖTALANDS LÄN</t>
        </is>
      </c>
      <c r="G103" t="inlineStr">
        <is>
          <t>KARLSBORG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46234</v>
      </c>
      <c r="F104" t="inlineStr">
        <is>
          <t>VÄSTRA GÖTALANDS LÄN</t>
        </is>
      </c>
      <c r="G104" t="inlineStr">
        <is>
          <t>KARLSBORG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46234</v>
      </c>
      <c r="F105" t="inlineStr">
        <is>
          <t>VÄSTRA GÖTALANDS LÄN</t>
        </is>
      </c>
      <c r="G105" t="inlineStr">
        <is>
          <t>KARLSBORG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46234</v>
      </c>
      <c r="F106" t="inlineStr">
        <is>
          <t>VÄSTRA GÖTALANDS LÄN</t>
        </is>
      </c>
      <c r="G106" t="inlineStr">
        <is>
          <t>KARLSBORG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46234</v>
      </c>
      <c r="F107" t="inlineStr">
        <is>
          <t>VÄSTRA GÖTALANDS LÄN</t>
        </is>
      </c>
      <c r="G107" t="inlineStr">
        <is>
          <t>KARLSBORG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35930-2025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45862</v>
      </c>
      <c r="E108" s="1" t="n">
        <v>46234</v>
      </c>
      <c r="F108" t="inlineStr">
        <is>
          <t>VÄSTRA GÖTALANDS LÄN</t>
        </is>
      </c>
      <c r="G108" t="inlineStr">
        <is>
          <t>KARLSBORG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46234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46234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46234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Aktiebolag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46234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44431</v>
      </c>
      <c r="E113" s="1" t="n">
        <v>46234</v>
      </c>
      <c r="F113" t="inlineStr">
        <is>
          <t>VÄSTRA GÖTALANDS LÄN</t>
        </is>
      </c>
      <c r="G113" t="inlineStr">
        <is>
          <t>KARLSBORG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46234</v>
      </c>
      <c r="F114" t="inlineStr">
        <is>
          <t>VÄSTRA GÖTALANDS LÄN</t>
        </is>
      </c>
      <c r="G114" t="inlineStr">
        <is>
          <t>KARLSBORG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46234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44906</v>
      </c>
      <c r="E116" s="1" t="n">
        <v>46234</v>
      </c>
      <c r="F116" t="inlineStr">
        <is>
          <t>VÄSTRA GÖTALANDS LÄN</t>
        </is>
      </c>
      <c r="G116" t="inlineStr">
        <is>
          <t>KARLSBORG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46234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46234</v>
      </c>
      <c r="F118" t="inlineStr">
        <is>
          <t>VÄSTRA GÖTALANDS LÄN</t>
        </is>
      </c>
      <c r="G118" t="inlineStr">
        <is>
          <t>KARLSBORG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44687</v>
      </c>
      <c r="E119" s="1" t="n">
        <v>46234</v>
      </c>
      <c r="F119" t="inlineStr">
        <is>
          <t>VÄSTRA GÖTALANDS LÄN</t>
        </is>
      </c>
      <c r="G119" t="inlineStr">
        <is>
          <t>KARLSBORG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46234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46234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46234</v>
      </c>
      <c r="F122" t="inlineStr">
        <is>
          <t>VÄSTRA GÖTALANDS LÄN</t>
        </is>
      </c>
      <c r="G122" t="inlineStr">
        <is>
          <t>KARLSBORG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46234</v>
      </c>
      <c r="F123" t="inlineStr">
        <is>
          <t>VÄSTRA GÖTALANDS LÄN</t>
        </is>
      </c>
      <c r="G123" t="inlineStr">
        <is>
          <t>KARLSBORG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46234</v>
      </c>
      <c r="F124" t="inlineStr">
        <is>
          <t>VÄSTRA GÖTALANDS LÄN</t>
        </is>
      </c>
      <c r="G124" t="inlineStr">
        <is>
          <t>KARLSBORG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45988</v>
      </c>
      <c r="E125" s="1" t="n">
        <v>46234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46234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46234</v>
      </c>
      <c r="F127" t="inlineStr">
        <is>
          <t>VÄSTRA GÖTALANDS LÄN</t>
        </is>
      </c>
      <c r="G127" t="inlineStr">
        <is>
          <t>KARLSBORG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46234</v>
      </c>
      <c r="F128" t="inlineStr">
        <is>
          <t>VÄSTRA GÖTALANDS LÄN</t>
        </is>
      </c>
      <c r="G128" t="inlineStr">
        <is>
          <t>KARLSBORG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46234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45369</v>
      </c>
      <c r="E130" s="1" t="n">
        <v>46234</v>
      </c>
      <c r="F130" t="inlineStr">
        <is>
          <t>VÄSTRA GÖTALANDS LÄN</t>
        </is>
      </c>
      <c r="G130" t="inlineStr">
        <is>
          <t>KARLSBORG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46234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46234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46234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44795</v>
      </c>
      <c r="E134" s="1" t="n">
        <v>46234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46234</v>
      </c>
      <c r="F135" t="inlineStr">
        <is>
          <t>VÄSTRA GÖTALANDS LÄN</t>
        </is>
      </c>
      <c r="G135" t="inlineStr">
        <is>
          <t>KARLSBORG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46234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46234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46234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46234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44727</v>
      </c>
      <c r="E140" s="1" t="n">
        <v>46234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45233</v>
      </c>
      <c r="E141" s="1" t="n">
        <v>46234</v>
      </c>
      <c r="F141" t="inlineStr">
        <is>
          <t>VÄSTRA GÖTALANDS LÄN</t>
        </is>
      </c>
      <c r="G141" t="inlineStr">
        <is>
          <t>KARLSBORG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45566</v>
      </c>
      <c r="E142" s="1" t="n">
        <v>46234</v>
      </c>
      <c r="F142" t="inlineStr">
        <is>
          <t>VÄSTRA GÖTALANDS LÄN</t>
        </is>
      </c>
      <c r="G142" t="inlineStr">
        <is>
          <t>KARLSBORG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46234</v>
      </c>
      <c r="F143" t="inlineStr">
        <is>
          <t>VÄSTRA GÖTALANDS LÄN</t>
        </is>
      </c>
      <c r="G143" t="inlineStr">
        <is>
          <t>KARLSBORG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46234</v>
      </c>
      <c r="F144" t="inlineStr">
        <is>
          <t>VÄSTRA GÖTALANDS LÄN</t>
        </is>
      </c>
      <c r="G144" t="inlineStr">
        <is>
          <t>KARLSBORG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46234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46234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14.3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46234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65313-2021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46234</v>
      </c>
      <c r="F148" t="inlineStr">
        <is>
          <t>VÄSTRA GÖTALANDS LÄN</t>
        </is>
      </c>
      <c r="G148" t="inlineStr">
        <is>
          <t>KARLSBORG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46234</v>
      </c>
      <c r="F149" t="inlineStr">
        <is>
          <t>VÄSTRA GÖTALANDS LÄN</t>
        </is>
      </c>
      <c r="G149" t="inlineStr">
        <is>
          <t>KARLSBORG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46234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46234</v>
      </c>
      <c r="F151" t="inlineStr">
        <is>
          <t>VÄSTRA GÖTALANDS LÄN</t>
        </is>
      </c>
      <c r="G151" t="inlineStr">
        <is>
          <t>KARLSBORG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46234</v>
      </c>
      <c r="F152" t="inlineStr">
        <is>
          <t>VÄSTRA GÖTALANDS LÄN</t>
        </is>
      </c>
      <c r="G152" t="inlineStr">
        <is>
          <t>KARLSBORG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46234</v>
      </c>
      <c r="F153" t="inlineStr">
        <is>
          <t>VÄSTRA GÖTALANDS LÄN</t>
        </is>
      </c>
      <c r="G153" t="inlineStr">
        <is>
          <t>KARLSBORG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46234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57915-2024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45631</v>
      </c>
      <c r="E155" s="1" t="n">
        <v>46234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46234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46234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63733-2025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46234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46234</v>
      </c>
      <c r="F159" t="inlineStr">
        <is>
          <t>VÄSTRA GÖTALANDS LÄN</t>
        </is>
      </c>
      <c r="G159" t="inlineStr">
        <is>
          <t>KARLSBORG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46234</v>
      </c>
      <c r="F160" t="inlineStr">
        <is>
          <t>VÄSTRA GÖTALANDS LÄN</t>
        </is>
      </c>
      <c r="G160" t="inlineStr">
        <is>
          <t>KARLSBORG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46234</v>
      </c>
      <c r="F161" t="inlineStr">
        <is>
          <t>VÄSTRA GÖTALANDS LÄN</t>
        </is>
      </c>
      <c r="G161" t="inlineStr">
        <is>
          <t>KARLSBORG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46234</v>
      </c>
      <c r="F162" t="inlineStr">
        <is>
          <t>VÄSTRA GÖTALANDS LÄN</t>
        </is>
      </c>
      <c r="G162" t="inlineStr">
        <is>
          <t>KARLSBORG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46234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46234</v>
      </c>
      <c r="F164" t="inlineStr">
        <is>
          <t>VÄSTRA GÖTALANDS LÄN</t>
        </is>
      </c>
      <c r="G164" t="inlineStr">
        <is>
          <t>KARLSBORG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59399-2022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44906</v>
      </c>
      <c r="E165" s="1" t="n">
        <v>46234</v>
      </c>
      <c r="F165" t="inlineStr">
        <is>
          <t>VÄSTRA GÖTALANDS LÄN</t>
        </is>
      </c>
      <c r="G165" t="inlineStr">
        <is>
          <t>KARLSBORG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46234</v>
      </c>
      <c r="F166" t="inlineStr">
        <is>
          <t>VÄSTRA GÖTALANDS LÄN</t>
        </is>
      </c>
      <c r="G166" t="inlineStr">
        <is>
          <t>KARLSBORG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46234</v>
      </c>
      <c r="F167" t="inlineStr">
        <is>
          <t>VÄSTRA GÖTALANDS LÄN</t>
        </is>
      </c>
      <c r="G167" t="inlineStr">
        <is>
          <t>KARLSBORG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46234</v>
      </c>
      <c r="F168" t="inlineStr">
        <is>
          <t>VÄSTRA GÖTALANDS LÄN</t>
        </is>
      </c>
      <c r="G168" t="inlineStr">
        <is>
          <t>KARLSBORG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45076</v>
      </c>
      <c r="E169" s="1" t="n">
        <v>46234</v>
      </c>
      <c r="F169" t="inlineStr">
        <is>
          <t>VÄSTRA GÖTALANDS LÄN</t>
        </is>
      </c>
      <c r="G169" t="inlineStr">
        <is>
          <t>KARLSBORG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46234</v>
      </c>
      <c r="F170" t="inlineStr">
        <is>
          <t>VÄSTRA GÖTALANDS LÄN</t>
        </is>
      </c>
      <c r="G170" t="inlineStr">
        <is>
          <t>KARLSBORG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42661-2021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44428</v>
      </c>
      <c r="E171" s="1" t="n">
        <v>46234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Kyrkan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46234</v>
      </c>
      <c r="F172" t="inlineStr">
        <is>
          <t>VÄSTRA GÖTALANDS LÄN</t>
        </is>
      </c>
      <c r="G172" t="inlineStr">
        <is>
          <t>KARLSBORG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46234</v>
      </c>
      <c r="F173" t="inlineStr">
        <is>
          <t>VÄSTRA GÖTALANDS LÄN</t>
        </is>
      </c>
      <c r="G173" t="inlineStr">
        <is>
          <t>KARLSBORG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46234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29357-2024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45483</v>
      </c>
      <c r="E175" s="1" t="n">
        <v>46234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46234</v>
      </c>
      <c r="F176" t="inlineStr">
        <is>
          <t>VÄSTRA GÖTALANDS LÄN</t>
        </is>
      </c>
      <c r="G176" t="inlineStr">
        <is>
          <t>KARLSBORG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46127</v>
      </c>
      <c r="E177" s="1" t="n">
        <v>46234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46234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46127</v>
      </c>
      <c r="E179" s="1" t="n">
        <v>46234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46234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46234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46234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45229</v>
      </c>
      <c r="E183" s="1" t="n">
        <v>46234</v>
      </c>
      <c r="F183" t="inlineStr">
        <is>
          <t>VÄSTRA GÖTALANDS LÄN</t>
        </is>
      </c>
      <c r="G183" t="inlineStr">
        <is>
          <t>KARLSBORG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44929</v>
      </c>
      <c r="E184" s="1" t="n">
        <v>46234</v>
      </c>
      <c r="F184" t="inlineStr">
        <is>
          <t>VÄSTRA GÖTALANDS LÄN</t>
        </is>
      </c>
      <c r="G184" t="inlineStr">
        <is>
          <t>KARLSBORG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  <c r="X184">
        <f>HYPERLINK("https://klasma.github.io/Logging_1446/kartor/A 412-2023 karta.png", "A 412-2023")</f>
        <v/>
      </c>
      <c r="Y184">
        <f>HYPERLINK("https://klasma.github.io/Logging_1446/kartor_geotiff/A 412-2023 georefererad karta.tif", "A 412-2023")</f>
        <v/>
      </c>
      <c r="AA184">
        <f>HYPERLINK("https://klasma.github.io/Logging_1446/klagomål/A 412-2023 FSC-klagomål.docx", "A 412-2023")</f>
        <v/>
      </c>
      <c r="AB184">
        <f>HYPERLINK("https://klasma.github.io/Logging_1446/klagomålsmail/A 412-2023 FSC-klagomål mail.docx", "A 412-2023")</f>
        <v/>
      </c>
      <c r="AC184">
        <f>HYPERLINK("https://klasma.github.io/Logging_1446/tillsyn/A 412-2023 tillsynsbegäran.docx", "A 412-2023")</f>
        <v/>
      </c>
      <c r="AD184">
        <f>HYPERLINK("https://klasma.github.io/Logging_1446/tillsynsmail/A 412-2023 tillsynsbegäran mail.docx", "A 412-2023")</f>
        <v/>
      </c>
    </row>
    <row r="185" ht="15" customHeight="1">
      <c r="A185" t="inlineStr">
        <is>
          <t>A 43709-2024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46234</v>
      </c>
      <c r="F185" t="inlineStr">
        <is>
          <t>VÄSTRA GÖTALANDS LÄN</t>
        </is>
      </c>
      <c r="G185" t="inlineStr">
        <is>
          <t>KARLSBORG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44755</v>
      </c>
      <c r="E186" s="1" t="n">
        <v>46234</v>
      </c>
      <c r="F186" t="inlineStr">
        <is>
          <t>VÄSTRA GÖTALANDS LÄN</t>
        </is>
      </c>
      <c r="G186" t="inlineStr">
        <is>
          <t>KARLSBORG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46234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46234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46234</v>
      </c>
      <c r="F189" t="inlineStr">
        <is>
          <t>VÄSTRA GÖTALANDS LÄN</t>
        </is>
      </c>
      <c r="G189" t="inlineStr">
        <is>
          <t>KARLSBORG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45755</v>
      </c>
      <c r="E190" s="1" t="n">
        <v>46234</v>
      </c>
      <c r="F190" t="inlineStr">
        <is>
          <t>VÄSTRA GÖTALANDS LÄN</t>
        </is>
      </c>
      <c r="G190" t="inlineStr">
        <is>
          <t>KARLSBORG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46234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44785</v>
      </c>
      <c r="E192" s="1" t="n">
        <v>46234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35441-2024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45531</v>
      </c>
      <c r="E193" s="1" t="n">
        <v>46234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57913-2024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45631</v>
      </c>
      <c r="E194" s="1" t="n">
        <v>46234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46234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46234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58129-2024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45632</v>
      </c>
      <c r="E197" s="1" t="n">
        <v>46234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45394</v>
      </c>
      <c r="E198" s="1" t="n">
        <v>46234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46143</v>
      </c>
      <c r="E199" s="1" t="n">
        <v>46234</v>
      </c>
      <c r="F199" t="inlineStr">
        <is>
          <t>VÄSTRA GÖTALANDS LÄN</t>
        </is>
      </c>
      <c r="G199" t="inlineStr">
        <is>
          <t>KARLSBORG</t>
        </is>
      </c>
      <c r="I199" t="n">
        <v>14.6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46234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46234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46234</v>
      </c>
      <c r="F202" t="inlineStr">
        <is>
          <t>VÄSTRA GÖTALANDS LÄN</t>
        </is>
      </c>
      <c r="G202" t="inlineStr">
        <is>
          <t>KARLSBORG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46153</v>
      </c>
      <c r="E203" s="1" t="n">
        <v>46234</v>
      </c>
      <c r="F203" t="inlineStr">
        <is>
          <t>VÄSTRA GÖTALANDS LÄN</t>
        </is>
      </c>
      <c r="G203" t="inlineStr">
        <is>
          <t>KARLSBORG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44494</v>
      </c>
      <c r="E204" s="1" t="n">
        <v>46234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statliga verk och myndigheter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44906</v>
      </c>
      <c r="E205" s="1" t="n">
        <v>46234</v>
      </c>
      <c r="F205" t="inlineStr">
        <is>
          <t>VÄSTRA GÖTALANDS LÄN</t>
        </is>
      </c>
      <c r="G205" t="inlineStr">
        <is>
          <t>KARLSBORG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46234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69341-2021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44531</v>
      </c>
      <c r="E207" s="1" t="n">
        <v>46234</v>
      </c>
      <c r="F207" t="inlineStr">
        <is>
          <t>VÄSTRA GÖTALANDS LÄN</t>
        </is>
      </c>
      <c r="G207" t="inlineStr">
        <is>
          <t>KARLSBORG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45089</v>
      </c>
      <c r="E208" s="1" t="n">
        <v>46234</v>
      </c>
      <c r="F208" t="inlineStr">
        <is>
          <t>VÄSTRA GÖTALANDS LÄN</t>
        </is>
      </c>
      <c r="G208" t="inlineStr">
        <is>
          <t>KARLSBORG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46234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15396-2024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45401</v>
      </c>
      <c r="E210" s="1" t="n">
        <v>46234</v>
      </c>
      <c r="F210" t="inlineStr">
        <is>
          <t>VÄSTRA GÖTALANDS LÄN</t>
        </is>
      </c>
      <c r="G210" t="inlineStr">
        <is>
          <t>KARLSBORG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46160</v>
      </c>
      <c r="E211" s="1" t="n">
        <v>46234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46160</v>
      </c>
      <c r="E212" s="1" t="n">
        <v>46234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46234</v>
      </c>
      <c r="F213" t="inlineStr">
        <is>
          <t>VÄSTRA GÖTALANDS LÄN</t>
        </is>
      </c>
      <c r="G213" t="inlineStr">
        <is>
          <t>KARLSBORG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44494</v>
      </c>
      <c r="E214" s="1" t="n">
        <v>46234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statliga verk och myndigheter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46234</v>
      </c>
      <c r="F215" t="inlineStr">
        <is>
          <t>VÄSTRA GÖTALANDS LÄN</t>
        </is>
      </c>
      <c r="G215" t="inlineStr">
        <is>
          <t>KARLSBORG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46234</v>
      </c>
      <c r="F216" t="inlineStr">
        <is>
          <t>VÄSTRA GÖTALANDS LÄN</t>
        </is>
      </c>
      <c r="G216" t="inlineStr">
        <is>
          <t>KARLSBORG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46234</v>
      </c>
      <c r="F217" t="inlineStr">
        <is>
          <t>VÄSTRA GÖTALANDS LÄN</t>
        </is>
      </c>
      <c r="G217" t="inlineStr">
        <is>
          <t>KARLSBORG</t>
        </is>
      </c>
      <c r="I217" t="n">
        <v>9.5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46234</v>
      </c>
      <c r="F218" t="inlineStr">
        <is>
          <t>VÄSTRA GÖTALANDS LÄN</t>
        </is>
      </c>
      <c r="G218" t="inlineStr">
        <is>
          <t>KARLSBORG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46234</v>
      </c>
      <c r="F219" t="inlineStr">
        <is>
          <t>VÄSTRA GÖTALANDS LÄN</t>
        </is>
      </c>
      <c r="G219" t="inlineStr">
        <is>
          <t>KARLSBORG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46210</v>
      </c>
      <c r="E220" s="1" t="n">
        <v>46234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46234</v>
      </c>
      <c r="F221" t="inlineStr">
        <is>
          <t>VÄSTRA GÖTALANDS LÄN</t>
        </is>
      </c>
      <c r="G221" t="inlineStr">
        <is>
          <t>KARLSBORG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46234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46234</v>
      </c>
      <c r="F223" t="inlineStr">
        <is>
          <t>VÄSTRA GÖTALANDS LÄN</t>
        </is>
      </c>
      <c r="G223" t="inlineStr">
        <is>
          <t>KARLSBORG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46234</v>
      </c>
      <c r="F224" t="inlineStr">
        <is>
          <t>VÄSTRA GÖTALANDS LÄN</t>
        </is>
      </c>
      <c r="G224" t="inlineStr">
        <is>
          <t>KARLSBORG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46234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46234</v>
      </c>
      <c r="F226" t="inlineStr">
        <is>
          <t>VÄSTRA GÖTALANDS LÄN</t>
        </is>
      </c>
      <c r="G226" t="inlineStr">
        <is>
          <t>KARLSBORG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46234</v>
      </c>
      <c r="F227" t="inlineStr">
        <is>
          <t>VÄSTRA GÖTALANDS LÄN</t>
        </is>
      </c>
      <c r="G227" t="inlineStr">
        <is>
          <t>KARLSBORG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46234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46234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44939</v>
      </c>
      <c r="E230" s="1" t="n">
        <v>46234</v>
      </c>
      <c r="F230" t="inlineStr">
        <is>
          <t>VÄSTRA GÖTALANDS LÄN</t>
        </is>
      </c>
      <c r="G230" t="inlineStr">
        <is>
          <t>KARLSBORG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46234</v>
      </c>
      <c r="F231" t="inlineStr">
        <is>
          <t>VÄSTRA GÖTALANDS LÄN</t>
        </is>
      </c>
      <c r="G231" t="inlineStr">
        <is>
          <t>KARLSBORG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45169</v>
      </c>
      <c r="E232" s="1" t="n">
        <v>46234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Övriga Aktiebolag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46234</v>
      </c>
      <c r="F233" t="inlineStr">
        <is>
          <t>VÄSTRA GÖTALANDS LÄN</t>
        </is>
      </c>
      <c r="G233" t="inlineStr">
        <is>
          <t>KARLSBORG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46188</v>
      </c>
      <c r="E234" s="1" t="n">
        <v>46234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46234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Sveaskog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46230</v>
      </c>
      <c r="E236" s="1" t="n">
        <v>46234</v>
      </c>
      <c r="F236" t="inlineStr">
        <is>
          <t>VÄSTRA GÖTALANDS LÄN</t>
        </is>
      </c>
      <c r="G236" t="inlineStr">
        <is>
          <t>KARLSBORG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46234</v>
      </c>
      <c r="F237" t="inlineStr">
        <is>
          <t>VÄSTRA GÖTALANDS LÄN</t>
        </is>
      </c>
      <c r="G237" t="inlineStr">
        <is>
          <t>KARLSBORG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46234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46234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2026-07-31T01:51:15Z</dcterms:created>
  <dcterms:modified xmlns:dcterms="http://purl.org/dc/terms/" xmlns:xsi="http://www.w3.org/2001/XMLSchema-instance" xsi:type="dcterms:W3CDTF">2026-07-31T01:51:15Z</dcterms:modified>
</cp:coreProperties>
</file>