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46259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46259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46259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46259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46259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46259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46259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46259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46259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46259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46259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46259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38204-2024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45545</v>
      </c>
      <c r="E14" s="1" t="n">
        <v>46259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5.4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6</v>
      </c>
      <c r="V14" s="2" t="inlineStr">
        <is>
          <t>Knärot
Kungsfågel</t>
        </is>
      </c>
      <c r="W14">
        <f>HYPERLINK("https://klasma.github.io/Logging_1446/artfynd/A 38204-2024 artfynd.xlsx", "A 38204-2024")</f>
        <v/>
      </c>
      <c r="X14">
        <f>HYPERLINK("https://klasma.github.io/Logging_1446/kartor/A 38204-2024 karta.png", "A 38204-2024")</f>
        <v/>
      </c>
      <c r="Y14">
        <f>HYPERLINK("https://klasma.github.io/Logging_1446/kartor_geotiff/A 38204-2024 georefererad karta.tif", "A 38204-2024")</f>
        <v/>
      </c>
      <c r="Z14">
        <f>HYPERLINK("https://klasma.github.io/Logging_1446/knärot/A 38204-2024 karta knärot.png", "A 38204-2024")</f>
        <v/>
      </c>
      <c r="AA14">
        <f>HYPERLINK("https://klasma.github.io/Logging_1446/klagomål/A 38204-2024 FSC-klagomål.docx", "A 38204-2024")</f>
        <v/>
      </c>
      <c r="AB14">
        <f>HYPERLINK("https://klasma.github.io/Logging_1446/klagomålsmail/A 38204-2024 FSC-klagomål mail.docx", "A 38204-2024")</f>
        <v/>
      </c>
      <c r="AC14">
        <f>HYPERLINK("https://klasma.github.io/Logging_1446/tillsyn/A 38204-2024 tillsynsbegäran.docx", "A 38204-2024")</f>
        <v/>
      </c>
      <c r="AD14">
        <f>HYPERLINK("https://klasma.github.io/Logging_1446/tillsynsmail/A 38204-2024 tillsynsbegäran mail.docx", "A 38204-2024")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46259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46259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42778-2024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45566</v>
      </c>
      <c r="E17" s="1" t="n">
        <v>46259</v>
      </c>
      <c r="F17" t="inlineStr">
        <is>
          <t>VÄSTRA GÖTALANDS LÄN</t>
        </is>
      </c>
      <c r="G17" t="inlineStr">
        <is>
          <t>KARLSBORG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HYPERLINK("https://klasma.github.io/Logging_1446/artfynd/A 42778-2024 artfynd.xlsx", "A 42778-2024")</f>
        <v/>
      </c>
      <c r="X17">
        <f>HYPERLINK("https://klasma.github.io/Logging_1446/kartor/A 42778-2024 karta.png", "A 42778-2024")</f>
        <v/>
      </c>
      <c r="Y17">
        <f>HYPERLINK("https://klasma.github.io/Logging_1446/kartor_geotiff/A 42778-2024 georefererad karta.tif", "A 42778-2024")</f>
        <v/>
      </c>
      <c r="AA17">
        <f>HYPERLINK("https://klasma.github.io/Logging_1446/klagomål/A 42778-2024 FSC-klagomål.docx", "A 42778-2024")</f>
        <v/>
      </c>
      <c r="AB17">
        <f>HYPERLINK("https://klasma.github.io/Logging_1446/klagomålsmail/A 42778-2024 FSC-klagomål mail.docx", "A 42778-2024")</f>
        <v/>
      </c>
      <c r="AC17">
        <f>HYPERLINK("https://klasma.github.io/Logging_1446/tillsyn/A 42778-2024 tillsynsbegäran.docx", "A 42778-2024")</f>
        <v/>
      </c>
      <c r="AD17">
        <f>HYPERLINK("https://klasma.github.io/Logging_1446/tillsynsmail/A 42778-2024 tillsynsbegäran mail.docx", "A 42778-2024")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46259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59712-2021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44494</v>
      </c>
      <c r="E19" s="1" t="n">
        <v>46259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2</v>
      </c>
      <c r="V19" s="2" t="inlineStr">
        <is>
          <t>Ask</t>
        </is>
      </c>
      <c r="W19">
        <f>HYPERLINK("https://klasma.github.io/Logging_1446/artfynd/A 59712-2021 artfynd.xlsx", "A 59712-2021")</f>
        <v/>
      </c>
      <c r="X19">
        <f>HYPERLINK("https://klasma.github.io/Logging_1446/kartor/A 59712-2021 karta.png", "A 59712-2021")</f>
        <v/>
      </c>
      <c r="Y19">
        <f>HYPERLINK("https://klasma.github.io/Logging_1446/kartor_geotiff/A 59712-2021 georefererad karta.tif", "A 59712-2021")</f>
        <v/>
      </c>
      <c r="AA19">
        <f>HYPERLINK("https://klasma.github.io/Logging_1446/klagomål/A 59712-2021 FSC-klagomål.docx", "A 59712-2021")</f>
        <v/>
      </c>
      <c r="AB19">
        <f>HYPERLINK("https://klasma.github.io/Logging_1446/klagomålsmail/A 59712-2021 FSC-klagomål mail.docx", "A 59712-2021")</f>
        <v/>
      </c>
      <c r="AC19">
        <f>HYPERLINK("https://klasma.github.io/Logging_1446/tillsyn/A 59712-2021 tillsynsbegäran.docx", "A 59712-2021")</f>
        <v/>
      </c>
      <c r="AD19">
        <f>HYPERLINK("https://klasma.github.io/Logging_1446/tillsynsmail/A 59712-2021 tillsynsbegäran mail.docx", "A 59712-2021")</f>
        <v/>
      </c>
    </row>
    <row r="20" ht="15" customHeight="1">
      <c r="A20" t="inlineStr">
        <is>
          <t>A 9337-2025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45714</v>
      </c>
      <c r="E20" s="1" t="n">
        <v>46259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HYPERLINK("https://klasma.github.io/Logging_1446/artfynd/A 9337-2025 artfynd.xlsx", "A 9337-2025")</f>
        <v/>
      </c>
      <c r="X20">
        <f>HYPERLINK("https://klasma.github.io/Logging_1446/kartor/A 9337-2025 karta.png", "A 9337-2025")</f>
        <v/>
      </c>
      <c r="Y20">
        <f>HYPERLINK("https://klasma.github.io/Logging_1446/kartor_geotiff/A 9337-2025 georefererad karta.tif", "A 9337-2025")</f>
        <v/>
      </c>
      <c r="AA20">
        <f>HYPERLINK("https://klasma.github.io/Logging_1446/klagomål/A 9337-2025 FSC-klagomål.docx", "A 9337-2025")</f>
        <v/>
      </c>
      <c r="AB20">
        <f>HYPERLINK("https://klasma.github.io/Logging_1446/klagomålsmail/A 9337-2025 FSC-klagomål mail.docx", "A 9337-2025")</f>
        <v/>
      </c>
      <c r="AC20">
        <f>HYPERLINK("https://klasma.github.io/Logging_1446/tillsyn/A 9337-2025 tillsynsbegäran.docx", "A 9337-2025")</f>
        <v/>
      </c>
      <c r="AD20">
        <f>HYPERLINK("https://klasma.github.io/Logging_1446/tillsynsmail/A 9337-2025 tillsynsbegäran mail.docx", "A 9337-2025")</f>
        <v/>
      </c>
    </row>
    <row r="21" ht="15" customHeight="1">
      <c r="A21" t="inlineStr">
        <is>
          <t>A 23268-2022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44720</v>
      </c>
      <c r="E21" s="1" t="n">
        <v>46259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snok</t>
        </is>
      </c>
      <c r="W21">
        <f>HYPERLINK("https://klasma.github.io/Logging_1446/artfynd/A 23268-2022 artfynd.xlsx", "A 23268-2022")</f>
        <v/>
      </c>
      <c r="X21">
        <f>HYPERLINK("https://klasma.github.io/Logging_1446/kartor/A 23268-2022 karta.png", "A 23268-2022")</f>
        <v/>
      </c>
      <c r="Y21">
        <f>HYPERLINK("https://klasma.github.io/Logging_1446/kartor_geotiff/A 23268-2022 georefererad karta.tif", "A 23268-2022")</f>
        <v/>
      </c>
      <c r="AA21">
        <f>HYPERLINK("https://klasma.github.io/Logging_1446/klagomål/A 23268-2022 FSC-klagomål.docx", "A 23268-2022")</f>
        <v/>
      </c>
      <c r="AB21">
        <f>HYPERLINK("https://klasma.github.io/Logging_1446/klagomålsmail/A 23268-2022 FSC-klagomål mail.docx", "A 23268-2022")</f>
        <v/>
      </c>
      <c r="AC21">
        <f>HYPERLINK("https://klasma.github.io/Logging_1446/tillsyn/A 23268-2022 tillsynsbegäran.docx", "A 23268-2022")</f>
        <v/>
      </c>
      <c r="AD21">
        <f>HYPERLINK("https://klasma.github.io/Logging_1446/tillsynsmail/A 23268-2022 tillsynsbegäran mail.docx", "A 23268-2022")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46259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18567-2026 artfynd.xlsx", "A 18567-2026")</f>
        <v/>
      </c>
      <c r="X22">
        <f>HYPERLINK("https://klasma.github.io/Logging_1446/kartor/A 18567-2026 karta.png", "A 18567-2026")</f>
        <v/>
      </c>
      <c r="Y22">
        <f>HYPERLINK("https://klasma.github.io/Logging_1446/kartor_geotiff/A 18567-2026 georefererad karta.tif", "A 18567-2026")</f>
        <v/>
      </c>
      <c r="AA22">
        <f>HYPERLINK("https://klasma.github.io/Logging_1446/klagomål/A 18567-2026 FSC-klagomål.docx", "A 18567-2026")</f>
        <v/>
      </c>
      <c r="AB22">
        <f>HYPERLINK("https://klasma.github.io/Logging_1446/klagomålsmail/A 18567-2026 FSC-klagomål mail.docx", "A 18567-2026")</f>
        <v/>
      </c>
      <c r="AC22">
        <f>HYPERLINK("https://klasma.github.io/Logging_1446/tillsyn/A 18567-2026 tillsynsbegäran.docx", "A 18567-2026")</f>
        <v/>
      </c>
      <c r="AD22">
        <f>HYPERLINK("https://klasma.github.io/Logging_1446/tillsynsmail/A 18567-2026 tillsynsbegäran mail.docx", "A 18567-2026")</f>
        <v/>
      </c>
    </row>
    <row r="23" ht="15" customHeight="1">
      <c r="A23" t="inlineStr">
        <is>
          <t>A 29484-2025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46259</v>
      </c>
      <c r="F23" t="inlineStr">
        <is>
          <t>VÄSTRA GÖTALANDS LÄN</t>
        </is>
      </c>
      <c r="G23" t="inlineStr">
        <is>
          <t>KARLSBORG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Blåsippa</t>
        </is>
      </c>
      <c r="W23">
        <f>HYPERLINK("https://klasma.github.io/Logging_1446/artfynd/A 29484-2025 artfynd.xlsx", "A 29484-2025")</f>
        <v/>
      </c>
      <c r="X23">
        <f>HYPERLINK("https://klasma.github.io/Logging_1446/kartor/A 29484-2025 karta.png", "A 29484-2025")</f>
        <v/>
      </c>
      <c r="Y23">
        <f>HYPERLINK("https://klasma.github.io/Logging_1446/kartor_geotiff/A 29484-2025 georefererad karta.tif", "A 29484-2025")</f>
        <v/>
      </c>
      <c r="AA23">
        <f>HYPERLINK("https://klasma.github.io/Logging_1446/klagomål/A 29484-2025 FSC-klagomål.docx", "A 29484-2025")</f>
        <v/>
      </c>
      <c r="AB23">
        <f>HYPERLINK("https://klasma.github.io/Logging_1446/klagomålsmail/A 29484-2025 FSC-klagomål mail.docx", "A 29484-2025")</f>
        <v/>
      </c>
      <c r="AC23">
        <f>HYPERLINK("https://klasma.github.io/Logging_1446/tillsyn/A 29484-2025 tillsynsbegäran.docx", "A 29484-2025")</f>
        <v/>
      </c>
      <c r="AD23">
        <f>HYPERLINK("https://klasma.github.io/Logging_1446/tillsynsmail/A 29484-2025 tillsynsbegäran mail.docx", "A 29484-2025")</f>
        <v/>
      </c>
    </row>
    <row r="24" ht="15" customHeight="1">
      <c r="A24" t="inlineStr">
        <is>
          <t>A 51531-2023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46259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Kommuner</t>
        </is>
      </c>
      <c r="I24" t="n">
        <v>11.2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HYPERLINK("https://klasma.github.io/Logging_1446/artfynd/A 51531-2023 artfynd.xlsx", "A 51531-2023")</f>
        <v/>
      </c>
      <c r="X24">
        <f>HYPERLINK("https://klasma.github.io/Logging_1446/kartor/A 51531-2023 karta.png", "A 51531-2023")</f>
        <v/>
      </c>
      <c r="Y24">
        <f>HYPERLINK("https://klasma.github.io/Logging_1446/kartor_geotiff/A 51531-2023 georefererad karta.tif", "A 51531-2023")</f>
        <v/>
      </c>
      <c r="AA24">
        <f>HYPERLINK("https://klasma.github.io/Logging_1446/klagomål/A 51531-2023 FSC-klagomål.docx", "A 51531-2023")</f>
        <v/>
      </c>
      <c r="AB24">
        <f>HYPERLINK("https://klasma.github.io/Logging_1446/klagomålsmail/A 51531-2023 FSC-klagomål mail.docx", "A 51531-2023")</f>
        <v/>
      </c>
      <c r="AC24">
        <f>HYPERLINK("https://klasma.github.io/Logging_1446/tillsyn/A 51531-2023 tillsynsbegäran.docx", "A 51531-2023")</f>
        <v/>
      </c>
      <c r="AD24">
        <f>HYPERLINK("https://klasma.github.io/Logging_1446/tillsynsmail/A 51531-2023 tillsynsbegäran mail.docx", "A 51531-2023")</f>
        <v/>
      </c>
    </row>
    <row r="25" ht="15" customHeight="1">
      <c r="A25" t="inlineStr">
        <is>
          <t>A 38103-2023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46259</v>
      </c>
      <c r="F25" t="inlineStr">
        <is>
          <t>VÄSTRA GÖTALANDS LÄN</t>
        </is>
      </c>
      <c r="G25" t="inlineStr">
        <is>
          <t>KARLSBORG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HYPERLINK("https://klasma.github.io/Logging_1446/artfynd/A 38103-2023 artfynd.xlsx", "A 38103-2023")</f>
        <v/>
      </c>
      <c r="X25">
        <f>HYPERLINK("https://klasma.github.io/Logging_1446/kartor/A 38103-2023 karta.png", "A 38103-2023")</f>
        <v/>
      </c>
      <c r="Y25">
        <f>HYPERLINK("https://klasma.github.io/Logging_1446/kartor_geotiff/A 38103-2023 georefererad karta.tif", "A 38103-2023")</f>
        <v/>
      </c>
      <c r="AA25">
        <f>HYPERLINK("https://klasma.github.io/Logging_1446/klagomål/A 38103-2023 FSC-klagomål.docx", "A 38103-2023")</f>
        <v/>
      </c>
      <c r="AB25">
        <f>HYPERLINK("https://klasma.github.io/Logging_1446/klagomålsmail/A 38103-2023 FSC-klagomål mail.docx", "A 38103-2023")</f>
        <v/>
      </c>
      <c r="AC25">
        <f>HYPERLINK("https://klasma.github.io/Logging_1446/tillsyn/A 38103-2023 tillsynsbegäran.docx", "A 38103-2023")</f>
        <v/>
      </c>
      <c r="AD25">
        <f>HYPERLINK("https://klasma.github.io/Logging_1446/tillsynsmail/A 38103-2023 tillsynsbegäran mail.docx", "A 38103-2023")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46259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8984-2025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45713</v>
      </c>
      <c r="E27" s="1" t="n">
        <v>46259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Övriga Aktiebolag</t>
        </is>
      </c>
      <c r="I27" t="n">
        <v>9.5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HYPERLINK("https://klasma.github.io/Logging_1446/artfynd/A 8984-2025 artfynd.xlsx", "A 8984-2025")</f>
        <v/>
      </c>
      <c r="X27">
        <f>HYPERLINK("https://klasma.github.io/Logging_1446/kartor/A 8984-2025 karta.png", "A 8984-2025")</f>
        <v/>
      </c>
      <c r="Y27">
        <f>HYPERLINK("https://klasma.github.io/Logging_1446/kartor_geotiff/A 8984-2025 georefererad karta.tif", "A 8984-2025")</f>
        <v/>
      </c>
      <c r="AA27">
        <f>HYPERLINK("https://klasma.github.io/Logging_1446/klagomål/A 8984-2025 FSC-klagomål.docx", "A 8984-2025")</f>
        <v/>
      </c>
      <c r="AB27">
        <f>HYPERLINK("https://klasma.github.io/Logging_1446/klagomålsmail/A 8984-2025 FSC-klagomål mail.docx", "A 8984-2025")</f>
        <v/>
      </c>
      <c r="AC27">
        <f>HYPERLINK("https://klasma.github.io/Logging_1446/tillsyn/A 8984-2025 tillsynsbegäran.docx", "A 8984-2025")</f>
        <v/>
      </c>
      <c r="AD27">
        <f>HYPERLINK("https://klasma.github.io/Logging_1446/tillsynsmail/A 8984-2025 tillsynsbegäran mail.docx", "A 8984-2025")</f>
        <v/>
      </c>
      <c r="AE27">
        <f>HYPERLINK("https://klasma.github.io/Logging_1446/fåglar/A 8984-2025 prioriterade fågelarter.docx", "A 8984-2025")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46259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46259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29156-2026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46259</v>
      </c>
      <c r="F30" t="inlineStr">
        <is>
          <t>VÄSTRA GÖTALANDS LÄN</t>
        </is>
      </c>
      <c r="G30" t="inlineStr">
        <is>
          <t>KARLSBORG</t>
        </is>
      </c>
      <c r="H30" t="inlineStr">
        <is>
          <t>Sveaskog</t>
        </is>
      </c>
      <c r="I30" t="n">
        <v>1.2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Spindelblomster</t>
        </is>
      </c>
      <c r="W30">
        <f>HYPERLINK("https://klasma.github.io/Logging_1446/artfynd/A 29156-2026 artfynd.xlsx", "A 29156-2026")</f>
        <v/>
      </c>
      <c r="X30">
        <f>HYPERLINK("https://klasma.github.io/Logging_1446/kartor/A 29156-2026 karta.png", "A 29156-2026")</f>
        <v/>
      </c>
      <c r="Y30">
        <f>HYPERLINK("https://klasma.github.io/Logging_1446/kartor_geotiff/A 29156-2026 georefererad karta.tif", "A 29156-2026")</f>
        <v/>
      </c>
      <c r="AA30">
        <f>HYPERLINK("https://klasma.github.io/Logging_1446/klagomål/A 29156-2026 FSC-klagomål.docx", "A 29156-2026")</f>
        <v/>
      </c>
      <c r="AB30">
        <f>HYPERLINK("https://klasma.github.io/Logging_1446/klagomålsmail/A 29156-2026 FSC-klagomål mail.docx", "A 29156-2026")</f>
        <v/>
      </c>
      <c r="AC30">
        <f>HYPERLINK("https://klasma.github.io/Logging_1446/tillsyn/A 29156-2026 tillsynsbegäran.docx", "A 29156-2026")</f>
        <v/>
      </c>
      <c r="AD30">
        <f>HYPERLINK("https://klasma.github.io/Logging_1446/tillsynsmail/A 29156-2026 tillsynsbegäran mail.docx", "A 29156-2026")</f>
        <v/>
      </c>
    </row>
    <row r="31" ht="15" customHeight="1">
      <c r="A31" t="inlineStr">
        <is>
          <t>A 4448-2026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46259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HYPERLINK("https://klasma.github.io/Logging_1446/artfynd/A 4448-2026 artfynd.xlsx", "A 4448-2026")</f>
        <v/>
      </c>
      <c r="X31">
        <f>HYPERLINK("https://klasma.github.io/Logging_1446/kartor/A 4448-2026 karta.png", "A 4448-2026")</f>
        <v/>
      </c>
      <c r="Y31">
        <f>HYPERLINK("https://klasma.github.io/Logging_1446/kartor_geotiff/A 4448-2026 georefererad karta.tif", "A 4448-2026")</f>
        <v/>
      </c>
      <c r="AA31">
        <f>HYPERLINK("https://klasma.github.io/Logging_1446/klagomål/A 4448-2026 FSC-klagomål.docx", "A 4448-2026")</f>
        <v/>
      </c>
      <c r="AB31">
        <f>HYPERLINK("https://klasma.github.io/Logging_1446/klagomålsmail/A 4448-2026 FSC-klagomål mail.docx", "A 4448-2026")</f>
        <v/>
      </c>
      <c r="AC31">
        <f>HYPERLINK("https://klasma.github.io/Logging_1446/tillsyn/A 4448-2026 tillsynsbegäran.docx", "A 4448-2026")</f>
        <v/>
      </c>
      <c r="AD31">
        <f>HYPERLINK("https://klasma.github.io/Logging_1446/tillsynsmail/A 4448-2026 tillsynsbegäran mail.docx", "A 4448-2026")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46259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46259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46259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46259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46259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46259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46259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46259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46259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46259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46259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46259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25982-2025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45804</v>
      </c>
      <c r="E44" s="1" t="n">
        <v>46259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6.1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7978-2025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45707</v>
      </c>
      <c r="E45" s="1" t="n">
        <v>46259</v>
      </c>
      <c r="F45" t="inlineStr">
        <is>
          <t>VÄSTRA GÖTALANDS LÄN</t>
        </is>
      </c>
      <c r="G45" t="inlineStr">
        <is>
          <t>KARLSBORG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46259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statliga verk och myndigheter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55831-2021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46259</v>
      </c>
      <c r="F47" t="inlineStr">
        <is>
          <t>VÄSTRA GÖTALANDS LÄN</t>
        </is>
      </c>
      <c r="G47" t="inlineStr">
        <is>
          <t>KARLSBORG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58573-2023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45251</v>
      </c>
      <c r="E48" s="1" t="n">
        <v>46259</v>
      </c>
      <c r="F48" t="inlineStr">
        <is>
          <t>VÄSTRA GÖTALANDS LÄN</t>
        </is>
      </c>
      <c r="G48" t="inlineStr">
        <is>
          <t>KARLSBORG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34673-2022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46259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46259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46259</v>
      </c>
      <c r="F51" t="inlineStr">
        <is>
          <t>VÄSTRA GÖTALANDS LÄN</t>
        </is>
      </c>
      <c r="G51" t="inlineStr">
        <is>
          <t>KARLSBORG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25696-2023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45089</v>
      </c>
      <c r="E52" s="1" t="n">
        <v>46259</v>
      </c>
      <c r="F52" t="inlineStr">
        <is>
          <t>VÄSTRA GÖTALANDS LÄN</t>
        </is>
      </c>
      <c r="G52" t="inlineStr">
        <is>
          <t>KARLSBORG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45090</v>
      </c>
      <c r="E53" s="1" t="n">
        <v>46259</v>
      </c>
      <c r="F53" t="inlineStr">
        <is>
          <t>VÄSTRA GÖTALANDS LÄN</t>
        </is>
      </c>
      <c r="G53" t="inlineStr">
        <is>
          <t>KARLSBORG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45090</v>
      </c>
      <c r="E54" s="1" t="n">
        <v>46259</v>
      </c>
      <c r="F54" t="inlineStr">
        <is>
          <t>VÄSTRA GÖTALANDS LÄN</t>
        </is>
      </c>
      <c r="G54" t="inlineStr">
        <is>
          <t>KARLSBORG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38290-2025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45883</v>
      </c>
      <c r="E55" s="1" t="n">
        <v>46259</v>
      </c>
      <c r="F55" t="inlineStr">
        <is>
          <t>VÄSTRA GÖTALANDS LÄN</t>
        </is>
      </c>
      <c r="G55" t="inlineStr">
        <is>
          <t>KARLSBORG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46259</v>
      </c>
      <c r="F56" t="inlineStr">
        <is>
          <t>VÄSTRA GÖTALANDS LÄN</t>
        </is>
      </c>
      <c r="G56" t="inlineStr">
        <is>
          <t>KARLSBORG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44944</v>
      </c>
      <c r="E57" s="1" t="n">
        <v>46259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46259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31701-2025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45834</v>
      </c>
      <c r="E59" s="1" t="n">
        <v>46259</v>
      </c>
      <c r="F59" t="inlineStr">
        <is>
          <t>VÄSTRA GÖTALANDS LÄN</t>
        </is>
      </c>
      <c r="G59" t="inlineStr">
        <is>
          <t>KARLSBORG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27823-2023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45098</v>
      </c>
      <c r="E60" s="1" t="n">
        <v>46259</v>
      </c>
      <c r="F60" t="inlineStr">
        <is>
          <t>VÄSTRA GÖTALANDS LÄN</t>
        </is>
      </c>
      <c r="G60" t="inlineStr">
        <is>
          <t>KARLSBORG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40129-2023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45169</v>
      </c>
      <c r="E61" s="1" t="n">
        <v>46259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46259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46259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32128-2025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45835</v>
      </c>
      <c r="E64" s="1" t="n">
        <v>46259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45078</v>
      </c>
      <c r="E65" s="1" t="n">
        <v>46259</v>
      </c>
      <c r="F65" t="inlineStr">
        <is>
          <t>VÄSTRA GÖTALANDS LÄN</t>
        </is>
      </c>
      <c r="G65" t="inlineStr">
        <is>
          <t>KARLSBORG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70783-2021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44537</v>
      </c>
      <c r="E66" s="1" t="n">
        <v>46259</v>
      </c>
      <c r="F66" t="inlineStr">
        <is>
          <t>VÄSTRA GÖTALANDS LÄN</t>
        </is>
      </c>
      <c r="G66" t="inlineStr">
        <is>
          <t>KARLSBORG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44944</v>
      </c>
      <c r="E67" s="1" t="n">
        <v>46259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46259</v>
      </c>
      <c r="F68" t="inlineStr">
        <is>
          <t>VÄSTRA GÖTALANDS LÄN</t>
        </is>
      </c>
      <c r="G68" t="inlineStr">
        <is>
          <t>KARLSBORG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46259</v>
      </c>
      <c r="F69" t="inlineStr">
        <is>
          <t>VÄSTRA GÖTALANDS LÄN</t>
        </is>
      </c>
      <c r="G69" t="inlineStr">
        <is>
          <t>KARLSBORG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46259</v>
      </c>
      <c r="F70" t="inlineStr">
        <is>
          <t>VÄSTRA GÖTALANDS LÄN</t>
        </is>
      </c>
      <c r="G70" t="inlineStr">
        <is>
          <t>KARLSBORG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61559-2023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46259</v>
      </c>
      <c r="F71" t="inlineStr">
        <is>
          <t>VÄSTRA GÖTALANDS LÄN</t>
        </is>
      </c>
      <c r="G71" t="inlineStr">
        <is>
          <t>KARLSBORG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46259</v>
      </c>
      <c r="F72" t="inlineStr">
        <is>
          <t>VÄSTRA GÖTALANDS LÄN</t>
        </is>
      </c>
      <c r="G72" t="inlineStr">
        <is>
          <t>KARLSBORG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45251</v>
      </c>
      <c r="E73" s="1" t="n">
        <v>46259</v>
      </c>
      <c r="F73" t="inlineStr">
        <is>
          <t>VÄSTRA GÖTALANDS LÄN</t>
        </is>
      </c>
      <c r="G73" t="inlineStr">
        <is>
          <t>KARLSBORG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45019-2024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45575</v>
      </c>
      <c r="E74" s="1" t="n">
        <v>46259</v>
      </c>
      <c r="F74" t="inlineStr">
        <is>
          <t>VÄSTRA GÖTALANDS LÄN</t>
        </is>
      </c>
      <c r="G74" t="inlineStr">
        <is>
          <t>KARLSBORG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45862</v>
      </c>
      <c r="E75" s="1" t="n">
        <v>46259</v>
      </c>
      <c r="F75" t="inlineStr">
        <is>
          <t>VÄSTRA GÖTALANDS LÄN</t>
        </is>
      </c>
      <c r="G75" t="inlineStr">
        <is>
          <t>KARLSBORG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45470</v>
      </c>
      <c r="E76" s="1" t="n">
        <v>46259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29490-2025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46259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46259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29357-2024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45483</v>
      </c>
      <c r="E79" s="1" t="n">
        <v>46259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Sveaskog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61542-2023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46259</v>
      </c>
      <c r="F80" t="inlineStr">
        <is>
          <t>VÄSTRA GÖTALANDS LÄN</t>
        </is>
      </c>
      <c r="G80" t="inlineStr">
        <is>
          <t>KARLSBORG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45524</v>
      </c>
      <c r="E81" s="1" t="n">
        <v>46259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46259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45524</v>
      </c>
      <c r="E83" s="1" t="n">
        <v>46259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Aktiebolag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65313-2021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46259</v>
      </c>
      <c r="F84" t="inlineStr">
        <is>
          <t>VÄSTRA GÖTALANDS LÄN</t>
        </is>
      </c>
      <c r="G84" t="inlineStr">
        <is>
          <t>KARLSBORG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45176</v>
      </c>
      <c r="E85" s="1" t="n">
        <v>46259</v>
      </c>
      <c r="F85" t="inlineStr">
        <is>
          <t>VÄSTRA GÖTALANDS LÄN</t>
        </is>
      </c>
      <c r="G85" t="inlineStr">
        <is>
          <t>KARLSBORG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45548</v>
      </c>
      <c r="E86" s="1" t="n">
        <v>46259</v>
      </c>
      <c r="F86" t="inlineStr">
        <is>
          <t>VÄSTRA GÖTALANDS LÄN</t>
        </is>
      </c>
      <c r="G86" t="inlineStr">
        <is>
          <t>KARLSBORG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46259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statliga verk och myndigheter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46259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statliga verk och myndigheter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46259</v>
      </c>
      <c r="F89" t="inlineStr">
        <is>
          <t>VÄSTRA GÖTALANDS LÄN</t>
        </is>
      </c>
      <c r="G89" t="inlineStr">
        <is>
          <t>KARLSBORG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45899</v>
      </c>
      <c r="E90" s="1" t="n">
        <v>46259</v>
      </c>
      <c r="F90" t="inlineStr">
        <is>
          <t>VÄSTRA GÖTALANDS LÄN</t>
        </is>
      </c>
      <c r="G90" t="inlineStr">
        <is>
          <t>KARLSBORG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58129-2024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45632</v>
      </c>
      <c r="E91" s="1" t="n">
        <v>46259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61211-2022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44908</v>
      </c>
      <c r="E92" s="1" t="n">
        <v>46259</v>
      </c>
      <c r="F92" t="inlineStr">
        <is>
          <t>VÄSTRA GÖTALANDS LÄN</t>
        </is>
      </c>
      <c r="G92" t="inlineStr">
        <is>
          <t>KARLSBORG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46259</v>
      </c>
      <c r="F93" t="inlineStr">
        <is>
          <t>VÄSTRA GÖTALANDS LÄN</t>
        </is>
      </c>
      <c r="G93" t="inlineStr">
        <is>
          <t>KARLSBORG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46259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Kyrkan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14703-2025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46259</v>
      </c>
      <c r="F95" t="inlineStr">
        <is>
          <t>VÄSTRA GÖTALANDS LÄN</t>
        </is>
      </c>
      <c r="G95" t="inlineStr">
        <is>
          <t>KARLSBORG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69341-2021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44531</v>
      </c>
      <c r="E96" s="1" t="n">
        <v>46259</v>
      </c>
      <c r="F96" t="inlineStr">
        <is>
          <t>VÄSTRA GÖTALANDS LÄN</t>
        </is>
      </c>
      <c r="G96" t="inlineStr">
        <is>
          <t>KARLSBORG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5439-2022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46259</v>
      </c>
      <c r="F97" t="inlineStr">
        <is>
          <t>VÄSTRA GÖTALANDS LÄN</t>
        </is>
      </c>
      <c r="G97" t="inlineStr">
        <is>
          <t>KARLSBORG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46259</v>
      </c>
      <c r="F98" t="inlineStr">
        <is>
          <t>VÄSTRA GÖTALANDS LÄN</t>
        </is>
      </c>
      <c r="G98" t="inlineStr">
        <is>
          <t>KARLSBORG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46259</v>
      </c>
      <c r="F99" t="inlineStr">
        <is>
          <t>VÄSTRA GÖTALANDS LÄN</t>
        </is>
      </c>
      <c r="G99" t="inlineStr">
        <is>
          <t>KARLSBORG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57913-2024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45631</v>
      </c>
      <c r="E100" s="1" t="n">
        <v>46259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45742</v>
      </c>
      <c r="E101" s="1" t="n">
        <v>46259</v>
      </c>
      <c r="F101" t="inlineStr">
        <is>
          <t>VÄSTRA GÖTALANDS LÄN</t>
        </is>
      </c>
      <c r="G101" t="inlineStr">
        <is>
          <t>KARLSBORG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45002</v>
      </c>
      <c r="E102" s="1" t="n">
        <v>46259</v>
      </c>
      <c r="F102" t="inlineStr">
        <is>
          <t>VÄSTRA GÖTALANDS LÄN</t>
        </is>
      </c>
      <c r="G102" t="inlineStr">
        <is>
          <t>KARLSBORG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45916</v>
      </c>
      <c r="E103" s="1" t="n">
        <v>46259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Kyrkan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46259</v>
      </c>
      <c r="F104" t="inlineStr">
        <is>
          <t>VÄSTRA GÖTALANDS LÄN</t>
        </is>
      </c>
      <c r="G104" t="inlineStr">
        <is>
          <t>KARLSBORG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45566</v>
      </c>
      <c r="E105" s="1" t="n">
        <v>46259</v>
      </c>
      <c r="F105" t="inlineStr">
        <is>
          <t>VÄSTRA GÖTALANDS LÄN</t>
        </is>
      </c>
      <c r="G105" t="inlineStr">
        <is>
          <t>KARLSBORG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23500-2023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45076</v>
      </c>
      <c r="E106" s="1" t="n">
        <v>46259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44985-2024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46259</v>
      </c>
      <c r="F107" t="inlineStr">
        <is>
          <t>VÄSTRA GÖTALANDS LÄN</t>
        </is>
      </c>
      <c r="G107" t="inlineStr">
        <is>
          <t>KARLSBORG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46259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45561</v>
      </c>
      <c r="E109" s="1" t="n">
        <v>46259</v>
      </c>
      <c r="F109" t="inlineStr">
        <is>
          <t>VÄSTRA GÖTALANDS LÄN</t>
        </is>
      </c>
      <c r="G109" t="inlineStr">
        <is>
          <t>KARLSBORG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45233</v>
      </c>
      <c r="E110" s="1" t="n">
        <v>46259</v>
      </c>
      <c r="F110" t="inlineStr">
        <is>
          <t>VÄSTRA GÖTALANDS LÄN</t>
        </is>
      </c>
      <c r="G110" t="inlineStr">
        <is>
          <t>KARLSBORG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45218</v>
      </c>
      <c r="E111" s="1" t="n">
        <v>46259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Sveaskog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45247-2025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46259</v>
      </c>
      <c r="F112" t="inlineStr">
        <is>
          <t>VÄSTRA GÖTALANDS LÄN</t>
        </is>
      </c>
      <c r="G112" t="inlineStr">
        <is>
          <t>KARLSBORG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45919</v>
      </c>
      <c r="E113" s="1" t="n">
        <v>46259</v>
      </c>
      <c r="F113" t="inlineStr">
        <is>
          <t>VÄSTRA GÖTALANDS LÄN</t>
        </is>
      </c>
      <c r="G113" t="inlineStr">
        <is>
          <t>KARLSBORG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44906</v>
      </c>
      <c r="E114" s="1" t="n">
        <v>46259</v>
      </c>
      <c r="F114" t="inlineStr">
        <is>
          <t>VÄSTRA GÖTALANDS LÄN</t>
        </is>
      </c>
      <c r="G114" t="inlineStr">
        <is>
          <t>KARLSBORG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46259</v>
      </c>
      <c r="F115" t="inlineStr">
        <is>
          <t>VÄSTRA GÖTALANDS LÄN</t>
        </is>
      </c>
      <c r="G115" t="inlineStr">
        <is>
          <t>KARLSBORG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46259</v>
      </c>
      <c r="F116" t="inlineStr">
        <is>
          <t>VÄSTRA GÖTALANDS LÄN</t>
        </is>
      </c>
      <c r="G116" t="inlineStr">
        <is>
          <t>KARLSBORG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46259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46259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44929</v>
      </c>
      <c r="E119" s="1" t="n">
        <v>46259</v>
      </c>
      <c r="F119" t="inlineStr">
        <is>
          <t>VÄSTRA GÖTALANDS LÄN</t>
        </is>
      </c>
      <c r="G119" t="inlineStr">
        <is>
          <t>KARLSBORG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  <c r="X119">
        <f>HYPERLINK("https://klasma.github.io/Logging_1446/kartor/A 412-2023 karta.png", "A 412-2023")</f>
        <v/>
      </c>
      <c r="Y119">
        <f>HYPERLINK("https://klasma.github.io/Logging_1446/kartor_geotiff/A 412-2023 georefererad karta.tif", "A 412-2023")</f>
        <v/>
      </c>
      <c r="AA119">
        <f>HYPERLINK("https://klasma.github.io/Logging_1446/klagomål/A 412-2023 FSC-klagomål.docx", "A 412-2023")</f>
        <v/>
      </c>
      <c r="AB119">
        <f>HYPERLINK("https://klasma.github.io/Logging_1446/klagomålsmail/A 412-2023 FSC-klagomål mail.docx", "A 412-2023")</f>
        <v/>
      </c>
      <c r="AC119">
        <f>HYPERLINK("https://klasma.github.io/Logging_1446/tillsyn/A 412-2023 tillsynsbegäran.docx", "A 412-2023")</f>
        <v/>
      </c>
      <c r="AD119">
        <f>HYPERLINK("https://klasma.github.io/Logging_1446/tillsynsmail/A 412-2023 tillsynsbegäran mail.docx", "A 412-2023")</f>
        <v/>
      </c>
    </row>
    <row r="120" ht="15" customHeight="1">
      <c r="A120" t="inlineStr">
        <is>
          <t>A 56545-2023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46259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10828-2024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45369</v>
      </c>
      <c r="E121" s="1" t="n">
        <v>46259</v>
      </c>
      <c r="F121" t="inlineStr">
        <is>
          <t>VÄSTRA GÖTALANDS LÄN</t>
        </is>
      </c>
      <c r="G121" t="inlineStr">
        <is>
          <t>KARLSBORG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47265-2025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46259</v>
      </c>
      <c r="F122" t="inlineStr">
        <is>
          <t>VÄSTRA GÖTALANDS LÄN</t>
        </is>
      </c>
      <c r="G122" t="inlineStr">
        <is>
          <t>KARLSBORG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45614</v>
      </c>
      <c r="E123" s="1" t="n">
        <v>46259</v>
      </c>
      <c r="F123" t="inlineStr">
        <is>
          <t>VÄSTRA GÖTALANDS LÄN</t>
        </is>
      </c>
      <c r="G123" t="inlineStr">
        <is>
          <t>KARLSBORG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45930</v>
      </c>
      <c r="E124" s="1" t="n">
        <v>46259</v>
      </c>
      <c r="F124" t="inlineStr">
        <is>
          <t>VÄSTRA GÖTALANDS LÄN</t>
        </is>
      </c>
      <c r="G124" t="inlineStr">
        <is>
          <t>KARLSBORG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46259</v>
      </c>
      <c r="F125" t="inlineStr">
        <is>
          <t>VÄSTRA GÖTALANDS LÄN</t>
        </is>
      </c>
      <c r="G125" t="inlineStr">
        <is>
          <t>KARLSBORG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17002-2025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45755</v>
      </c>
      <c r="E126" s="1" t="n">
        <v>46259</v>
      </c>
      <c r="F126" t="inlineStr">
        <is>
          <t>VÄSTRA GÖTALANDS LÄN</t>
        </is>
      </c>
      <c r="G126" t="inlineStr">
        <is>
          <t>KARLSBORG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46259</v>
      </c>
      <c r="F127" t="inlineStr">
        <is>
          <t>VÄSTRA GÖTALANDS LÄN</t>
        </is>
      </c>
      <c r="G127" t="inlineStr">
        <is>
          <t>KARLSBORG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33122-2022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44785</v>
      </c>
      <c r="E128" s="1" t="n">
        <v>46259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10415-2025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46259</v>
      </c>
      <c r="F129" t="inlineStr">
        <is>
          <t>VÄSTRA GÖTALANDS LÄN</t>
        </is>
      </c>
      <c r="G129" t="inlineStr">
        <is>
          <t>KARLSBORG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45252</v>
      </c>
      <c r="E130" s="1" t="n">
        <v>46259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45257</v>
      </c>
      <c r="E131" s="1" t="n">
        <v>46259</v>
      </c>
      <c r="F131" t="inlineStr">
        <is>
          <t>VÄSTRA GÖTALANDS LÄN</t>
        </is>
      </c>
      <c r="G131" t="inlineStr">
        <is>
          <t>KARLSBORG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45002</v>
      </c>
      <c r="E132" s="1" t="n">
        <v>46259</v>
      </c>
      <c r="F132" t="inlineStr">
        <is>
          <t>VÄSTRA GÖTALANDS LÄN</t>
        </is>
      </c>
      <c r="G132" t="inlineStr">
        <is>
          <t>KARLSBORG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45940</v>
      </c>
      <c r="E133" s="1" t="n">
        <v>46259</v>
      </c>
      <c r="F133" t="inlineStr">
        <is>
          <t>VÄSTRA GÖTALANDS LÄN</t>
        </is>
      </c>
      <c r="G133" t="inlineStr">
        <is>
          <t>KARLSBORG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46259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35441-2024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45531</v>
      </c>
      <c r="E135" s="1" t="n">
        <v>46259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46259</v>
      </c>
      <c r="F136" t="inlineStr">
        <is>
          <t>VÄSTRA GÖTALANDS LÄN</t>
        </is>
      </c>
      <c r="G136" t="inlineStr">
        <is>
          <t>KARLSBORG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44755</v>
      </c>
      <c r="E137" s="1" t="n">
        <v>46259</v>
      </c>
      <c r="F137" t="inlineStr">
        <is>
          <t>VÄSTRA GÖTALANDS LÄN</t>
        </is>
      </c>
      <c r="G137" t="inlineStr">
        <is>
          <t>KARLSBORG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24594-2022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44727</v>
      </c>
      <c r="E138" s="1" t="n">
        <v>46259</v>
      </c>
      <c r="F138" t="inlineStr">
        <is>
          <t>VÄSTRA GÖTALANDS LÄN</t>
        </is>
      </c>
      <c r="G138" t="inlineStr">
        <is>
          <t>KARLSBORG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20940-2026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46142</v>
      </c>
      <c r="E139" s="1" t="n">
        <v>46259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46259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45942</v>
      </c>
      <c r="E141" s="1" t="n">
        <v>46259</v>
      </c>
      <c r="F141" t="inlineStr">
        <is>
          <t>VÄSTRA GÖTALANDS LÄN</t>
        </is>
      </c>
      <c r="G141" t="inlineStr">
        <is>
          <t>KARLSBORG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23469-2024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45453</v>
      </c>
      <c r="E142" s="1" t="n">
        <v>46259</v>
      </c>
      <c r="F142" t="inlineStr">
        <is>
          <t>VÄSTRA GÖTALANDS LÄN</t>
        </is>
      </c>
      <c r="G142" t="inlineStr">
        <is>
          <t>KARLSBORG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21014-2026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46143</v>
      </c>
      <c r="E143" s="1" t="n">
        <v>46259</v>
      </c>
      <c r="F143" t="inlineStr">
        <is>
          <t>VÄSTRA GÖTALANDS LÄN</t>
        </is>
      </c>
      <c r="G143" t="inlineStr">
        <is>
          <t>KARLSBORG</t>
        </is>
      </c>
      <c r="I143" t="n">
        <v>14.6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45566</v>
      </c>
      <c r="E144" s="1" t="n">
        <v>46259</v>
      </c>
      <c r="F144" t="inlineStr">
        <is>
          <t>VÄSTRA GÖTALANDS LÄN</t>
        </is>
      </c>
      <c r="G144" t="inlineStr">
        <is>
          <t>KARLSBORG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59045-2023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46259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46259</v>
      </c>
      <c r="F146" t="inlineStr">
        <is>
          <t>VÄSTRA GÖTALANDS LÄN</t>
        </is>
      </c>
      <c r="G146" t="inlineStr">
        <is>
          <t>KARLSBORG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46259</v>
      </c>
      <c r="F147" t="inlineStr">
        <is>
          <t>VÄSTRA GÖTALANDS LÄN</t>
        </is>
      </c>
      <c r="G147" t="inlineStr">
        <is>
          <t>KARLSBORG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44895</v>
      </c>
      <c r="E148" s="1" t="n">
        <v>46259</v>
      </c>
      <c r="F148" t="inlineStr">
        <is>
          <t>VÄSTRA GÖTALANDS LÄN</t>
        </is>
      </c>
      <c r="G148" t="inlineStr">
        <is>
          <t>KARLSBORG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44906</v>
      </c>
      <c r="E149" s="1" t="n">
        <v>46259</v>
      </c>
      <c r="F149" t="inlineStr">
        <is>
          <t>VÄSTRA GÖTALANDS LÄN</t>
        </is>
      </c>
      <c r="G149" t="inlineStr">
        <is>
          <t>KARLSBORG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62304-2021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44503</v>
      </c>
      <c r="E150" s="1" t="n">
        <v>46259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46259</v>
      </c>
      <c r="F151" t="inlineStr">
        <is>
          <t>VÄSTRA GÖTALANDS LÄN</t>
        </is>
      </c>
      <c r="G151" t="inlineStr">
        <is>
          <t>KARLSBORG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44664</v>
      </c>
      <c r="E152" s="1" t="n">
        <v>46259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Aktiebolag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15396-2024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45401</v>
      </c>
      <c r="E153" s="1" t="n">
        <v>46259</v>
      </c>
      <c r="F153" t="inlineStr">
        <is>
          <t>VÄSTRA GÖTALANDS LÄN</t>
        </is>
      </c>
      <c r="G153" t="inlineStr">
        <is>
          <t>KARLSBORG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45489</v>
      </c>
      <c r="E154" s="1" t="n">
        <v>46259</v>
      </c>
      <c r="F154" t="inlineStr">
        <is>
          <t>VÄSTRA GÖTALANDS LÄN</t>
        </is>
      </c>
      <c r="G154" t="inlineStr">
        <is>
          <t>KARLSBORG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59877-2021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46259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45436</v>
      </c>
      <c r="E156" s="1" t="n">
        <v>46259</v>
      </c>
      <c r="F156" t="inlineStr">
        <is>
          <t>VÄSTRA GÖTALANDS LÄN</t>
        </is>
      </c>
      <c r="G156" t="inlineStr">
        <is>
          <t>KARLSBORG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44939</v>
      </c>
      <c r="E157" s="1" t="n">
        <v>46259</v>
      </c>
      <c r="F157" t="inlineStr">
        <is>
          <t>VÄSTRA GÖTALANDS LÄN</t>
        </is>
      </c>
      <c r="G157" t="inlineStr">
        <is>
          <t>KARLSBORG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46259</v>
      </c>
      <c r="F158" t="inlineStr">
        <is>
          <t>VÄSTRA GÖTALANDS LÄN</t>
        </is>
      </c>
      <c r="G158" t="inlineStr">
        <is>
          <t>KARLSBORG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45090</v>
      </c>
      <c r="E159" s="1" t="n">
        <v>46259</v>
      </c>
      <c r="F159" t="inlineStr">
        <is>
          <t>VÄSTRA GÖTALANDS LÄN</t>
        </is>
      </c>
      <c r="G159" t="inlineStr">
        <is>
          <t>KARLSBORG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24541-2026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46259</v>
      </c>
      <c r="F160" t="inlineStr">
        <is>
          <t>VÄSTRA GÖTALANDS LÄN</t>
        </is>
      </c>
      <c r="G160" t="inlineStr">
        <is>
          <t>KARLSBORG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46171</v>
      </c>
      <c r="E161" s="1" t="n">
        <v>46259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46259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44687</v>
      </c>
      <c r="E163" s="1" t="n">
        <v>46259</v>
      </c>
      <c r="F163" t="inlineStr">
        <is>
          <t>VÄSTRA GÖTALANDS LÄN</t>
        </is>
      </c>
      <c r="G163" t="inlineStr">
        <is>
          <t>KARLSBORG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44906</v>
      </c>
      <c r="E164" s="1" t="n">
        <v>46259</v>
      </c>
      <c r="F164" t="inlineStr">
        <is>
          <t>VÄSTRA GÖTALANDS LÄN</t>
        </is>
      </c>
      <c r="G164" t="inlineStr">
        <is>
          <t>KARLSBORG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44809</v>
      </c>
      <c r="E165" s="1" t="n">
        <v>46259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44972</v>
      </c>
      <c r="E166" s="1" t="n">
        <v>46259</v>
      </c>
      <c r="F166" t="inlineStr">
        <is>
          <t>VÄSTRA GÖTALANDS LÄN</t>
        </is>
      </c>
      <c r="G166" t="inlineStr">
        <is>
          <t>KARLSBORG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46259</v>
      </c>
      <c r="F167" t="inlineStr">
        <is>
          <t>VÄSTRA GÖTALANDS LÄN</t>
        </is>
      </c>
      <c r="G167" t="inlineStr">
        <is>
          <t>KARLSBORG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45166</v>
      </c>
      <c r="E168" s="1" t="n">
        <v>46259</v>
      </c>
      <c r="F168" t="inlineStr">
        <is>
          <t>VÄSTRA GÖTALANDS LÄN</t>
        </is>
      </c>
      <c r="G168" t="inlineStr">
        <is>
          <t>KARLSBORG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45166</v>
      </c>
      <c r="E169" s="1" t="n">
        <v>46259</v>
      </c>
      <c r="F169" t="inlineStr">
        <is>
          <t>VÄSTRA GÖTALANDS LÄN</t>
        </is>
      </c>
      <c r="G169" t="inlineStr">
        <is>
          <t>KARLSBORG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45394</v>
      </c>
      <c r="E170" s="1" t="n">
        <v>46259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46259</v>
      </c>
      <c r="F171" t="inlineStr">
        <is>
          <t>VÄSTRA GÖTALANDS LÄN</t>
        </is>
      </c>
      <c r="G171" t="inlineStr">
        <is>
          <t>KARLSBORG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44795</v>
      </c>
      <c r="E172" s="1" t="n">
        <v>46259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58127-2024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45632</v>
      </c>
      <c r="E173" s="1" t="n">
        <v>46259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31798-2026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46230</v>
      </c>
      <c r="E174" s="1" t="n">
        <v>46259</v>
      </c>
      <c r="F174" t="inlineStr">
        <is>
          <t>VÄSTRA GÖTALANDS LÄN</t>
        </is>
      </c>
      <c r="G174" t="inlineStr">
        <is>
          <t>KARLSBORG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46259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57581-2025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46259</v>
      </c>
      <c r="F176" t="inlineStr">
        <is>
          <t>VÄSTRA GÖTALANDS LÄN</t>
        </is>
      </c>
      <c r="G176" t="inlineStr">
        <is>
          <t>KARLSBORG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15220-2023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46259</v>
      </c>
      <c r="F177" t="inlineStr">
        <is>
          <t>VÄSTRA GÖTALANDS LÄN</t>
        </is>
      </c>
      <c r="G177" t="inlineStr">
        <is>
          <t>KARLSBORG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27332-2026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46259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12.6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46188</v>
      </c>
      <c r="E179" s="1" t="n">
        <v>46259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27906-2026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46191</v>
      </c>
      <c r="E180" s="1" t="n">
        <v>46259</v>
      </c>
      <c r="F180" t="inlineStr">
        <is>
          <t>VÄSTRA GÖTALANDS LÄN</t>
        </is>
      </c>
      <c r="G180" t="inlineStr">
        <is>
          <t>KARLSBORG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46259</v>
      </c>
      <c r="F181" t="inlineStr">
        <is>
          <t>VÄSTRA GÖTALANDS LÄN</t>
        </is>
      </c>
      <c r="G181" t="inlineStr">
        <is>
          <t>KARLSBORG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46259</v>
      </c>
      <c r="F182" t="inlineStr">
        <is>
          <t>VÄSTRA GÖTALANDS LÄN</t>
        </is>
      </c>
      <c r="G182" t="inlineStr">
        <is>
          <t>KARLSBORG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44944</v>
      </c>
      <c r="E183" s="1" t="n">
        <v>46259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Aktiebolag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57454-2024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45630</v>
      </c>
      <c r="E184" s="1" t="n">
        <v>46259</v>
      </c>
      <c r="F184" t="inlineStr">
        <is>
          <t>VÄSTRA GÖTALANDS LÄN</t>
        </is>
      </c>
      <c r="G184" t="inlineStr">
        <is>
          <t>KARLSBORG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62068-2025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46006</v>
      </c>
      <c r="E185" s="1" t="n">
        <v>46259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62072-2025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46006</v>
      </c>
      <c r="E186" s="1" t="n">
        <v>46259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45209</v>
      </c>
      <c r="E187" s="1" t="n">
        <v>46259</v>
      </c>
      <c r="F187" t="inlineStr">
        <is>
          <t>VÄSTRA GÖTALANDS LÄN</t>
        </is>
      </c>
      <c r="G187" t="inlineStr">
        <is>
          <t>KARLSBORG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46259</v>
      </c>
      <c r="F188" t="inlineStr">
        <is>
          <t>VÄSTRA GÖTALANDS LÄN</t>
        </is>
      </c>
      <c r="G188" t="inlineStr">
        <is>
          <t>KARLSBORG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64011-2025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46021</v>
      </c>
      <c r="E189" s="1" t="n">
        <v>46259</v>
      </c>
      <c r="F189" t="inlineStr">
        <is>
          <t>VÄSTRA GÖTALANDS LÄN</t>
        </is>
      </c>
      <c r="G189" t="inlineStr">
        <is>
          <t>KARLSBORG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64012-2025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46021</v>
      </c>
      <c r="E190" s="1" t="n">
        <v>46259</v>
      </c>
      <c r="F190" t="inlineStr">
        <is>
          <t>VÄSTRA GÖTALANDS LÄN</t>
        </is>
      </c>
      <c r="G190" t="inlineStr">
        <is>
          <t>KARLSBORG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46021</v>
      </c>
      <c r="E191" s="1" t="n">
        <v>46259</v>
      </c>
      <c r="F191" t="inlineStr">
        <is>
          <t>VÄSTRA GÖTALANDS LÄN</t>
        </is>
      </c>
      <c r="G191" t="inlineStr">
        <is>
          <t>KARLSBORG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51111-2024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45603</v>
      </c>
      <c r="E192" s="1" t="n">
        <v>46259</v>
      </c>
      <c r="F192" t="inlineStr">
        <is>
          <t>VÄSTRA GÖTALANDS LÄN</t>
        </is>
      </c>
      <c r="G192" t="inlineStr">
        <is>
          <t>KARLSBORG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46259</v>
      </c>
      <c r="F193" t="inlineStr">
        <is>
          <t>VÄSTRA GÖTALANDS LÄN</t>
        </is>
      </c>
      <c r="G193" t="inlineStr">
        <is>
          <t>KARLSBORG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45478</v>
      </c>
      <c r="E194" s="1" t="n">
        <v>46259</v>
      </c>
      <c r="F194" t="inlineStr">
        <is>
          <t>VÄSTRA GÖTALANDS LÄN</t>
        </is>
      </c>
      <c r="G194" t="inlineStr">
        <is>
          <t>KARLSBORG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45386</v>
      </c>
      <c r="E195" s="1" t="n">
        <v>46259</v>
      </c>
      <c r="F195" t="inlineStr">
        <is>
          <t>VÄSTRA GÖTALANDS LÄN</t>
        </is>
      </c>
      <c r="G195" t="inlineStr">
        <is>
          <t>KARLSBORG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46259</v>
      </c>
      <c r="F196" t="inlineStr">
        <is>
          <t>VÄSTRA GÖTALANDS LÄN</t>
        </is>
      </c>
      <c r="G196" t="inlineStr">
        <is>
          <t>KARLSBORG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46045</v>
      </c>
      <c r="E197" s="1" t="n">
        <v>46259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Övriga Aktiebolag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46259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46259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Aktiebolag</t>
        </is>
      </c>
      <c r="I199" t="n">
        <v>14.3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46259</v>
      </c>
      <c r="F200" t="inlineStr">
        <is>
          <t>VÄSTRA GÖTALANDS LÄN</t>
        </is>
      </c>
      <c r="G200" t="inlineStr">
        <is>
          <t>KARLSBORG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57915-2024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45631</v>
      </c>
      <c r="E201" s="1" t="n">
        <v>46259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30262-2026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46206</v>
      </c>
      <c r="E202" s="1" t="n">
        <v>46259</v>
      </c>
      <c r="F202" t="inlineStr">
        <is>
          <t>VÄSTRA GÖTALANDS LÄN</t>
        </is>
      </c>
      <c r="G202" t="inlineStr">
        <is>
          <t>KARLSBORG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46160</v>
      </c>
      <c r="E203" s="1" t="n">
        <v>46259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46259</v>
      </c>
      <c r="F204" t="inlineStr">
        <is>
          <t>VÄSTRA GÖTALANDS LÄN</t>
        </is>
      </c>
      <c r="G204" t="inlineStr">
        <is>
          <t>KARLSBORG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46259</v>
      </c>
      <c r="F205" t="inlineStr">
        <is>
          <t>VÄSTRA GÖTALANDS LÄN</t>
        </is>
      </c>
      <c r="G205" t="inlineStr">
        <is>
          <t>KARLSBORG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45224-2021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44439</v>
      </c>
      <c r="E206" s="1" t="n">
        <v>46259</v>
      </c>
      <c r="F206" t="inlineStr">
        <is>
          <t>VÄSTRA GÖTALANDS LÄN</t>
        </is>
      </c>
      <c r="G206" t="inlineStr">
        <is>
          <t>KARLSBORG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30610-2026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46210</v>
      </c>
      <c r="E207" s="1" t="n">
        <v>46259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46259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46259</v>
      </c>
      <c r="F209" t="inlineStr">
        <is>
          <t>VÄSTRA GÖTALANDS LÄN</t>
        </is>
      </c>
      <c r="G209" t="inlineStr">
        <is>
          <t>KARLSBORG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46259</v>
      </c>
      <c r="F210" t="inlineStr">
        <is>
          <t>VÄSTRA GÖTALANDS LÄN</t>
        </is>
      </c>
      <c r="G210" t="inlineStr">
        <is>
          <t>KARLSBORG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45786</v>
      </c>
      <c r="E211" s="1" t="n">
        <v>46259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45789</v>
      </c>
      <c r="E212" s="1" t="n">
        <v>46259</v>
      </c>
      <c r="F212" t="inlineStr">
        <is>
          <t>VÄSTRA GÖTALANDS LÄN</t>
        </is>
      </c>
      <c r="G212" t="inlineStr">
        <is>
          <t>KARLSBORG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46259</v>
      </c>
      <c r="F213" t="inlineStr">
        <is>
          <t>VÄSTRA GÖTALANDS LÄN</t>
        </is>
      </c>
      <c r="G213" t="inlineStr">
        <is>
          <t>KARLSBORG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45680</v>
      </c>
      <c r="E214" s="1" t="n">
        <v>46259</v>
      </c>
      <c r="F214" t="inlineStr">
        <is>
          <t>VÄSTRA GÖTALANDS LÄN</t>
        </is>
      </c>
      <c r="G214" t="inlineStr">
        <is>
          <t>KARLSBORG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46010</v>
      </c>
      <c r="E215" s="1" t="n">
        <v>46259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statliga verk och myndigheter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63733-2025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46010</v>
      </c>
      <c r="E216" s="1" t="n">
        <v>46259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Övriga statliga verk och myndigheter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46062</v>
      </c>
      <c r="E217" s="1" t="n">
        <v>46259</v>
      </c>
      <c r="F217" t="inlineStr">
        <is>
          <t>VÄSTRA GÖTALANDS LÄN</t>
        </is>
      </c>
      <c r="G217" t="inlineStr">
        <is>
          <t>KARLSBORG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46259</v>
      </c>
      <c r="F218" t="inlineStr">
        <is>
          <t>VÄSTRA GÖTALANDS LÄN</t>
        </is>
      </c>
      <c r="G218" t="inlineStr">
        <is>
          <t>KARLSBORG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46259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Övriga Aktiebolag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46259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Övriga statliga verk och myndigheter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46010</v>
      </c>
      <c r="E221" s="1" t="n">
        <v>46259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statliga verk och myndigheter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46259</v>
      </c>
      <c r="F222" t="inlineStr">
        <is>
          <t>VÄSTRA GÖTALANDS LÄN</t>
        </is>
      </c>
      <c r="G222" t="inlineStr">
        <is>
          <t>KARLSBORG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46079</v>
      </c>
      <c r="E223" s="1" t="n">
        <v>46259</v>
      </c>
      <c r="F223" t="inlineStr">
        <is>
          <t>VÄSTRA GÖTALANDS LÄN</t>
        </is>
      </c>
      <c r="G223" t="inlineStr">
        <is>
          <t>KARLSBORG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46259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46259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2026-08-25T01:49:11Z</dcterms:created>
  <dcterms:modified xmlns:dcterms="http://purl.org/dc/terms/" xmlns:xsi="http://www.w3.org/2001/XMLSchema-instance" xsi:type="dcterms:W3CDTF">2026-08-25T01:49:12Z</dcterms:modified>
</cp:coreProperties>
</file>