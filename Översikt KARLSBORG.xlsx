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46280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46280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46280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46280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46280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46280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46280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46280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46280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46280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46280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46280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46280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46280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46280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46280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46280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29156-2026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46202</v>
      </c>
      <c r="E22" s="1" t="n">
        <v>46280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29156-2026 artfynd.xlsx", "A 29156-2026")</f>
        <v/>
      </c>
      <c r="X22">
        <f>HYPERLINK("https://klasma.github.io/Logging_1446/kartor/A 29156-2026 karta.png", "A 29156-2026")</f>
        <v/>
      </c>
      <c r="Y22">
        <f>HYPERLINK("https://klasma.github.io/Logging_1446/kartor_geotiff/A 29156-2026 georefererad karta.tif", "A 29156-2026")</f>
        <v/>
      </c>
      <c r="AA22">
        <f>HYPERLINK("https://klasma.github.io/Logging_1446/klagomål/A 29156-2026 FSC-klagomål.docx", "A 29156-2026")</f>
        <v/>
      </c>
      <c r="AB22">
        <f>HYPERLINK("https://klasma.github.io/Logging_1446/klagomålsmail/A 29156-2026 FSC-klagomål mail.docx", "A 29156-2026")</f>
        <v/>
      </c>
      <c r="AC22">
        <f>HYPERLINK("https://klasma.github.io/Logging_1446/tillsyn/A 29156-2026 tillsynsbegäran.docx", "A 29156-2026")</f>
        <v/>
      </c>
      <c r="AD22">
        <f>HYPERLINK("https://klasma.github.io/Logging_1446/tillsynsmail/A 29156-2026 tillsynsbegäran mail.docx", "A 29156-2026")</f>
        <v/>
      </c>
    </row>
    <row r="23" ht="15" customHeight="1">
      <c r="A23" t="inlineStr">
        <is>
          <t>A 51531-2023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46280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Kommuner</t>
        </is>
      </c>
      <c r="I23" t="n">
        <v>11.2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HYPERLINK("https://klasma.github.io/Logging_1446/artfynd/A 51531-2023 artfynd.xlsx", "A 51531-2023")</f>
        <v/>
      </c>
      <c r="X23">
        <f>HYPERLINK("https://klasma.github.io/Logging_1446/kartor/A 51531-2023 karta.png", "A 51531-2023")</f>
        <v/>
      </c>
      <c r="Y23">
        <f>HYPERLINK("https://klasma.github.io/Logging_1446/kartor_geotiff/A 51531-2023 georefererad karta.tif", "A 51531-2023")</f>
        <v/>
      </c>
      <c r="AA23">
        <f>HYPERLINK("https://klasma.github.io/Logging_1446/klagomål/A 51531-2023 FSC-klagomål.docx", "A 51531-2023")</f>
        <v/>
      </c>
      <c r="AB23">
        <f>HYPERLINK("https://klasma.github.io/Logging_1446/klagomålsmail/A 51531-2023 FSC-klagomål mail.docx", "A 51531-2023")</f>
        <v/>
      </c>
      <c r="AC23">
        <f>HYPERLINK("https://klasma.github.io/Logging_1446/tillsyn/A 51531-2023 tillsynsbegäran.docx", "A 51531-2023")</f>
        <v/>
      </c>
      <c r="AD23">
        <f>HYPERLINK("https://klasma.github.io/Logging_1446/tillsynsmail/A 51531-2023 tillsynsbegäran mail.docx", "A 51531-2023")</f>
        <v/>
      </c>
    </row>
    <row r="24" ht="15" customHeight="1">
      <c r="A24" t="inlineStr">
        <is>
          <t>A 31801-2026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46230</v>
      </c>
      <c r="E24" s="1" t="n">
        <v>46280</v>
      </c>
      <c r="F24" t="inlineStr">
        <is>
          <t>VÄSTRA GÖTALANDS LÄN</t>
        </is>
      </c>
      <c r="G24" t="inlineStr">
        <is>
          <t>KARLSBORG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0</v>
      </c>
      <c r="V24" s="2" t="inlineStr">
        <is>
          <t>Knärot</t>
        </is>
      </c>
      <c r="W24">
        <f>HYPERLINK("https://klasma.github.io/Logging_1446/artfynd/A 31801-2026 artfynd.xlsx", "A 31801-2026")</f>
        <v/>
      </c>
      <c r="X24">
        <f>HYPERLINK("https://klasma.github.io/Logging_1446/kartor/A 31801-2026 karta.png", "A 31801-2026")</f>
        <v/>
      </c>
      <c r="Y24">
        <f>HYPERLINK("https://klasma.github.io/Logging_1446/kartor_geotiff/A 31801-2026 georefererad karta.tif", "A 31801-2026")</f>
        <v/>
      </c>
      <c r="Z24">
        <f>HYPERLINK("https://klasma.github.io/Logging_1446/knärot/A 31801-2026 karta knärot.png", "A 31801-2026")</f>
        <v/>
      </c>
      <c r="AA24">
        <f>HYPERLINK("https://klasma.github.io/Logging_1446/klagomål/A 31801-2026 FSC-klagomål.docx", "A 31801-2026")</f>
        <v/>
      </c>
      <c r="AB24">
        <f>HYPERLINK("https://klasma.github.io/Logging_1446/klagomålsmail/A 31801-2026 FSC-klagomål mail.docx", "A 31801-2026")</f>
        <v/>
      </c>
      <c r="AC24">
        <f>HYPERLINK("https://klasma.github.io/Logging_1446/tillsyn/A 31801-2026 tillsynsbegäran.docx", "A 31801-2026")</f>
        <v/>
      </c>
      <c r="AD24">
        <f>HYPERLINK("https://klasma.github.io/Logging_1446/tillsynsmail/A 31801-2026 tillsynsbegäran mail.docx", "A 31801-2026")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46280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46280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46280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46280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46280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46280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46280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46280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46280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46280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46280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46280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46280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46280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46280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46280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statliga verk och myndigheter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55831-2021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46280</v>
      </c>
      <c r="F43" t="inlineStr">
        <is>
          <t>VÄSTRA GÖTALANDS LÄN</t>
        </is>
      </c>
      <c r="G43" t="inlineStr">
        <is>
          <t>KARLSBORG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46280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46280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46280</v>
      </c>
      <c r="F46" t="inlineStr">
        <is>
          <t>VÄSTRA GÖTALANDS LÄN</t>
        </is>
      </c>
      <c r="G46" t="inlineStr">
        <is>
          <t>KARLSBORG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46280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46280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46280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46280</v>
      </c>
      <c r="F50" t="inlineStr">
        <is>
          <t>VÄSTRA GÖTALANDS LÄN</t>
        </is>
      </c>
      <c r="G50" t="inlineStr">
        <is>
          <t>KARLSBORG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46280</v>
      </c>
      <c r="F51" t="inlineStr">
        <is>
          <t>VÄSTRA GÖTALANDS LÄN</t>
        </is>
      </c>
      <c r="G51" t="inlineStr">
        <is>
          <t>KARLSBORG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57454-2024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45630</v>
      </c>
      <c r="E52" s="1" t="n">
        <v>46280</v>
      </c>
      <c r="F52" t="inlineStr">
        <is>
          <t>VÄSTRA GÖTALANDS LÄN</t>
        </is>
      </c>
      <c r="G52" t="inlineStr">
        <is>
          <t>KARLSBORG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45243</v>
      </c>
      <c r="E53" s="1" t="n">
        <v>46280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46280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46280</v>
      </c>
      <c r="F55" t="inlineStr">
        <is>
          <t>VÄSTRA GÖTALANDS LÄN</t>
        </is>
      </c>
      <c r="G55" t="inlineStr">
        <is>
          <t>KARLSBORG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46280</v>
      </c>
      <c r="F56" t="inlineStr">
        <is>
          <t>VÄSTRA GÖTALANDS LÄN</t>
        </is>
      </c>
      <c r="G56" t="inlineStr">
        <is>
          <t>KARLSBORG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46280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46006</v>
      </c>
      <c r="E58" s="1" t="n">
        <v>46280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46280</v>
      </c>
      <c r="F59" t="inlineStr">
        <is>
          <t>VÄSTRA GÖTALANDS LÄN</t>
        </is>
      </c>
      <c r="G59" t="inlineStr">
        <is>
          <t>KARLSBORG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46280</v>
      </c>
      <c r="F60" t="inlineStr">
        <is>
          <t>VÄSTRA GÖTALANDS LÄN</t>
        </is>
      </c>
      <c r="G60" t="inlineStr">
        <is>
          <t>KARLSBORG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45804</v>
      </c>
      <c r="E61" s="1" t="n">
        <v>46280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7978-2025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45707</v>
      </c>
      <c r="E62" s="1" t="n">
        <v>46280</v>
      </c>
      <c r="F62" t="inlineStr">
        <is>
          <t>VÄSTRA GÖTALANDS LÄN</t>
        </is>
      </c>
      <c r="G62" t="inlineStr">
        <is>
          <t>KARLSBORG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64011-2025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46021</v>
      </c>
      <c r="E63" s="1" t="n">
        <v>46280</v>
      </c>
      <c r="F63" t="inlineStr">
        <is>
          <t>VÄSTRA GÖTALANDS LÄN</t>
        </is>
      </c>
      <c r="G63" t="inlineStr">
        <is>
          <t>KARLSBORG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46021</v>
      </c>
      <c r="E64" s="1" t="n">
        <v>46280</v>
      </c>
      <c r="F64" t="inlineStr">
        <is>
          <t>VÄSTRA GÖTALANDS LÄN</t>
        </is>
      </c>
      <c r="G64" t="inlineStr">
        <is>
          <t>KARLSBORG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46280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46280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46280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46280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46280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46280</v>
      </c>
      <c r="F70" t="inlineStr">
        <is>
          <t>VÄSTRA GÖTALANDS LÄN</t>
        </is>
      </c>
      <c r="G70" t="inlineStr">
        <is>
          <t>KARLSBORG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46280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45899</v>
      </c>
      <c r="E72" s="1" t="n">
        <v>46280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45478</v>
      </c>
      <c r="E73" s="1" t="n">
        <v>46280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45183</v>
      </c>
      <c r="E74" s="1" t="n">
        <v>46280</v>
      </c>
      <c r="F74" t="inlineStr">
        <is>
          <t>VÄSTRA GÖTALANDS LÄN</t>
        </is>
      </c>
      <c r="G74" t="inlineStr">
        <is>
          <t>KARLSBORG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46280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46280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46280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46280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Kyrkan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46280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45603</v>
      </c>
      <c r="E80" s="1" t="n">
        <v>46280</v>
      </c>
      <c r="F80" t="inlineStr">
        <is>
          <t>VÄSTRA GÖTALANDS LÄN</t>
        </is>
      </c>
      <c r="G80" t="inlineStr">
        <is>
          <t>KARLSBORG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46280</v>
      </c>
      <c r="F81" t="inlineStr">
        <is>
          <t>VÄSTRA GÖTALANDS LÄN</t>
        </is>
      </c>
      <c r="G81" t="inlineStr">
        <is>
          <t>KARLSBORG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32128-2025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45835</v>
      </c>
      <c r="E82" s="1" t="n">
        <v>46280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31701-2025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45834</v>
      </c>
      <c r="E83" s="1" t="n">
        <v>46280</v>
      </c>
      <c r="F83" t="inlineStr">
        <is>
          <t>VÄSTRA GÖTALANDS LÄN</t>
        </is>
      </c>
      <c r="G83" t="inlineStr">
        <is>
          <t>KARLSBORG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46280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46280</v>
      </c>
      <c r="F85" t="inlineStr">
        <is>
          <t>VÄSTRA GÖTALANDS LÄN</t>
        </is>
      </c>
      <c r="G85" t="inlineStr">
        <is>
          <t>KARLSBORG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46280</v>
      </c>
      <c r="F86" t="inlineStr">
        <is>
          <t>VÄSTRA GÖTALANDS LÄN</t>
        </is>
      </c>
      <c r="G86" t="inlineStr">
        <is>
          <t>KARLSBORG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46052</v>
      </c>
      <c r="E87" s="1" t="n">
        <v>46280</v>
      </c>
      <c r="F87" t="inlineStr">
        <is>
          <t>VÄSTRA GÖTALANDS LÄN</t>
        </is>
      </c>
      <c r="G87" t="inlineStr">
        <is>
          <t>KARLSBORG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46280</v>
      </c>
      <c r="F88" t="inlineStr">
        <is>
          <t>VÄSTRA GÖTALANDS LÄN</t>
        </is>
      </c>
      <c r="G88" t="inlineStr">
        <is>
          <t>KARLSBORG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58127-2024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45632</v>
      </c>
      <c r="E89" s="1" t="n">
        <v>46280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59887-2021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46280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statliga verk och myndigheter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46280</v>
      </c>
      <c r="F91" t="inlineStr">
        <is>
          <t>VÄSTRA GÖTALANDS LÄN</t>
        </is>
      </c>
      <c r="G91" t="inlineStr">
        <is>
          <t>KARLSBORG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46280</v>
      </c>
      <c r="F92" t="inlineStr">
        <is>
          <t>VÄSTRA GÖTALANDS LÄN</t>
        </is>
      </c>
      <c r="G92" t="inlineStr">
        <is>
          <t>KARLSBORG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46280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statliga verk och myndigheter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46280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statliga verk och myndigheter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46280</v>
      </c>
      <c r="F95" t="inlineStr">
        <is>
          <t>VÄSTRA GÖTALANDS LÄN</t>
        </is>
      </c>
      <c r="G95" t="inlineStr">
        <is>
          <t>KARLSBORG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46010</v>
      </c>
      <c r="E96" s="1" t="n">
        <v>46280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Övriga statliga verk och myndigheter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46280</v>
      </c>
      <c r="F97" t="inlineStr">
        <is>
          <t>VÄSTRA GÖTALANDS LÄN</t>
        </is>
      </c>
      <c r="G97" t="inlineStr">
        <is>
          <t>KARLSBORG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46280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statliga verk och myndigheter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46062</v>
      </c>
      <c r="E99" s="1" t="n">
        <v>46280</v>
      </c>
      <c r="F99" t="inlineStr">
        <is>
          <t>VÄSTRA GÖTALANDS LÄN</t>
        </is>
      </c>
      <c r="G99" t="inlineStr">
        <is>
          <t>KARLSBORG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46280</v>
      </c>
      <c r="F100" t="inlineStr">
        <is>
          <t>VÄSTRA GÖTALANDS LÄN</t>
        </is>
      </c>
      <c r="G100" t="inlineStr">
        <is>
          <t>KARLSBORG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46280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46280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46280</v>
      </c>
      <c r="F103" t="inlineStr">
        <is>
          <t>VÄSTRA GÖTALANDS LÄN</t>
        </is>
      </c>
      <c r="G103" t="inlineStr">
        <is>
          <t>KARLSBORG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46280</v>
      </c>
      <c r="F104" t="inlineStr">
        <is>
          <t>VÄSTRA GÖTALANDS LÄN</t>
        </is>
      </c>
      <c r="G104" t="inlineStr">
        <is>
          <t>KARLSBORG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35930-2025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45862</v>
      </c>
      <c r="E105" s="1" t="n">
        <v>46280</v>
      </c>
      <c r="F105" t="inlineStr">
        <is>
          <t>VÄSTRA GÖTALANDS LÄN</t>
        </is>
      </c>
      <c r="G105" t="inlineStr">
        <is>
          <t>KARLSBORG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46280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46280</v>
      </c>
      <c r="F107" t="inlineStr">
        <is>
          <t>VÄSTRA GÖTALANDS LÄN</t>
        </is>
      </c>
      <c r="G107" t="inlineStr">
        <is>
          <t>KARLSBORG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46280</v>
      </c>
      <c r="F108" t="inlineStr">
        <is>
          <t>VÄSTRA GÖTALANDS LÄN</t>
        </is>
      </c>
      <c r="G108" t="inlineStr">
        <is>
          <t>KARLSBORG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44895</v>
      </c>
      <c r="E109" s="1" t="n">
        <v>46280</v>
      </c>
      <c r="F109" t="inlineStr">
        <is>
          <t>VÄSTRA GÖTALANDS LÄN</t>
        </is>
      </c>
      <c r="G109" t="inlineStr">
        <is>
          <t>KARLSBORG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45942</v>
      </c>
      <c r="E110" s="1" t="n">
        <v>46280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46280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46280</v>
      </c>
      <c r="F112" t="inlineStr">
        <is>
          <t>VÄSTRA GÖTALANDS LÄN</t>
        </is>
      </c>
      <c r="G112" t="inlineStr">
        <is>
          <t>KARLSBORG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46280</v>
      </c>
      <c r="F113" t="inlineStr">
        <is>
          <t>VÄSTRA GÖTALANDS LÄN</t>
        </is>
      </c>
      <c r="G113" t="inlineStr">
        <is>
          <t>KARLSBORG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46280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44944</v>
      </c>
      <c r="E115" s="1" t="n">
        <v>46280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46280</v>
      </c>
      <c r="F116" t="inlineStr">
        <is>
          <t>VÄSTRA GÖTALANDS LÄN</t>
        </is>
      </c>
      <c r="G116" t="inlineStr">
        <is>
          <t>KARLSBORG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46280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46280</v>
      </c>
      <c r="F118" t="inlineStr">
        <is>
          <t>VÄSTRA GÖTALANDS LÄN</t>
        </is>
      </c>
      <c r="G118" t="inlineStr">
        <is>
          <t>KARLSBORG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45394</v>
      </c>
      <c r="E119" s="1" t="n">
        <v>46280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44906</v>
      </c>
      <c r="E120" s="1" t="n">
        <v>46280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44687</v>
      </c>
      <c r="E121" s="1" t="n">
        <v>46280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46280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46280</v>
      </c>
      <c r="F123" t="inlineStr">
        <is>
          <t>VÄSTRA GÖTALANDS LÄN</t>
        </is>
      </c>
      <c r="G123" t="inlineStr">
        <is>
          <t>KARLSBORG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45566</v>
      </c>
      <c r="E124" s="1" t="n">
        <v>46280</v>
      </c>
      <c r="F124" t="inlineStr">
        <is>
          <t>VÄSTRA GÖTALANDS LÄN</t>
        </is>
      </c>
      <c r="G124" t="inlineStr">
        <is>
          <t>KARLSBORG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46280</v>
      </c>
      <c r="F125" t="inlineStr">
        <is>
          <t>VÄSTRA GÖTALANDS LÄN</t>
        </is>
      </c>
      <c r="G125" t="inlineStr">
        <is>
          <t>KARLSBORG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46280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46280</v>
      </c>
      <c r="F127" t="inlineStr">
        <is>
          <t>VÄSTRA GÖTALANDS LÄN</t>
        </is>
      </c>
      <c r="G127" t="inlineStr">
        <is>
          <t>KARLSBORG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18564-2026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46127</v>
      </c>
      <c r="E128" s="1" t="n">
        <v>46280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46280</v>
      </c>
      <c r="F129" t="inlineStr">
        <is>
          <t>VÄSTRA GÖTALANDS LÄN</t>
        </is>
      </c>
      <c r="G129" t="inlineStr">
        <is>
          <t>KARLSBORG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46280</v>
      </c>
      <c r="F130" t="inlineStr">
        <is>
          <t>VÄSTRA GÖTALANDS LÄN</t>
        </is>
      </c>
      <c r="G130" t="inlineStr">
        <is>
          <t>KARLSBORG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46280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45369</v>
      </c>
      <c r="E132" s="1" t="n">
        <v>46280</v>
      </c>
      <c r="F132" t="inlineStr">
        <is>
          <t>VÄSTRA GÖTALANDS LÄN</t>
        </is>
      </c>
      <c r="G132" t="inlineStr">
        <is>
          <t>KARLSBORG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46280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46280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46280</v>
      </c>
      <c r="F135" t="inlineStr">
        <is>
          <t>VÄSTRA GÖTALANDS LÄN</t>
        </is>
      </c>
      <c r="G135" t="inlineStr">
        <is>
          <t>KARLSBORG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45755</v>
      </c>
      <c r="E136" s="1" t="n">
        <v>46280</v>
      </c>
      <c r="F136" t="inlineStr">
        <is>
          <t>VÄSTRA GÖTALANDS LÄN</t>
        </is>
      </c>
      <c r="G136" t="inlineStr">
        <is>
          <t>KARLSBORG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44795</v>
      </c>
      <c r="E137" s="1" t="n">
        <v>46280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46280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46280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46280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35441-2024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45531</v>
      </c>
      <c r="E141" s="1" t="n">
        <v>46280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46280</v>
      </c>
      <c r="F142" t="inlineStr">
        <is>
          <t>VÄSTRA GÖTALANDS LÄN</t>
        </is>
      </c>
      <c r="G142" t="inlineStr">
        <is>
          <t>KARLSBORG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24594-2022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44727</v>
      </c>
      <c r="E143" s="1" t="n">
        <v>46280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45233</v>
      </c>
      <c r="E144" s="1" t="n">
        <v>46280</v>
      </c>
      <c r="F144" t="inlineStr">
        <is>
          <t>VÄSTRA GÖTALANDS LÄN</t>
        </is>
      </c>
      <c r="G144" t="inlineStr">
        <is>
          <t>KARLSBORG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46280</v>
      </c>
      <c r="F145" t="inlineStr">
        <is>
          <t>VÄSTRA GÖTALANDS LÄN</t>
        </is>
      </c>
      <c r="G145" t="inlineStr">
        <is>
          <t>KARLSBORG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46280</v>
      </c>
      <c r="F146" t="inlineStr">
        <is>
          <t>VÄSTRA GÖTALANDS LÄN</t>
        </is>
      </c>
      <c r="G146" t="inlineStr">
        <is>
          <t>KARLSBORG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46143</v>
      </c>
      <c r="E147" s="1" t="n">
        <v>46280</v>
      </c>
      <c r="F147" t="inlineStr">
        <is>
          <t>VÄSTRA GÖTALANDS LÄN</t>
        </is>
      </c>
      <c r="G147" t="inlineStr">
        <is>
          <t>KARLSBORG</t>
        </is>
      </c>
      <c r="I147" t="n">
        <v>14.6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46280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65313-2021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44515</v>
      </c>
      <c r="E149" s="1" t="n">
        <v>46280</v>
      </c>
      <c r="F149" t="inlineStr">
        <is>
          <t>VÄSTRA GÖTALANDS LÄN</t>
        </is>
      </c>
      <c r="G149" t="inlineStr">
        <is>
          <t>KARLSBORG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46280</v>
      </c>
      <c r="F150" t="inlineStr">
        <is>
          <t>VÄSTRA GÖTALANDS LÄN</t>
        </is>
      </c>
      <c r="G150" t="inlineStr">
        <is>
          <t>KARLSBORG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46280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46280</v>
      </c>
      <c r="F152" t="inlineStr">
        <is>
          <t>VÄSTRA GÖTALANDS LÄN</t>
        </is>
      </c>
      <c r="G152" t="inlineStr">
        <is>
          <t>KARLSBORG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46280</v>
      </c>
      <c r="F153" t="inlineStr">
        <is>
          <t>VÄSTRA GÖTALANDS LÄN</t>
        </is>
      </c>
      <c r="G153" t="inlineStr">
        <is>
          <t>KARLSBORG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46280</v>
      </c>
      <c r="F154" t="inlineStr">
        <is>
          <t>VÄSTRA GÖTALANDS LÄN</t>
        </is>
      </c>
      <c r="G154" t="inlineStr">
        <is>
          <t>KARLSBORG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46280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46280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46171</v>
      </c>
      <c r="E157" s="1" t="n">
        <v>46280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57915-2024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45631</v>
      </c>
      <c r="E158" s="1" t="n">
        <v>46280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46280</v>
      </c>
      <c r="F159" t="inlineStr">
        <is>
          <t>VÄSTRA GÖTALANDS LÄN</t>
        </is>
      </c>
      <c r="G159" t="inlineStr">
        <is>
          <t>KARLSBORG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46280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12.6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46280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46280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45561</v>
      </c>
      <c r="E163" s="1" t="n">
        <v>46280</v>
      </c>
      <c r="F163" t="inlineStr">
        <is>
          <t>VÄSTRA GÖTALANDS LÄN</t>
        </is>
      </c>
      <c r="G163" t="inlineStr">
        <is>
          <t>KARLSBORG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45386</v>
      </c>
      <c r="E164" s="1" t="n">
        <v>46280</v>
      </c>
      <c r="F164" t="inlineStr">
        <is>
          <t>VÄSTRA GÖTALANDS LÄN</t>
        </is>
      </c>
      <c r="G164" t="inlineStr">
        <is>
          <t>KARLSBORG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46280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46280</v>
      </c>
      <c r="F166" t="inlineStr">
        <is>
          <t>VÄSTRA GÖTALANDS LÄN</t>
        </is>
      </c>
      <c r="G166" t="inlineStr">
        <is>
          <t>KARLSBORG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46280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30610-2026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46210</v>
      </c>
      <c r="E168" s="1" t="n">
        <v>46280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46210</v>
      </c>
      <c r="E169" s="1" t="n">
        <v>46280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44906</v>
      </c>
      <c r="E170" s="1" t="n">
        <v>46280</v>
      </c>
      <c r="F170" t="inlineStr">
        <is>
          <t>VÄSTRA GÖTALANDS LÄN</t>
        </is>
      </c>
      <c r="G170" t="inlineStr">
        <is>
          <t>KARLSBORG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46280</v>
      </c>
      <c r="F171" t="inlineStr">
        <is>
          <t>VÄSTRA GÖTALANDS LÄN</t>
        </is>
      </c>
      <c r="G171" t="inlineStr">
        <is>
          <t>KARLSBORG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46280</v>
      </c>
      <c r="F172" t="inlineStr">
        <is>
          <t>VÄSTRA GÖTALANDS LÄN</t>
        </is>
      </c>
      <c r="G172" t="inlineStr">
        <is>
          <t>KARLSBORG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46280</v>
      </c>
      <c r="F173" t="inlineStr">
        <is>
          <t>VÄSTRA GÖTALANDS LÄN</t>
        </is>
      </c>
      <c r="G173" t="inlineStr">
        <is>
          <t>KARLSBORG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46280</v>
      </c>
      <c r="F174" t="inlineStr">
        <is>
          <t>VÄSTRA GÖTALANDS LÄN</t>
        </is>
      </c>
      <c r="G174" t="inlineStr">
        <is>
          <t>KARLSBORG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23500-2023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45076</v>
      </c>
      <c r="E175" s="1" t="n">
        <v>46280</v>
      </c>
      <c r="F175" t="inlineStr">
        <is>
          <t>VÄSTRA GÖTALANDS LÄN</t>
        </is>
      </c>
      <c r="G175" t="inlineStr">
        <is>
          <t>KARLSBORG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46280</v>
      </c>
      <c r="F176" t="inlineStr">
        <is>
          <t>VÄSTRA GÖTALANDS LÄN</t>
        </is>
      </c>
      <c r="G176" t="inlineStr">
        <is>
          <t>KARLSBORG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46230</v>
      </c>
      <c r="E177" s="1" t="n">
        <v>46280</v>
      </c>
      <c r="F177" t="inlineStr">
        <is>
          <t>VÄSTRA GÖTALANDS LÄN</t>
        </is>
      </c>
      <c r="G177" t="inlineStr">
        <is>
          <t>KARLSBORG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46280</v>
      </c>
      <c r="F178" t="inlineStr">
        <is>
          <t>VÄSTRA GÖTALANDS LÄN</t>
        </is>
      </c>
      <c r="G178" t="inlineStr">
        <is>
          <t>KARLSBORG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46280</v>
      </c>
      <c r="F179" t="inlineStr">
        <is>
          <t>VÄSTRA GÖTALANDS LÄN</t>
        </is>
      </c>
      <c r="G179" t="inlineStr">
        <is>
          <t>KARLSBORG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46280</v>
      </c>
      <c r="F180" t="inlineStr">
        <is>
          <t>VÄSTRA GÖTALANDS LÄN</t>
        </is>
      </c>
      <c r="G180" t="inlineStr">
        <is>
          <t>KARLSBORG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46276</v>
      </c>
      <c r="E181" s="1" t="n">
        <v>46280</v>
      </c>
      <c r="F181" t="inlineStr">
        <is>
          <t>VÄSTRA GÖTALANDS LÄN</t>
        </is>
      </c>
      <c r="G181" t="inlineStr">
        <is>
          <t>KARLSBORG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44809</v>
      </c>
      <c r="E182" s="1" t="n">
        <v>46280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29357-2024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45483</v>
      </c>
      <c r="E183" s="1" t="n">
        <v>46280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46280</v>
      </c>
      <c r="F184" t="inlineStr">
        <is>
          <t>VÄSTRA GÖTALANDS LÄN</t>
        </is>
      </c>
      <c r="G184" t="inlineStr">
        <is>
          <t>KARLSBORG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53247-2023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46280</v>
      </c>
      <c r="F185" t="inlineStr">
        <is>
          <t>VÄSTRA GÖTALANDS LÄN</t>
        </is>
      </c>
      <c r="G185" t="inlineStr">
        <is>
          <t>KARLSBORG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44929</v>
      </c>
      <c r="E186" s="1" t="n">
        <v>46280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  <c r="X186">
        <f>HYPERLINK("https://klasma.github.io/Logging_1446/kartor/A 412-2023 karta.png", "A 412-2023")</f>
        <v/>
      </c>
      <c r="Y186">
        <f>HYPERLINK("https://klasma.github.io/Logging_1446/kartor_geotiff/A 412-2023 georefererad karta.tif", "A 412-2023")</f>
        <v/>
      </c>
      <c r="AA186">
        <f>HYPERLINK("https://klasma.github.io/Logging_1446/klagomål/A 412-2023 FSC-klagomål.docx", "A 412-2023")</f>
        <v/>
      </c>
      <c r="AB186">
        <f>HYPERLINK("https://klasma.github.io/Logging_1446/klagomålsmail/A 412-2023 FSC-klagomål mail.docx", "A 412-2023")</f>
        <v/>
      </c>
      <c r="AC186">
        <f>HYPERLINK("https://klasma.github.io/Logging_1446/tillsyn/A 412-2023 tillsynsbegäran.docx", "A 412-2023")</f>
        <v/>
      </c>
      <c r="AD186">
        <f>HYPERLINK("https://klasma.github.io/Logging_1446/tillsynsmail/A 412-2023 tillsynsbegäran mail.docx", "A 412-2023")</f>
        <v/>
      </c>
    </row>
    <row r="187" ht="15" customHeight="1">
      <c r="A187" t="inlineStr">
        <is>
          <t>A 29685-2022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44755</v>
      </c>
      <c r="E187" s="1" t="n">
        <v>46280</v>
      </c>
      <c r="F187" t="inlineStr">
        <is>
          <t>VÄSTRA GÖTALANDS LÄN</t>
        </is>
      </c>
      <c r="G187" t="inlineStr">
        <is>
          <t>KARLSBORG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46280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46280</v>
      </c>
      <c r="F189" t="inlineStr">
        <is>
          <t>VÄSTRA GÖTALANDS LÄN</t>
        </is>
      </c>
      <c r="G189" t="inlineStr">
        <is>
          <t>KARLSBORG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57913-2024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45631</v>
      </c>
      <c r="E190" s="1" t="n">
        <v>46280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45707</v>
      </c>
      <c r="E191" s="1" t="n">
        <v>46280</v>
      </c>
      <c r="F191" t="inlineStr">
        <is>
          <t>VÄSTRA GÖTALANDS LÄN</t>
        </is>
      </c>
      <c r="G191" t="inlineStr">
        <is>
          <t>KARLSBORG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46280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58129-2024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45632</v>
      </c>
      <c r="E193" s="1" t="n">
        <v>46280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46280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46280</v>
      </c>
      <c r="F195" t="inlineStr">
        <is>
          <t>VÄSTRA GÖTALANDS LÄN</t>
        </is>
      </c>
      <c r="G195" t="inlineStr">
        <is>
          <t>KARLSBORG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59890-2021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46280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46280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69341-2021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46280</v>
      </c>
      <c r="F198" t="inlineStr">
        <is>
          <t>VÄSTRA GÖTALANDS LÄN</t>
        </is>
      </c>
      <c r="G198" t="inlineStr">
        <is>
          <t>KARLSBORG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46280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46280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15396-2024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45401</v>
      </c>
      <c r="E201" s="1" t="n">
        <v>46280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46280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statliga verk och myndigheter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46280</v>
      </c>
      <c r="F203" t="inlineStr">
        <is>
          <t>VÄSTRA GÖTALANDS LÄN</t>
        </is>
      </c>
      <c r="G203" t="inlineStr">
        <is>
          <t>KARLSBORG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46280</v>
      </c>
      <c r="F204" t="inlineStr">
        <is>
          <t>VÄSTRA GÖTALANDS LÄN</t>
        </is>
      </c>
      <c r="G204" t="inlineStr">
        <is>
          <t>KARLSBORG</t>
        </is>
      </c>
      <c r="I204" t="n">
        <v>9.5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45575</v>
      </c>
      <c r="E205" s="1" t="n">
        <v>46280</v>
      </c>
      <c r="F205" t="inlineStr">
        <is>
          <t>VÄSTRA GÖTALANDS LÄN</t>
        </is>
      </c>
      <c r="G205" t="inlineStr">
        <is>
          <t>KARLSBORG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46280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46280</v>
      </c>
      <c r="F207" t="inlineStr">
        <is>
          <t>VÄSTRA GÖTALANDS LÄN</t>
        </is>
      </c>
      <c r="G207" t="inlineStr">
        <is>
          <t>KARLSBORG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45251</v>
      </c>
      <c r="E208" s="1" t="n">
        <v>46280</v>
      </c>
      <c r="F208" t="inlineStr">
        <is>
          <t>VÄSTRA GÖTALANDS LÄN</t>
        </is>
      </c>
      <c r="G208" t="inlineStr">
        <is>
          <t>KARLSBORG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46280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46280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44939</v>
      </c>
      <c r="E211" s="1" t="n">
        <v>46280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46280</v>
      </c>
      <c r="F212" t="inlineStr">
        <is>
          <t>VÄSTRA GÖTALANDS LÄN</t>
        </is>
      </c>
      <c r="G212" t="inlineStr">
        <is>
          <t>KARLSBORG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46280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45566</v>
      </c>
      <c r="E214" s="1" t="n">
        <v>46280</v>
      </c>
      <c r="F214" t="inlineStr">
        <is>
          <t>VÄSTRA GÖTALANDS LÄN</t>
        </is>
      </c>
      <c r="G214" t="inlineStr">
        <is>
          <t>KARLSBORG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46280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46280</v>
      </c>
      <c r="F216" t="inlineStr">
        <is>
          <t>VÄSTRA GÖTALANDS LÄN</t>
        </is>
      </c>
      <c r="G216" t="inlineStr">
        <is>
          <t>KARLSBORG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46280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46280</v>
      </c>
      <c r="F218" t="inlineStr">
        <is>
          <t>VÄSTRA GÖTALANDS LÄN</t>
        </is>
      </c>
      <c r="G218" t="inlineStr">
        <is>
          <t>KARLSBORG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45786</v>
      </c>
      <c r="E219" s="1" t="n">
        <v>46280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45789</v>
      </c>
      <c r="E220" s="1" t="n">
        <v>46280</v>
      </c>
      <c r="F220" t="inlineStr">
        <is>
          <t>VÄSTRA GÖTALANDS LÄN</t>
        </is>
      </c>
      <c r="G220" t="inlineStr">
        <is>
          <t>KARLSBORG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46280</v>
      </c>
      <c r="F221" t="inlineStr">
        <is>
          <t>VÄSTRA GÖTALANDS LÄN</t>
        </is>
      </c>
      <c r="G221" t="inlineStr">
        <is>
          <t>KARLSBORG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46280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46280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2026-09-15T08:16:32Z</dcterms:created>
  <dcterms:modified xmlns:dcterms="http://purl.org/dc/terms/" xmlns:xsi="http://www.w3.org/2001/XMLSchema-instance" xsi:type="dcterms:W3CDTF">2026-09-15T08:16:32Z</dcterms:modified>
</cp:coreProperties>
</file>