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46309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46309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46309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46309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46309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46309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46309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46309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46309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46309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28315-2025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45818</v>
      </c>
      <c r="E15" s="1" t="n">
        <v>46309</v>
      </c>
      <c r="F15" t="inlineStr">
        <is>
          <t>VÄSTRA GÖTALANDS LÄN</t>
        </is>
      </c>
      <c r="G15" t="inlineStr">
        <is>
          <t>KARLSBORG</t>
        </is>
      </c>
      <c r="I15" t="n">
        <v>2.3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Rostfläck</t>
        </is>
      </c>
      <c r="W15">
        <f>HYPERLINK("https://klasma.github.io/Logging_1446/artfynd/A 28315-2025 artfynd.xlsx", "A 28315-2025")</f>
        <v/>
      </c>
      <c r="X15">
        <f>HYPERLINK("https://klasma.github.io/Logging_1446/kartor/A 28315-2025 karta.png", "A 28315-2025")</f>
        <v/>
      </c>
      <c r="Y15">
        <f>HYPERLINK("https://klasma.github.io/Logging_1446/kartor_geotiff/A 28315-2025 georefererad karta.tif", "A 28315-2025")</f>
        <v/>
      </c>
      <c r="AA15">
        <f>HYPERLINK("https://klasma.github.io/Logging_1446/klagomål/A 28315-2025 FSC-klagomål.docx", "A 28315-2025")</f>
        <v/>
      </c>
      <c r="AB15">
        <f>HYPERLINK("https://klasma.github.io/Logging_1446/klagomålsmail/A 28315-2025 FSC-klagomål mail.docx", "A 28315-2025")</f>
        <v/>
      </c>
      <c r="AC15">
        <f>HYPERLINK("https://klasma.github.io/Logging_1446/tillsyn/A 28315-2025 tillsynsbegäran.docx", "A 28315-2025")</f>
        <v/>
      </c>
      <c r="AD15">
        <f>HYPERLINK("https://klasma.github.io/Logging_1446/tillsynsmail/A 28315-2025 tillsynsbegäran mail.docx", "A 28315-2025")</f>
        <v/>
      </c>
    </row>
    <row r="16" ht="15" customHeight="1">
      <c r="A16" t="inlineStr">
        <is>
          <t>A 23268-2022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44720</v>
      </c>
      <c r="E16" s="1" t="n">
        <v>46309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snok</t>
        </is>
      </c>
      <c r="W16">
        <f>HYPERLINK("https://klasma.github.io/Logging_1446/artfynd/A 23268-2022 artfynd.xlsx", "A 23268-2022")</f>
        <v/>
      </c>
      <c r="X16">
        <f>HYPERLINK("https://klasma.github.io/Logging_1446/kartor/A 23268-2022 karta.png", "A 23268-2022")</f>
        <v/>
      </c>
      <c r="Y16">
        <f>HYPERLINK("https://klasma.github.io/Logging_1446/kartor_geotiff/A 23268-2022 georefererad karta.tif", "A 23268-2022")</f>
        <v/>
      </c>
      <c r="AA16">
        <f>HYPERLINK("https://klasma.github.io/Logging_1446/klagomål/A 23268-2022 FSC-klagomål.docx", "A 23268-2022")</f>
        <v/>
      </c>
      <c r="AB16">
        <f>HYPERLINK("https://klasma.github.io/Logging_1446/klagomålsmail/A 23268-2022 FSC-klagomål mail.docx", "A 23268-2022")</f>
        <v/>
      </c>
      <c r="AC16">
        <f>HYPERLINK("https://klasma.github.io/Logging_1446/tillsyn/A 23268-2022 tillsynsbegäran.docx", "A 23268-2022")</f>
        <v/>
      </c>
      <c r="AD16">
        <f>HYPERLINK("https://klasma.github.io/Logging_1446/tillsynsmail/A 23268-2022 tillsynsbegäran mail.docx", "A 23268-2022")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46309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46309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Orre</t>
        </is>
      </c>
      <c r="W18">
        <f>HYPERLINK("https://klasma.github.io/Logging_1446/artfynd/A 23973-2023 artfynd.xlsx", "A 23973-2023")</f>
        <v/>
      </c>
      <c r="X18">
        <f>HYPERLINK("https://klasma.github.io/Logging_1446/kartor/A 23973-2023 karta.png", "A 23973-2023")</f>
        <v/>
      </c>
      <c r="Y18">
        <f>HYPERLINK("https://klasma.github.io/Logging_1446/kartor_geotiff/A 23973-2023 georefererad karta.tif", "A 23973-2023")</f>
        <v/>
      </c>
      <c r="AA18">
        <f>HYPERLINK("https://klasma.github.io/Logging_1446/klagomål/A 23973-2023 FSC-klagomål.docx", "A 23973-2023")</f>
        <v/>
      </c>
      <c r="AB18">
        <f>HYPERLINK("https://klasma.github.io/Logging_1446/klagomålsmail/A 23973-2023 FSC-klagomål mail.docx", "A 23973-2023")</f>
        <v/>
      </c>
      <c r="AC18">
        <f>HYPERLINK("https://klasma.github.io/Logging_1446/tillsyn/A 23973-2023 tillsynsbegäran.docx", "A 23973-2023")</f>
        <v/>
      </c>
      <c r="AD18">
        <f>HYPERLINK("https://klasma.github.io/Logging_1446/tillsynsmail/A 23973-2023 tillsynsbegäran mail.docx", "A 23973-2023")</f>
        <v/>
      </c>
      <c r="AE18">
        <f>HYPERLINK("https://klasma.github.io/Logging_1446/fåglar/A 23973-2023 prioriterade fågelarter.docx", "A 23973-2023")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46309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46309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46309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46309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46309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46309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46309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46309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46309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46309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46309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46309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46309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46309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46309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46309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46309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46309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46309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46309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46309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46309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statliga verk och myndigheter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25999-2023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46309</v>
      </c>
      <c r="F41" t="inlineStr">
        <is>
          <t>VÄSTRA GÖTALANDS LÄN</t>
        </is>
      </c>
      <c r="G41" t="inlineStr">
        <is>
          <t>KARLSBORG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45090</v>
      </c>
      <c r="E42" s="1" t="n">
        <v>46309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45243</v>
      </c>
      <c r="E43" s="1" t="n">
        <v>46309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45394</v>
      </c>
      <c r="E44" s="1" t="n">
        <v>46309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53898-2023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46309</v>
      </c>
      <c r="F45" t="inlineStr">
        <is>
          <t>VÄSTRA GÖTALANDS LÄN</t>
        </is>
      </c>
      <c r="G45" t="inlineStr">
        <is>
          <t>KARLSBORG</t>
        </is>
      </c>
      <c r="I45" t="n">
        <v>9.5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46309</v>
      </c>
      <c r="F46" t="inlineStr">
        <is>
          <t>VÄSTRA GÖTALANDS LÄN</t>
        </is>
      </c>
      <c r="G46" t="inlineStr">
        <is>
          <t>KARLSBORG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8053-2023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44974</v>
      </c>
      <c r="E47" s="1" t="n">
        <v>46309</v>
      </c>
      <c r="F47" t="inlineStr">
        <is>
          <t>VÄSTRA GÖTALANDS LÄN</t>
        </is>
      </c>
      <c r="G47" t="inlineStr">
        <is>
          <t>KARLSBORG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45721</v>
      </c>
      <c r="E48" s="1" t="n">
        <v>46309</v>
      </c>
      <c r="F48" t="inlineStr">
        <is>
          <t>VÄSTRA GÖTALANDS LÄN</t>
        </is>
      </c>
      <c r="G48" t="inlineStr">
        <is>
          <t>KARLSBORG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46309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46309</v>
      </c>
      <c r="F50" t="inlineStr">
        <is>
          <t>VÄSTRA GÖTALANDS LÄN</t>
        </is>
      </c>
      <c r="G50" t="inlineStr">
        <is>
          <t>KARLSBORG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46309</v>
      </c>
      <c r="F51" t="inlineStr">
        <is>
          <t>VÄSTRA GÖTALANDS LÄN</t>
        </is>
      </c>
      <c r="G51" t="inlineStr">
        <is>
          <t>KARLSBORG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46309</v>
      </c>
      <c r="F52" t="inlineStr">
        <is>
          <t>VÄSTRA GÖTALANDS LÄN</t>
        </is>
      </c>
      <c r="G52" t="inlineStr">
        <is>
          <t>KARLSBORG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46309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46309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46309</v>
      </c>
      <c r="F55" t="inlineStr">
        <is>
          <t>VÄSTRA GÖTALANDS LÄN</t>
        </is>
      </c>
      <c r="G55" t="inlineStr">
        <is>
          <t>KARLSBORG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57727-2024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45630</v>
      </c>
      <c r="E56" s="1" t="n">
        <v>46309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Övriga Aktiebolag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45470</v>
      </c>
      <c r="E57" s="1" t="n">
        <v>46309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29357-2024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45483</v>
      </c>
      <c r="E58" s="1" t="n">
        <v>46309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46309</v>
      </c>
      <c r="F59" t="inlineStr">
        <is>
          <t>VÄSTRA GÖTALANDS LÄN</t>
        </is>
      </c>
      <c r="G59" t="inlineStr">
        <is>
          <t>KARLSBORG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45804</v>
      </c>
      <c r="E60" s="1" t="n">
        <v>46309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46309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46309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46309</v>
      </c>
      <c r="F63" t="inlineStr">
        <is>
          <t>VÄSTRA GÖTALANDS LÄN</t>
        </is>
      </c>
      <c r="G63" t="inlineStr">
        <is>
          <t>KARLSBORG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46309</v>
      </c>
      <c r="F64" t="inlineStr">
        <is>
          <t>VÄSTRA GÖTALANDS LÄN</t>
        </is>
      </c>
      <c r="G64" t="inlineStr">
        <is>
          <t>KARLSBORG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45707</v>
      </c>
      <c r="E65" s="1" t="n">
        <v>46309</v>
      </c>
      <c r="F65" t="inlineStr">
        <is>
          <t>VÄSTRA GÖTALANDS LÄN</t>
        </is>
      </c>
      <c r="G65" t="inlineStr">
        <is>
          <t>KARLSBORG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45899</v>
      </c>
      <c r="E66" s="1" t="n">
        <v>46309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46309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46309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Kyrkan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58129-2024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45632</v>
      </c>
      <c r="E69" s="1" t="n">
        <v>46309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61211-2022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44908</v>
      </c>
      <c r="E70" s="1" t="n">
        <v>46309</v>
      </c>
      <c r="F70" t="inlineStr">
        <is>
          <t>VÄSTRA GÖTALANDS LÄN</t>
        </is>
      </c>
      <c r="G70" t="inlineStr">
        <is>
          <t>KARLSBORG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46309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46309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45247-2025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46309</v>
      </c>
      <c r="F73" t="inlineStr">
        <is>
          <t>VÄSTRA GÖTALANDS LÄN</t>
        </is>
      </c>
      <c r="G73" t="inlineStr">
        <is>
          <t>KARLSBORG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45256-2025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46309</v>
      </c>
      <c r="F74" t="inlineStr">
        <is>
          <t>VÄSTRA GÖTALANDS LÄN</t>
        </is>
      </c>
      <c r="G74" t="inlineStr">
        <is>
          <t>KARLSBORG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46309</v>
      </c>
      <c r="F75" t="inlineStr">
        <is>
          <t>VÄSTRA GÖTALANDS LÄN</t>
        </is>
      </c>
      <c r="G75" t="inlineStr">
        <is>
          <t>KARLSBORG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31701-2025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45834</v>
      </c>
      <c r="E76" s="1" t="n">
        <v>46309</v>
      </c>
      <c r="F76" t="inlineStr">
        <is>
          <t>VÄSTRA GÖTALANDS LÄN</t>
        </is>
      </c>
      <c r="G76" t="inlineStr">
        <is>
          <t>KARLSBORG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47265-2025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45930</v>
      </c>
      <c r="E77" s="1" t="n">
        <v>46309</v>
      </c>
      <c r="F77" t="inlineStr">
        <is>
          <t>VÄSTRA GÖTALANDS LÄN</t>
        </is>
      </c>
      <c r="G77" t="inlineStr">
        <is>
          <t>KARLSBORG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47262-2025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46309</v>
      </c>
      <c r="F78" t="inlineStr">
        <is>
          <t>VÄSTRA GÖTALANDS LÄN</t>
        </is>
      </c>
      <c r="G78" t="inlineStr">
        <is>
          <t>KARLSBORG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45742</v>
      </c>
      <c r="E79" s="1" t="n">
        <v>46309</v>
      </c>
      <c r="F79" t="inlineStr">
        <is>
          <t>VÄSTRA GÖTALANDS LÄN</t>
        </is>
      </c>
      <c r="G79" t="inlineStr">
        <is>
          <t>KARLSBORG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32128-2025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45835</v>
      </c>
      <c r="E80" s="1" t="n">
        <v>46309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44595</v>
      </c>
      <c r="E81" s="1" t="n">
        <v>46309</v>
      </c>
      <c r="F81" t="inlineStr">
        <is>
          <t>VÄSTRA GÖTALANDS LÄN</t>
        </is>
      </c>
      <c r="G81" t="inlineStr">
        <is>
          <t>KARLSBORG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46309</v>
      </c>
      <c r="F82" t="inlineStr">
        <is>
          <t>VÄSTRA GÖTALANDS LÄN</t>
        </is>
      </c>
      <c r="G82" t="inlineStr">
        <is>
          <t>KARLSBORG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46309</v>
      </c>
      <c r="F83" t="inlineStr">
        <is>
          <t>VÄSTRA GÖTALANDS LÄN</t>
        </is>
      </c>
      <c r="G83" t="inlineStr">
        <is>
          <t>KARLSBORG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46309</v>
      </c>
      <c r="F84" t="inlineStr">
        <is>
          <t>VÄSTRA GÖTALANDS LÄN</t>
        </is>
      </c>
      <c r="G84" t="inlineStr">
        <is>
          <t>KARLSBORG</t>
        </is>
      </c>
      <c r="I84" t="n">
        <v>8.9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45716</v>
      </c>
      <c r="E85" s="1" t="n">
        <v>46309</v>
      </c>
      <c r="F85" t="inlineStr">
        <is>
          <t>VÄSTRA GÖTALANDS LÄN</t>
        </is>
      </c>
      <c r="G85" t="inlineStr">
        <is>
          <t>KARLSBORG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45002</v>
      </c>
      <c r="E86" s="1" t="n">
        <v>46309</v>
      </c>
      <c r="F86" t="inlineStr">
        <is>
          <t>VÄSTRA GÖTALANDS LÄN</t>
        </is>
      </c>
      <c r="G86" t="inlineStr">
        <is>
          <t>KARLSBORG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46309</v>
      </c>
      <c r="F87" t="inlineStr">
        <is>
          <t>VÄSTRA GÖTALANDS LÄN</t>
        </is>
      </c>
      <c r="G87" t="inlineStr">
        <is>
          <t>KARLSBORG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46309</v>
      </c>
      <c r="F88" t="inlineStr">
        <is>
          <t>VÄSTRA GÖTALANDS LÄN</t>
        </is>
      </c>
      <c r="G88" t="inlineStr">
        <is>
          <t>KARLSBORG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45942</v>
      </c>
      <c r="E89" s="1" t="n">
        <v>46309</v>
      </c>
      <c r="F89" t="inlineStr">
        <is>
          <t>VÄSTRA GÖTALANDS LÄN</t>
        </is>
      </c>
      <c r="G89" t="inlineStr">
        <is>
          <t>KARLSBORG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46309</v>
      </c>
      <c r="F90" t="inlineStr">
        <is>
          <t>VÄSTRA GÖTALANDS LÄN</t>
        </is>
      </c>
      <c r="G90" t="inlineStr">
        <is>
          <t>KARLSBORG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46309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46309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14.3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44937</v>
      </c>
      <c r="E93" s="1" t="n">
        <v>46309</v>
      </c>
      <c r="F93" t="inlineStr">
        <is>
          <t>VÄSTRA GÖTALANDS LÄN</t>
        </is>
      </c>
      <c r="G93" t="inlineStr">
        <is>
          <t>KARLSBORG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45566</v>
      </c>
      <c r="E94" s="1" t="n">
        <v>46309</v>
      </c>
      <c r="F94" t="inlineStr">
        <is>
          <t>VÄSTRA GÖTALANDS LÄN</t>
        </is>
      </c>
      <c r="G94" t="inlineStr">
        <is>
          <t>KARLSBORG</t>
        </is>
      </c>
      <c r="I94" t="n">
        <v>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45575</v>
      </c>
      <c r="E95" s="1" t="n">
        <v>46309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44906</v>
      </c>
      <c r="E96" s="1" t="n">
        <v>46309</v>
      </c>
      <c r="F96" t="inlineStr">
        <is>
          <t>VÄSTRA GÖTALANDS LÄN</t>
        </is>
      </c>
      <c r="G96" t="inlineStr">
        <is>
          <t>KARLSBORG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46309</v>
      </c>
      <c r="F97" t="inlineStr">
        <is>
          <t>VÄSTRA GÖTALANDS LÄN</t>
        </is>
      </c>
      <c r="G97" t="inlineStr">
        <is>
          <t>KARLSBORG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46309</v>
      </c>
      <c r="F98" t="inlineStr">
        <is>
          <t>VÄSTRA GÖTALANDS LÄN</t>
        </is>
      </c>
      <c r="G98" t="inlineStr">
        <is>
          <t>KARLSBORG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45524</v>
      </c>
      <c r="E99" s="1" t="n">
        <v>46309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46052</v>
      </c>
      <c r="E100" s="1" t="n">
        <v>46309</v>
      </c>
      <c r="F100" t="inlineStr">
        <is>
          <t>VÄSTRA GÖTALANDS LÄN</t>
        </is>
      </c>
      <c r="G100" t="inlineStr">
        <is>
          <t>KARLSBORG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46309</v>
      </c>
      <c r="F101" t="inlineStr">
        <is>
          <t>VÄSTRA GÖTALANDS LÄN</t>
        </is>
      </c>
      <c r="G101" t="inlineStr">
        <is>
          <t>KARLSBORG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46309</v>
      </c>
      <c r="F102" t="inlineStr">
        <is>
          <t>VÄSTRA GÖTALANDS LÄN</t>
        </is>
      </c>
      <c r="G102" t="inlineStr">
        <is>
          <t>KARLSBORG</t>
        </is>
      </c>
      <c r="I102" t="n">
        <v>7.3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57581-2025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46309</v>
      </c>
      <c r="F103" t="inlineStr">
        <is>
          <t>VÄSTRA GÖTALANDS LÄN</t>
        </is>
      </c>
      <c r="G103" t="inlineStr">
        <is>
          <t>KARLSBORG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44929</v>
      </c>
      <c r="E104" s="1" t="n">
        <v>46309</v>
      </c>
      <c r="F104" t="inlineStr">
        <is>
          <t>VÄSTRA GÖTALANDS LÄN</t>
        </is>
      </c>
      <c r="G104" t="inlineStr">
        <is>
          <t>KARLSBORG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  <c r="X104">
        <f>HYPERLINK("https://klasma.github.io/Logging_1446/kartor/A 412-2023 karta.png", "A 412-2023")</f>
        <v/>
      </c>
      <c r="Y104">
        <f>HYPERLINK("https://klasma.github.io/Logging_1446/kartor_geotiff/A 412-2023 georefererad karta.tif", "A 412-2023")</f>
        <v/>
      </c>
      <c r="AA104">
        <f>HYPERLINK("https://klasma.github.io/Logging_1446/klagomål/A 412-2023 FSC-klagomål.docx", "A 412-2023")</f>
        <v/>
      </c>
      <c r="AB104">
        <f>HYPERLINK("https://klasma.github.io/Logging_1446/klagomålsmail/A 412-2023 FSC-klagomål mail.docx", "A 412-2023")</f>
        <v/>
      </c>
      <c r="AC104">
        <f>HYPERLINK("https://klasma.github.io/Logging_1446/tillsyn/A 412-2023 tillsynsbegäran.docx", "A 412-2023")</f>
        <v/>
      </c>
      <c r="AD104">
        <f>HYPERLINK("https://klasma.github.io/Logging_1446/tillsynsmail/A 412-2023 tillsynsbegäran mail.docx", "A 412-2023")</f>
        <v/>
      </c>
    </row>
    <row r="105" ht="15" customHeight="1">
      <c r="A105" t="inlineStr">
        <is>
          <t>A 63732-2025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46309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statliga verk och myndigheter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46309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statliga verk och myndigheter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7644-2026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46309</v>
      </c>
      <c r="F107" t="inlineStr">
        <is>
          <t>VÄSTRA GÖTALANDS LÄN</t>
        </is>
      </c>
      <c r="G107" t="inlineStr">
        <is>
          <t>KARLSBORG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46010</v>
      </c>
      <c r="E108" s="1" t="n">
        <v>46309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statliga verk och myndigheter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46010</v>
      </c>
      <c r="E109" s="1" t="n">
        <v>46309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statliga verk och myndigheter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45988</v>
      </c>
      <c r="E110" s="1" t="n">
        <v>46309</v>
      </c>
      <c r="F110" t="inlineStr">
        <is>
          <t>VÄSTRA GÖTALANDS LÄN</t>
        </is>
      </c>
      <c r="G110" t="inlineStr">
        <is>
          <t>KARLSBORG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46309</v>
      </c>
      <c r="F111" t="inlineStr">
        <is>
          <t>VÄSTRA GÖTALANDS LÄN</t>
        </is>
      </c>
      <c r="G111" t="inlineStr">
        <is>
          <t>KARLSBORG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46309</v>
      </c>
      <c r="F112" t="inlineStr">
        <is>
          <t>VÄSTRA GÖTALANDS LÄN</t>
        </is>
      </c>
      <c r="G112" t="inlineStr">
        <is>
          <t>KARLSBORG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46309</v>
      </c>
      <c r="F113" t="inlineStr">
        <is>
          <t>VÄSTRA GÖTALANDS LÄN</t>
        </is>
      </c>
      <c r="G113" t="inlineStr">
        <is>
          <t>KARLSBORG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46309</v>
      </c>
      <c r="F114" t="inlineStr">
        <is>
          <t>VÄSTRA GÖTALANDS LÄN</t>
        </is>
      </c>
      <c r="G114" t="inlineStr">
        <is>
          <t>KARLSBORG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46309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46006</v>
      </c>
      <c r="E116" s="1" t="n">
        <v>46309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46309</v>
      </c>
      <c r="F117" t="inlineStr">
        <is>
          <t>VÄSTRA GÖTALANDS LÄN</t>
        </is>
      </c>
      <c r="G117" t="inlineStr">
        <is>
          <t>KARLSBORG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46079</v>
      </c>
      <c r="E118" s="1" t="n">
        <v>46309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45002</v>
      </c>
      <c r="E119" s="1" t="n">
        <v>46309</v>
      </c>
      <c r="F119" t="inlineStr">
        <is>
          <t>VÄSTRA GÖTALANDS LÄN</t>
        </is>
      </c>
      <c r="G119" t="inlineStr">
        <is>
          <t>KARLSBORG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46309</v>
      </c>
      <c r="F120" t="inlineStr">
        <is>
          <t>VÄSTRA GÖTALANDS LÄN</t>
        </is>
      </c>
      <c r="G120" t="inlineStr">
        <is>
          <t>KARLSBORG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44755</v>
      </c>
      <c r="E121" s="1" t="n">
        <v>46309</v>
      </c>
      <c r="F121" t="inlineStr">
        <is>
          <t>VÄSTRA GÖTALANDS LÄN</t>
        </is>
      </c>
      <c r="G121" t="inlineStr">
        <is>
          <t>KARLSBORG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44727</v>
      </c>
      <c r="E122" s="1" t="n">
        <v>46309</v>
      </c>
      <c r="F122" t="inlineStr">
        <is>
          <t>VÄSTRA GÖTALANDS LÄN</t>
        </is>
      </c>
      <c r="G122" t="inlineStr">
        <is>
          <t>KARLSBORG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46309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46309</v>
      </c>
      <c r="F124" t="inlineStr">
        <is>
          <t>VÄSTRA GÖTALANDS LÄN</t>
        </is>
      </c>
      <c r="G124" t="inlineStr">
        <is>
          <t>KARLSBORG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46309</v>
      </c>
      <c r="F125" t="inlineStr">
        <is>
          <t>VÄSTRA GÖTALANDS LÄN</t>
        </is>
      </c>
      <c r="G125" t="inlineStr">
        <is>
          <t>KARLSBORG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58573-2023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46309</v>
      </c>
      <c r="F126" t="inlineStr">
        <is>
          <t>VÄSTRA GÖTALANDS LÄN</t>
        </is>
      </c>
      <c r="G126" t="inlineStr">
        <is>
          <t>KARLSBORG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70945-2021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44538</v>
      </c>
      <c r="E127" s="1" t="n">
        <v>46309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46309</v>
      </c>
      <c r="F128" t="inlineStr">
        <is>
          <t>VÄSTRA GÖTALANDS LÄN</t>
        </is>
      </c>
      <c r="G128" t="inlineStr">
        <is>
          <t>KARLSBORG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18564-2026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46127</v>
      </c>
      <c r="E129" s="1" t="n">
        <v>46309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45089</v>
      </c>
      <c r="E130" s="1" t="n">
        <v>46309</v>
      </c>
      <c r="F130" t="inlineStr">
        <is>
          <t>VÄSTRA GÖTALANDS LÄN</t>
        </is>
      </c>
      <c r="G130" t="inlineStr">
        <is>
          <t>KARLSBORG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46309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46309</v>
      </c>
      <c r="F132" t="inlineStr">
        <is>
          <t>VÄSTRA GÖTALANDS LÄN</t>
        </is>
      </c>
      <c r="G132" t="inlineStr">
        <is>
          <t>KARLSBORG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46309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46309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46309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46309</v>
      </c>
      <c r="F136" t="inlineStr">
        <is>
          <t>VÄSTRA GÖTALANDS LÄN</t>
        </is>
      </c>
      <c r="G136" t="inlineStr">
        <is>
          <t>KARLSBORG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46309</v>
      </c>
      <c r="F137" t="inlineStr">
        <is>
          <t>VÄSTRA GÖTALANDS LÄN</t>
        </is>
      </c>
      <c r="G137" t="inlineStr">
        <is>
          <t>KARLSBORG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46309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46309</v>
      </c>
      <c r="F139" t="inlineStr">
        <is>
          <t>VÄSTRA GÖTALANDS LÄN</t>
        </is>
      </c>
      <c r="G139" t="inlineStr">
        <is>
          <t>KARLSBORG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45755</v>
      </c>
      <c r="E140" s="1" t="n">
        <v>46309</v>
      </c>
      <c r="F140" t="inlineStr">
        <is>
          <t>VÄSTRA GÖTALANDS LÄN</t>
        </is>
      </c>
      <c r="G140" t="inlineStr">
        <is>
          <t>KARLSBORG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46309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46309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46309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46309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35441-2024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45531</v>
      </c>
      <c r="E145" s="1" t="n">
        <v>46309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9.800000000000001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59887-2021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46309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statliga verk och myndigheter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46309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statliga verk och myndigheter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10007-2025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46309</v>
      </c>
      <c r="F148" t="inlineStr">
        <is>
          <t>VÄSTRA GÖTALANDS LÄN</t>
        </is>
      </c>
      <c r="G148" t="inlineStr">
        <is>
          <t>KARLSBORG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46142</v>
      </c>
      <c r="E149" s="1" t="n">
        <v>46309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21014-2026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46143</v>
      </c>
      <c r="E150" s="1" t="n">
        <v>46309</v>
      </c>
      <c r="F150" t="inlineStr">
        <is>
          <t>VÄSTRA GÖTALANDS LÄN</t>
        </is>
      </c>
      <c r="G150" t="inlineStr">
        <is>
          <t>KARLSBORG</t>
        </is>
      </c>
      <c r="I150" t="n">
        <v>14.6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46309</v>
      </c>
      <c r="F151" t="inlineStr">
        <is>
          <t>VÄSTRA GÖTALANDS LÄN</t>
        </is>
      </c>
      <c r="G151" t="inlineStr">
        <is>
          <t>KARLSBORG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69341-2021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44531</v>
      </c>
      <c r="E152" s="1" t="n">
        <v>46309</v>
      </c>
      <c r="F152" t="inlineStr">
        <is>
          <t>VÄSTRA GÖTALANDS LÄN</t>
        </is>
      </c>
      <c r="G152" t="inlineStr">
        <is>
          <t>KARLSBORG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57913-2024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45631</v>
      </c>
      <c r="E153" s="1" t="n">
        <v>46309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45742</v>
      </c>
      <c r="E154" s="1" t="n">
        <v>46309</v>
      </c>
      <c r="F154" t="inlineStr">
        <is>
          <t>VÄSTRA GÖTALANDS LÄN</t>
        </is>
      </c>
      <c r="G154" t="inlineStr">
        <is>
          <t>KARLSBORG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46309</v>
      </c>
      <c r="F155" t="inlineStr">
        <is>
          <t>VÄSTRA GÖTALANDS LÄN</t>
        </is>
      </c>
      <c r="G155" t="inlineStr">
        <is>
          <t>KARLSBORG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23500-2023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45076</v>
      </c>
      <c r="E156" s="1" t="n">
        <v>46309</v>
      </c>
      <c r="F156" t="inlineStr">
        <is>
          <t>VÄSTRA GÖTALANDS LÄN</t>
        </is>
      </c>
      <c r="G156" t="inlineStr">
        <is>
          <t>KARLSBORG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41937-2024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46309</v>
      </c>
      <c r="F157" t="inlineStr">
        <is>
          <t>VÄSTRA GÖTALANDS LÄN</t>
        </is>
      </c>
      <c r="G157" t="inlineStr">
        <is>
          <t>KARLSBORG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46309</v>
      </c>
      <c r="F158" t="inlineStr">
        <is>
          <t>VÄSTRA GÖTALANDS LÄN</t>
        </is>
      </c>
      <c r="G158" t="inlineStr">
        <is>
          <t>KARLSBORG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45218</v>
      </c>
      <c r="E159" s="1" t="n">
        <v>46309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46309</v>
      </c>
      <c r="F160" t="inlineStr">
        <is>
          <t>VÄSTRA GÖTALANDS LÄN</t>
        </is>
      </c>
      <c r="G160" t="inlineStr">
        <is>
          <t>KARLSBORG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46309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46309</v>
      </c>
      <c r="F162" t="inlineStr">
        <is>
          <t>VÄSTRA GÖTALANDS LÄN</t>
        </is>
      </c>
      <c r="G162" t="inlineStr">
        <is>
          <t>KARLSBORG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46309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46309</v>
      </c>
      <c r="F164" t="inlineStr">
        <is>
          <t>VÄSTRA GÖTALANDS LÄN</t>
        </is>
      </c>
      <c r="G164" t="inlineStr">
        <is>
          <t>KARLSBORG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46309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46309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44809</v>
      </c>
      <c r="E167" s="1" t="n">
        <v>46309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46309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12.6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27349-2026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46188</v>
      </c>
      <c r="E169" s="1" t="n">
        <v>46309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46309</v>
      </c>
      <c r="F170" t="inlineStr">
        <is>
          <t>VÄSTRA GÖTALANDS LÄN</t>
        </is>
      </c>
      <c r="G170" t="inlineStr">
        <is>
          <t>KARLSBORG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59045-2023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45252</v>
      </c>
      <c r="E171" s="1" t="n">
        <v>46309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46309</v>
      </c>
      <c r="F172" t="inlineStr">
        <is>
          <t>VÄSTRA GÖTALANDS LÄN</t>
        </is>
      </c>
      <c r="G172" t="inlineStr">
        <is>
          <t>KARLSBORG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44906</v>
      </c>
      <c r="E173" s="1" t="n">
        <v>46309</v>
      </c>
      <c r="F173" t="inlineStr">
        <is>
          <t>VÄSTRA GÖTALANDS LÄN</t>
        </is>
      </c>
      <c r="G173" t="inlineStr">
        <is>
          <t>KARLSBORG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62304-2021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46309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46309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46206</v>
      </c>
      <c r="E176" s="1" t="n">
        <v>46309</v>
      </c>
      <c r="F176" t="inlineStr">
        <is>
          <t>VÄSTRA GÖTALANDS LÄN</t>
        </is>
      </c>
      <c r="G176" t="inlineStr">
        <is>
          <t>KARLSBORG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15396-2024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45401</v>
      </c>
      <c r="E177" s="1" t="n">
        <v>46309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45489</v>
      </c>
      <c r="E178" s="1" t="n">
        <v>46309</v>
      </c>
      <c r="F178" t="inlineStr">
        <is>
          <t>VÄSTRA GÖTALANDS LÄN</t>
        </is>
      </c>
      <c r="G178" t="inlineStr">
        <is>
          <t>KARLSBORG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59877-2021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46309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statliga verk och myndigheter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46160</v>
      </c>
      <c r="E180" s="1" t="n">
        <v>46309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46309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46309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45436</v>
      </c>
      <c r="E183" s="1" t="n">
        <v>46309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44939</v>
      </c>
      <c r="E184" s="1" t="n">
        <v>46309</v>
      </c>
      <c r="F184" t="inlineStr">
        <is>
          <t>VÄSTRA GÖTALANDS LÄN</t>
        </is>
      </c>
      <c r="G184" t="inlineStr">
        <is>
          <t>KARLSBORG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45089</v>
      </c>
      <c r="E185" s="1" t="n">
        <v>46309</v>
      </c>
      <c r="F185" t="inlineStr">
        <is>
          <t>VÄSTRA GÖTALANDS LÄN</t>
        </is>
      </c>
      <c r="G185" t="inlineStr">
        <is>
          <t>KARLSBORG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46309</v>
      </c>
      <c r="F186" t="inlineStr">
        <is>
          <t>VÄSTRA GÖTALANDS LÄN</t>
        </is>
      </c>
      <c r="G186" t="inlineStr">
        <is>
          <t>KARLSBORG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44687</v>
      </c>
      <c r="E187" s="1" t="n">
        <v>46309</v>
      </c>
      <c r="F187" t="inlineStr">
        <is>
          <t>VÄSTRA GÖTALANDS LÄN</t>
        </is>
      </c>
      <c r="G187" t="inlineStr">
        <is>
          <t>KARLSBORG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44906</v>
      </c>
      <c r="E188" s="1" t="n">
        <v>46309</v>
      </c>
      <c r="F188" t="inlineStr">
        <is>
          <t>VÄSTRA GÖTALANDS LÄN</t>
        </is>
      </c>
      <c r="G188" t="inlineStr">
        <is>
          <t>KARLSBORG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44809</v>
      </c>
      <c r="E189" s="1" t="n">
        <v>46309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7652-2023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44972</v>
      </c>
      <c r="E190" s="1" t="n">
        <v>46309</v>
      </c>
      <c r="F190" t="inlineStr">
        <is>
          <t>VÄSTRA GÖTALANDS LÄN</t>
        </is>
      </c>
      <c r="G190" t="inlineStr">
        <is>
          <t>KARLSBORG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46230</v>
      </c>
      <c r="E191" s="1" t="n">
        <v>46309</v>
      </c>
      <c r="F191" t="inlineStr">
        <is>
          <t>VÄSTRA GÖTALANDS LÄN</t>
        </is>
      </c>
      <c r="G191" t="inlineStr">
        <is>
          <t>KARLSBORG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46309</v>
      </c>
      <c r="F192" t="inlineStr">
        <is>
          <t>VÄSTRA GÖTALANDS LÄN</t>
        </is>
      </c>
      <c r="G192" t="inlineStr">
        <is>
          <t>KARLSBORG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46309</v>
      </c>
      <c r="F193" t="inlineStr">
        <is>
          <t>VÄSTRA GÖTALANDS LÄN</t>
        </is>
      </c>
      <c r="G193" t="inlineStr">
        <is>
          <t>KARLSBORG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46276</v>
      </c>
      <c r="E194" s="1" t="n">
        <v>46309</v>
      </c>
      <c r="F194" t="inlineStr">
        <is>
          <t>VÄSTRA GÖTALANDS LÄN</t>
        </is>
      </c>
      <c r="G194" t="inlineStr">
        <is>
          <t>KARLSBORG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46309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44795</v>
      </c>
      <c r="E196" s="1" t="n">
        <v>46309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58127-2024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45632</v>
      </c>
      <c r="E197" s="1" t="n">
        <v>46309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15220-2023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45019</v>
      </c>
      <c r="E198" s="1" t="n">
        <v>46309</v>
      </c>
      <c r="F198" t="inlineStr">
        <is>
          <t>VÄSTRA GÖTALANDS LÄN</t>
        </is>
      </c>
      <c r="G198" t="inlineStr">
        <is>
          <t>KARLSBORG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44944</v>
      </c>
      <c r="E199" s="1" t="n">
        <v>46309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Aktiebolag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57454-2024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45630</v>
      </c>
      <c r="E200" s="1" t="n">
        <v>46309</v>
      </c>
      <c r="F200" t="inlineStr">
        <is>
          <t>VÄSTRA GÖTALANDS LÄN</t>
        </is>
      </c>
      <c r="G200" t="inlineStr">
        <is>
          <t>KARLSBORG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46288</v>
      </c>
      <c r="E201" s="1" t="n">
        <v>46309</v>
      </c>
      <c r="F201" t="inlineStr">
        <is>
          <t>VÄSTRA GÖTALANDS LÄN</t>
        </is>
      </c>
      <c r="G201" t="inlineStr">
        <is>
          <t>KARLSBORG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46309</v>
      </c>
      <c r="F202" t="inlineStr">
        <is>
          <t>VÄSTRA GÖTALANDS LÄN</t>
        </is>
      </c>
      <c r="G202" t="inlineStr">
        <is>
          <t>KARLSBORG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46309</v>
      </c>
      <c r="F203" t="inlineStr">
        <is>
          <t>VÄSTRA GÖTALANDS LÄN</t>
        </is>
      </c>
      <c r="G203" t="inlineStr">
        <is>
          <t>KARLSBORG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46171</v>
      </c>
      <c r="E204" s="1" t="n">
        <v>46309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51111-2024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45603</v>
      </c>
      <c r="E205" s="1" t="n">
        <v>46309</v>
      </c>
      <c r="F205" t="inlineStr">
        <is>
          <t>VÄSTRA GÖTALANDS LÄN</t>
        </is>
      </c>
      <c r="G205" t="inlineStr">
        <is>
          <t>KARLSBORG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46309</v>
      </c>
      <c r="F206" t="inlineStr">
        <is>
          <t>VÄSTRA GÖTALANDS LÄN</t>
        </is>
      </c>
      <c r="G206" t="inlineStr">
        <is>
          <t>KARLSBORG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45478</v>
      </c>
      <c r="E207" s="1" t="n">
        <v>46309</v>
      </c>
      <c r="F207" t="inlineStr">
        <is>
          <t>VÄSTRA GÖTALANDS LÄN</t>
        </is>
      </c>
      <c r="G207" t="inlineStr">
        <is>
          <t>KARLSBORG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46309</v>
      </c>
      <c r="F208" t="inlineStr">
        <is>
          <t>VÄSTRA GÖTALANDS LÄN</t>
        </is>
      </c>
      <c r="G208" t="inlineStr">
        <is>
          <t>KARLSBORG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46309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45707</v>
      </c>
      <c r="E210" s="1" t="n">
        <v>46309</v>
      </c>
      <c r="F210" t="inlineStr">
        <is>
          <t>VÄSTRA GÖTALANDS LÄN</t>
        </is>
      </c>
      <c r="G210" t="inlineStr">
        <is>
          <t>KARLSBORG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57915-2024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45631</v>
      </c>
      <c r="E211" s="1" t="n">
        <v>46309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46309</v>
      </c>
      <c r="F212" t="inlineStr">
        <is>
          <t>VÄSTRA GÖTALANDS LÄN</t>
        </is>
      </c>
      <c r="G212" t="inlineStr">
        <is>
          <t>KARLSBORG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45786</v>
      </c>
      <c r="E213" s="1" t="n">
        <v>46309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46300</v>
      </c>
      <c r="E214" s="1" t="n">
        <v>46309</v>
      </c>
      <c r="F214" t="inlineStr">
        <is>
          <t>VÄSTRA GÖTALANDS LÄN</t>
        </is>
      </c>
      <c r="G214" t="inlineStr">
        <is>
          <t>KARLSBORG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45789</v>
      </c>
      <c r="E215" s="1" t="n">
        <v>46309</v>
      </c>
      <c r="F215" t="inlineStr">
        <is>
          <t>VÄSTRA GÖTALANDS LÄN</t>
        </is>
      </c>
      <c r="G215" t="inlineStr">
        <is>
          <t>KARLSBORG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46300</v>
      </c>
      <c r="E216" s="1" t="n">
        <v>46309</v>
      </c>
      <c r="F216" t="inlineStr">
        <is>
          <t>VÄSTRA GÖTALANDS LÄN</t>
        </is>
      </c>
      <c r="G216" t="inlineStr">
        <is>
          <t>KARLSBORG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46309</v>
      </c>
      <c r="F217" t="inlineStr">
        <is>
          <t>VÄSTRA GÖTALANDS LÄN</t>
        </is>
      </c>
      <c r="G217" t="inlineStr">
        <is>
          <t>KARLSBORG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46309</v>
      </c>
      <c r="F218" t="inlineStr">
        <is>
          <t>VÄSTRA GÖTALANDS LÄN</t>
        </is>
      </c>
      <c r="G218" t="inlineStr">
        <is>
          <t>KARLSBORG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46309</v>
      </c>
      <c r="F219" t="inlineStr">
        <is>
          <t>VÄSTRA GÖTALANDS LÄN</t>
        </is>
      </c>
      <c r="G219" t="inlineStr">
        <is>
          <t>KARLSBORG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46302</v>
      </c>
      <c r="E220" s="1" t="n">
        <v>46309</v>
      </c>
      <c r="F220" t="inlineStr">
        <is>
          <t>VÄSTRA GÖTALANDS LÄN</t>
        </is>
      </c>
      <c r="G220" t="inlineStr">
        <is>
          <t>KARLSBORG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46309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46309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2026-10-14T02:00:35Z</dcterms:created>
  <dcterms:modified xmlns:dcterms="http://purl.org/dc/terms/" xmlns:xsi="http://www.w3.org/2001/XMLSchema-instance" xsi:type="dcterms:W3CDTF">2026-10-14T02:00:35Z</dcterms:modified>
</cp:coreProperties>
</file>