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46258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46258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46258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46258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46258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46258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46258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46258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46258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46258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46258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46258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46258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46258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46258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46258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46258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23268-2022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44720</v>
      </c>
      <c r="E19" s="1" t="n">
        <v>46258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snok</t>
        </is>
      </c>
      <c r="W19">
        <f>HYPERLINK("https://klasma.github.io/Logging_1446/artfynd/A 23268-2022 artfynd.xlsx", "A 23268-2022")</f>
        <v/>
      </c>
      <c r="X19">
        <f>HYPERLINK("https://klasma.github.io/Logging_1446/kartor/A 23268-2022 karta.png", "A 23268-2022")</f>
        <v/>
      </c>
      <c r="Y19">
        <f>HYPERLINK("https://klasma.github.io/Logging_1446/kartor_geotiff/A 23268-2022 georefererad karta.tif", "A 23268-2022")</f>
        <v/>
      </c>
      <c r="AA19">
        <f>HYPERLINK("https://klasma.github.io/Logging_1446/klagomål/A 23268-2022 FSC-klagomål.docx", "A 23268-2022")</f>
        <v/>
      </c>
      <c r="AB19">
        <f>HYPERLINK("https://klasma.github.io/Logging_1446/klagomålsmail/A 23268-2022 FSC-klagomål mail.docx", "A 23268-2022")</f>
        <v/>
      </c>
      <c r="AC19">
        <f>HYPERLINK("https://klasma.github.io/Logging_1446/tillsyn/A 23268-2022 tillsynsbegäran.docx", "A 23268-2022")</f>
        <v/>
      </c>
      <c r="AD19">
        <f>HYPERLINK("https://klasma.github.io/Logging_1446/tillsynsmail/A 23268-2022 tillsynsbegäran mail.docx", "A 23268-2022")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46258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Revlummer</t>
        </is>
      </c>
      <c r="W20">
        <f>HYPERLINK("https://klasma.github.io/Logging_1446/artfynd/A 51531-2023 artfynd.xlsx", "A 51531-2023")</f>
        <v/>
      </c>
      <c r="X20">
        <f>HYPERLINK("https://klasma.github.io/Logging_1446/kartor/A 51531-2023 karta.png", "A 51531-2023")</f>
        <v/>
      </c>
      <c r="Y20">
        <f>HYPERLINK("https://klasma.github.io/Logging_1446/kartor_geotiff/A 51531-2023 georefererad karta.tif", "A 51531-2023")</f>
        <v/>
      </c>
      <c r="AA20">
        <f>HYPERLINK("https://klasma.github.io/Logging_1446/klagomål/A 51531-2023 FSC-klagomål.docx", "A 51531-2023")</f>
        <v/>
      </c>
      <c r="AB20">
        <f>HYPERLINK("https://klasma.github.io/Logging_1446/klagomålsmail/A 51531-2023 FSC-klagomål mail.docx", "A 51531-2023")</f>
        <v/>
      </c>
      <c r="AC20">
        <f>HYPERLINK("https://klasma.github.io/Logging_1446/tillsyn/A 51531-2023 tillsynsbegäran.docx", "A 51531-2023")</f>
        <v/>
      </c>
      <c r="AD20">
        <f>HYPERLINK("https://klasma.github.io/Logging_1446/tillsynsmail/A 51531-2023 tillsynsbegäran mail.docx", "A 51531-2023")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46258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HYPERLINK("https://klasma.github.io/Logging_1446/artfynd/A 9337-2025 artfynd.xlsx", "A 9337-2025")</f>
        <v/>
      </c>
      <c r="X21">
        <f>HYPERLINK("https://klasma.github.io/Logging_1446/kartor/A 9337-2025 karta.png", "A 9337-2025")</f>
        <v/>
      </c>
      <c r="Y21">
        <f>HYPERLINK("https://klasma.github.io/Logging_1446/kartor_geotiff/A 9337-2025 georefererad karta.tif", "A 9337-2025")</f>
        <v/>
      </c>
      <c r="AA21">
        <f>HYPERLINK("https://klasma.github.io/Logging_1446/klagomål/A 9337-2025 FSC-klagomål.docx", "A 9337-2025")</f>
        <v/>
      </c>
      <c r="AB21">
        <f>HYPERLINK("https://klasma.github.io/Logging_1446/klagomålsmail/A 9337-2025 FSC-klagomål mail.docx", "A 9337-2025")</f>
        <v/>
      </c>
      <c r="AC21">
        <f>HYPERLINK("https://klasma.github.io/Logging_1446/tillsyn/A 9337-2025 tillsynsbegäran.docx", "A 9337-2025")</f>
        <v/>
      </c>
      <c r="AD21">
        <f>HYPERLINK("https://klasma.github.io/Logging_1446/tillsynsmail/A 9337-2025 tillsynsbegäran mail.docx", "A 9337-2025")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46258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4448-2026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46045</v>
      </c>
      <c r="E23" s="1" t="n">
        <v>46258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HYPERLINK("https://klasma.github.io/Logging_1446/artfynd/A 4448-2026 artfynd.xlsx", "A 4448-2026")</f>
        <v/>
      </c>
      <c r="X23">
        <f>HYPERLINK("https://klasma.github.io/Logging_1446/kartor/A 4448-2026 karta.png", "A 4448-2026")</f>
        <v/>
      </c>
      <c r="Y23">
        <f>HYPERLINK("https://klasma.github.io/Logging_1446/kartor_geotiff/A 4448-2026 georefererad karta.tif", "A 4448-2026")</f>
        <v/>
      </c>
      <c r="AA23">
        <f>HYPERLINK("https://klasma.github.io/Logging_1446/klagomål/A 4448-2026 FSC-klagomål.docx", "A 4448-2026")</f>
        <v/>
      </c>
      <c r="AB23">
        <f>HYPERLINK("https://klasma.github.io/Logging_1446/klagomålsmail/A 4448-2026 FSC-klagomål mail.docx", "A 4448-2026")</f>
        <v/>
      </c>
      <c r="AC23">
        <f>HYPERLINK("https://klasma.github.io/Logging_1446/tillsyn/A 4448-2026 tillsynsbegäran.docx", "A 4448-2026")</f>
        <v/>
      </c>
      <c r="AD23">
        <f>HYPERLINK("https://klasma.github.io/Logging_1446/tillsynsmail/A 4448-2026 tillsynsbegäran mail.docx", "A 4448-2026")</f>
        <v/>
      </c>
    </row>
    <row r="24" ht="15" customHeight="1">
      <c r="A24" t="inlineStr">
        <is>
          <t>A 38103-2023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46258</v>
      </c>
      <c r="F24" t="inlineStr">
        <is>
          <t>VÄSTRA GÖTALANDS LÄN</t>
        </is>
      </c>
      <c r="G24" t="inlineStr">
        <is>
          <t>KARLSBORG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HYPERLINK("https://klasma.github.io/Logging_1446/artfynd/A 38103-2023 artfynd.xlsx", "A 38103-2023")</f>
        <v/>
      </c>
      <c r="X24">
        <f>HYPERLINK("https://klasma.github.io/Logging_1446/kartor/A 38103-2023 karta.png", "A 38103-2023")</f>
        <v/>
      </c>
      <c r="Y24">
        <f>HYPERLINK("https://klasma.github.io/Logging_1446/kartor_geotiff/A 38103-2023 georefererad karta.tif", "A 38103-2023")</f>
        <v/>
      </c>
      <c r="AA24">
        <f>HYPERLINK("https://klasma.github.io/Logging_1446/klagomål/A 38103-2023 FSC-klagomål.docx", "A 38103-2023")</f>
        <v/>
      </c>
      <c r="AB24">
        <f>HYPERLINK("https://klasma.github.io/Logging_1446/klagomålsmail/A 38103-2023 FSC-klagomål mail.docx", "A 38103-2023")</f>
        <v/>
      </c>
      <c r="AC24">
        <f>HYPERLINK("https://klasma.github.io/Logging_1446/tillsyn/A 38103-2023 tillsynsbegäran.docx", "A 38103-2023")</f>
        <v/>
      </c>
      <c r="AD24">
        <f>HYPERLINK("https://klasma.github.io/Logging_1446/tillsynsmail/A 38103-2023 tillsynsbegäran mail.docx", "A 38103-2023")</f>
        <v/>
      </c>
    </row>
    <row r="25" ht="15" customHeight="1">
      <c r="A25" t="inlineStr">
        <is>
          <t>A 31801-2026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46230</v>
      </c>
      <c r="E25" s="1" t="n">
        <v>46258</v>
      </c>
      <c r="F25" t="inlineStr">
        <is>
          <t>VÄSTRA GÖTALANDS LÄN</t>
        </is>
      </c>
      <c r="G25" t="inlineStr">
        <is>
          <t>KARLSBORG</t>
        </is>
      </c>
      <c r="I25" t="n">
        <v>1.3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Knärot</t>
        </is>
      </c>
      <c r="W25">
        <f>HYPERLINK("https://klasma.github.io/Logging_1446/artfynd/A 31801-2026 artfynd.xlsx", "A 31801-2026")</f>
        <v/>
      </c>
      <c r="X25">
        <f>HYPERLINK("https://klasma.github.io/Logging_1446/kartor/A 31801-2026 karta.png", "A 31801-2026")</f>
        <v/>
      </c>
      <c r="Y25">
        <f>HYPERLINK("https://klasma.github.io/Logging_1446/kartor_geotiff/A 31801-2026 georefererad karta.tif", "A 31801-2026")</f>
        <v/>
      </c>
      <c r="Z25">
        <f>HYPERLINK("https://klasma.github.io/Logging_1446/knärot/A 31801-2026 karta knärot.png", "A 31801-2026")</f>
        <v/>
      </c>
      <c r="AA25">
        <f>HYPERLINK("https://klasma.github.io/Logging_1446/klagomål/A 31801-2026 FSC-klagomål.docx", "A 31801-2026")</f>
        <v/>
      </c>
      <c r="AB25">
        <f>HYPERLINK("https://klasma.github.io/Logging_1446/klagomålsmail/A 31801-2026 FSC-klagomål mail.docx", "A 31801-2026")</f>
        <v/>
      </c>
      <c r="AC25">
        <f>HYPERLINK("https://klasma.github.io/Logging_1446/tillsyn/A 31801-2026 tillsynsbegäran.docx", "A 31801-2026")</f>
        <v/>
      </c>
      <c r="AD25">
        <f>HYPERLINK("https://klasma.github.io/Logging_1446/tillsynsmail/A 31801-2026 tillsynsbegäran mail.docx", "A 31801-2026")</f>
        <v/>
      </c>
    </row>
    <row r="26" ht="15" customHeight="1">
      <c r="A26" t="inlineStr">
        <is>
          <t>A 18567-2026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46258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2.6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18567-2026 artfynd.xlsx", "A 18567-2026")</f>
        <v/>
      </c>
      <c r="X26">
        <f>HYPERLINK("https://klasma.github.io/Logging_1446/kartor/A 18567-2026 karta.png", "A 18567-2026")</f>
        <v/>
      </c>
      <c r="Y26">
        <f>HYPERLINK("https://klasma.github.io/Logging_1446/kartor_geotiff/A 18567-2026 georefererad karta.tif", "A 18567-2026")</f>
        <v/>
      </c>
      <c r="AA26">
        <f>HYPERLINK("https://klasma.github.io/Logging_1446/klagomål/A 18567-2026 FSC-klagomål.docx", "A 18567-2026")</f>
        <v/>
      </c>
      <c r="AB26">
        <f>HYPERLINK("https://klasma.github.io/Logging_1446/klagomålsmail/A 18567-2026 FSC-klagomål mail.docx", "A 18567-2026")</f>
        <v/>
      </c>
      <c r="AC26">
        <f>HYPERLINK("https://klasma.github.io/Logging_1446/tillsyn/A 18567-2026 tillsynsbegäran.docx", "A 18567-2026")</f>
        <v/>
      </c>
      <c r="AD26">
        <f>HYPERLINK("https://klasma.github.io/Logging_1446/tillsynsmail/A 18567-2026 tillsynsbegäran mail.docx", "A 18567-2026")</f>
        <v/>
      </c>
    </row>
    <row r="27" ht="15" customHeight="1">
      <c r="A27" t="inlineStr">
        <is>
          <t>A 29156-2026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46258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29156-2026 artfynd.xlsx", "A 29156-2026")</f>
        <v/>
      </c>
      <c r="X27">
        <f>HYPERLINK("https://klasma.github.io/Logging_1446/kartor/A 29156-2026 karta.png", "A 29156-2026")</f>
        <v/>
      </c>
      <c r="Y27">
        <f>HYPERLINK("https://klasma.github.io/Logging_1446/kartor_geotiff/A 29156-2026 georefererad karta.tif", "A 29156-2026")</f>
        <v/>
      </c>
      <c r="AA27">
        <f>HYPERLINK("https://klasma.github.io/Logging_1446/klagomål/A 29156-2026 FSC-klagomål.docx", "A 29156-2026")</f>
        <v/>
      </c>
      <c r="AB27">
        <f>HYPERLINK("https://klasma.github.io/Logging_1446/klagomålsmail/A 29156-2026 FSC-klagomål mail.docx", "A 29156-2026")</f>
        <v/>
      </c>
      <c r="AC27">
        <f>HYPERLINK("https://klasma.github.io/Logging_1446/tillsyn/A 29156-2026 tillsynsbegäran.docx", "A 29156-2026")</f>
        <v/>
      </c>
      <c r="AD27">
        <f>HYPERLINK("https://klasma.github.io/Logging_1446/tillsynsmail/A 29156-2026 tillsynsbegäran mail.docx", "A 29156-2026")</f>
        <v/>
      </c>
    </row>
    <row r="28" ht="15" customHeight="1">
      <c r="A28" t="inlineStr">
        <is>
          <t>A 29484-2025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45824</v>
      </c>
      <c r="E28" s="1" t="n">
        <v>46258</v>
      </c>
      <c r="F28" t="inlineStr">
        <is>
          <t>VÄSTRA GÖTALANDS LÄN</t>
        </is>
      </c>
      <c r="G28" t="inlineStr">
        <is>
          <t>KARLSBORG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Blåsippa</t>
        </is>
      </c>
      <c r="W28">
        <f>HYPERLINK("https://klasma.github.io/Logging_1446/artfynd/A 29484-2025 artfynd.xlsx", "A 29484-2025")</f>
        <v/>
      </c>
      <c r="X28">
        <f>HYPERLINK("https://klasma.github.io/Logging_1446/kartor/A 29484-2025 karta.png", "A 29484-2025")</f>
        <v/>
      </c>
      <c r="Y28">
        <f>HYPERLINK("https://klasma.github.io/Logging_1446/kartor_geotiff/A 29484-2025 georefererad karta.tif", "A 29484-2025")</f>
        <v/>
      </c>
      <c r="AA28">
        <f>HYPERLINK("https://klasma.github.io/Logging_1446/klagomål/A 29484-2025 FSC-klagomål.docx", "A 29484-2025")</f>
        <v/>
      </c>
      <c r="AB28">
        <f>HYPERLINK("https://klasma.github.io/Logging_1446/klagomålsmail/A 29484-2025 FSC-klagomål mail.docx", "A 29484-2025")</f>
        <v/>
      </c>
      <c r="AC28">
        <f>HYPERLINK("https://klasma.github.io/Logging_1446/tillsyn/A 29484-2025 tillsynsbegäran.docx", "A 29484-2025")</f>
        <v/>
      </c>
      <c r="AD28">
        <f>HYPERLINK("https://klasma.github.io/Logging_1446/tillsynsmail/A 29484-2025 tillsynsbegäran mail.docx", "A 29484-2025")</f>
        <v/>
      </c>
    </row>
    <row r="29" ht="15" customHeight="1">
      <c r="A29" t="inlineStr">
        <is>
          <t>A 8984-2025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46258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Övriga Aktiebolag</t>
        </is>
      </c>
      <c r="I29" t="n">
        <v>9.5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HYPERLINK("https://klasma.github.io/Logging_1446/artfynd/A 8984-2025 artfynd.xlsx", "A 8984-2025")</f>
        <v/>
      </c>
      <c r="X29">
        <f>HYPERLINK("https://klasma.github.io/Logging_1446/kartor/A 8984-2025 karta.png", "A 8984-2025")</f>
        <v/>
      </c>
      <c r="Y29">
        <f>HYPERLINK("https://klasma.github.io/Logging_1446/kartor_geotiff/A 8984-2025 georefererad karta.tif", "A 8984-2025")</f>
        <v/>
      </c>
      <c r="AA29">
        <f>HYPERLINK("https://klasma.github.io/Logging_1446/klagomål/A 8984-2025 FSC-klagomål.docx", "A 8984-2025")</f>
        <v/>
      </c>
      <c r="AB29">
        <f>HYPERLINK("https://klasma.github.io/Logging_1446/klagomålsmail/A 8984-2025 FSC-klagomål mail.docx", "A 8984-2025")</f>
        <v/>
      </c>
      <c r="AC29">
        <f>HYPERLINK("https://klasma.github.io/Logging_1446/tillsyn/A 8984-2025 tillsynsbegäran.docx", "A 8984-2025")</f>
        <v/>
      </c>
      <c r="AD29">
        <f>HYPERLINK("https://klasma.github.io/Logging_1446/tillsynsmail/A 8984-2025 tillsynsbegäran mail.docx", "A 8984-2025")</f>
        <v/>
      </c>
      <c r="AE29">
        <f>HYPERLINK("https://klasma.github.io/Logging_1446/fåglar/A 8984-2025 prioriterade fågelarter.docx", "A 8984-2025")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46258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46258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46258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46258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46258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46258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46258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46258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46258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46258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46258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46258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46258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46258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46258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46258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46258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45804</v>
      </c>
      <c r="E47" s="1" t="n">
        <v>46258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6.1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44944</v>
      </c>
      <c r="E48" s="1" t="n">
        <v>46258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7978-2025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45707</v>
      </c>
      <c r="E49" s="1" t="n">
        <v>46258</v>
      </c>
      <c r="F49" t="inlineStr">
        <is>
          <t>VÄSTRA GÖTALANDS LÄN</t>
        </is>
      </c>
      <c r="G49" t="inlineStr">
        <is>
          <t>KARLSBORG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45369</v>
      </c>
      <c r="E50" s="1" t="n">
        <v>46258</v>
      </c>
      <c r="F50" t="inlineStr">
        <is>
          <t>VÄSTRA GÖTALANDS LÄN</t>
        </is>
      </c>
      <c r="G50" t="inlineStr">
        <is>
          <t>KARLSBORG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45470</v>
      </c>
      <c r="E51" s="1" t="n">
        <v>46258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46258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46258</v>
      </c>
      <c r="F53" t="inlineStr">
        <is>
          <t>VÄSTRA GÖTALANDS LÄN</t>
        </is>
      </c>
      <c r="G53" t="inlineStr">
        <is>
          <t>KARLSBORG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45453</v>
      </c>
      <c r="E54" s="1" t="n">
        <v>46258</v>
      </c>
      <c r="F54" t="inlineStr">
        <is>
          <t>VÄSTRA GÖTALANDS LÄN</t>
        </is>
      </c>
      <c r="G54" t="inlineStr">
        <is>
          <t>KARLSBORG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41937-2024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45561</v>
      </c>
      <c r="E55" s="1" t="n">
        <v>46258</v>
      </c>
      <c r="F55" t="inlineStr">
        <is>
          <t>VÄSTRA GÖTALANDS LÄN</t>
        </is>
      </c>
      <c r="G55" t="inlineStr">
        <is>
          <t>KARLSBORG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44595</v>
      </c>
      <c r="E56" s="1" t="n">
        <v>46258</v>
      </c>
      <c r="F56" t="inlineStr">
        <is>
          <t>VÄSTRA GÖTALANDS LÄN</t>
        </is>
      </c>
      <c r="G56" t="inlineStr">
        <is>
          <t>KARLSBORG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46258</v>
      </c>
      <c r="F57" t="inlineStr">
        <is>
          <t>VÄSTRA GÖTALANDS LÄN</t>
        </is>
      </c>
      <c r="G57" t="inlineStr">
        <is>
          <t>KARLSBORG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46258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45899</v>
      </c>
      <c r="E59" s="1" t="n">
        <v>46258</v>
      </c>
      <c r="F59" t="inlineStr">
        <is>
          <t>VÄSTRA GÖTALANDS LÄN</t>
        </is>
      </c>
      <c r="G59" t="inlineStr">
        <is>
          <t>KARLSBORG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13076-2023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46258</v>
      </c>
      <c r="F60" t="inlineStr">
        <is>
          <t>VÄSTRA GÖTALANDS LÄN</t>
        </is>
      </c>
      <c r="G60" t="inlineStr">
        <is>
          <t>KARLSBORG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45524</v>
      </c>
      <c r="E61" s="1" t="n">
        <v>46258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45524</v>
      </c>
      <c r="E62" s="1" t="n">
        <v>46258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44727</v>
      </c>
      <c r="E63" s="1" t="n">
        <v>46258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46258</v>
      </c>
      <c r="F64" t="inlineStr">
        <is>
          <t>VÄSTRA GÖTALANDS LÄN</t>
        </is>
      </c>
      <c r="G64" t="inlineStr">
        <is>
          <t>KARLSBORG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45908</v>
      </c>
      <c r="E65" s="1" t="n">
        <v>46258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Kyrkan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45489</v>
      </c>
      <c r="E66" s="1" t="n">
        <v>46258</v>
      </c>
      <c r="F66" t="inlineStr">
        <is>
          <t>VÄSTRA GÖTALANDS LÄN</t>
        </is>
      </c>
      <c r="G66" t="inlineStr">
        <is>
          <t>KARLSBORG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46258</v>
      </c>
      <c r="F67" t="inlineStr">
        <is>
          <t>VÄSTRA GÖTALANDS LÄN</t>
        </is>
      </c>
      <c r="G67" t="inlineStr">
        <is>
          <t>KARLSBORG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45160</v>
      </c>
      <c r="E68" s="1" t="n">
        <v>46258</v>
      </c>
      <c r="F68" t="inlineStr">
        <is>
          <t>VÄSTRA GÖTALANDS LÄN</t>
        </is>
      </c>
      <c r="G68" t="inlineStr">
        <is>
          <t>KARLSBORG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46258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Kyrkan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70945-2021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46258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45247-2025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46258</v>
      </c>
      <c r="F71" t="inlineStr">
        <is>
          <t>VÄSTRA GÖTALANDS LÄN</t>
        </is>
      </c>
      <c r="G71" t="inlineStr">
        <is>
          <t>KARLSBORG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46258</v>
      </c>
      <c r="F72" t="inlineStr">
        <is>
          <t>VÄSTRA GÖTALANDS LÄN</t>
        </is>
      </c>
      <c r="G72" t="inlineStr">
        <is>
          <t>KARLSBORG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46258</v>
      </c>
      <c r="F73" t="inlineStr">
        <is>
          <t>VÄSTRA GÖTALANDS LÄN</t>
        </is>
      </c>
      <c r="G73" t="inlineStr">
        <is>
          <t>KARLSBORG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46258</v>
      </c>
      <c r="F74" t="inlineStr">
        <is>
          <t>VÄSTRA GÖTALANDS LÄN</t>
        </is>
      </c>
      <c r="G74" t="inlineStr">
        <is>
          <t>KARLSBORG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32128-2025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45835</v>
      </c>
      <c r="E75" s="1" t="n">
        <v>46258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46258</v>
      </c>
      <c r="F76" t="inlineStr">
        <is>
          <t>VÄSTRA GÖTALANDS LÄN</t>
        </is>
      </c>
      <c r="G76" t="inlineStr">
        <is>
          <t>KARLSBORG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46258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31701-2025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45834</v>
      </c>
      <c r="E78" s="1" t="n">
        <v>46258</v>
      </c>
      <c r="F78" t="inlineStr">
        <is>
          <t>VÄSTRA GÖTALANDS LÄN</t>
        </is>
      </c>
      <c r="G78" t="inlineStr">
        <is>
          <t>KARLSBORG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45720</v>
      </c>
      <c r="E79" s="1" t="n">
        <v>46258</v>
      </c>
      <c r="F79" t="inlineStr">
        <is>
          <t>VÄSTRA GÖTALANDS LÄN</t>
        </is>
      </c>
      <c r="G79" t="inlineStr">
        <is>
          <t>KARLSBORG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46258</v>
      </c>
      <c r="F80" t="inlineStr">
        <is>
          <t>VÄSTRA GÖTALANDS LÄN</t>
        </is>
      </c>
      <c r="G80" t="inlineStr">
        <is>
          <t>KARLSBORG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46258</v>
      </c>
      <c r="F81" t="inlineStr">
        <is>
          <t>VÄSTRA GÖTALANDS LÄN</t>
        </is>
      </c>
      <c r="G81" t="inlineStr">
        <is>
          <t>KARLSBORG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57454-2024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45630</v>
      </c>
      <c r="E82" s="1" t="n">
        <v>46258</v>
      </c>
      <c r="F82" t="inlineStr">
        <is>
          <t>VÄSTRA GÖTALANDS LÄN</t>
        </is>
      </c>
      <c r="G82" t="inlineStr">
        <is>
          <t>KARLSBORG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46258</v>
      </c>
      <c r="F83" t="inlineStr">
        <is>
          <t>VÄSTRA GÖTALANDS LÄN</t>
        </is>
      </c>
      <c r="G83" t="inlineStr">
        <is>
          <t>KARLSBORG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56541-2023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46258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Sveaskog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46258</v>
      </c>
      <c r="F85" t="inlineStr">
        <is>
          <t>VÄSTRA GÖTALANDS LÄN</t>
        </is>
      </c>
      <c r="G85" t="inlineStr">
        <is>
          <t>KARLSBORG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57915-2024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45631</v>
      </c>
      <c r="E86" s="1" t="n">
        <v>46258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46258</v>
      </c>
      <c r="F87" t="inlineStr">
        <is>
          <t>VÄSTRA GÖTALANDS LÄN</t>
        </is>
      </c>
      <c r="G87" t="inlineStr">
        <is>
          <t>KARLSBORG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46258</v>
      </c>
      <c r="F88" t="inlineStr">
        <is>
          <t>VÄSTRA GÖTALANDS LÄN</t>
        </is>
      </c>
      <c r="G88" t="inlineStr">
        <is>
          <t>KARLSBORG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45942</v>
      </c>
      <c r="E89" s="1" t="n">
        <v>46258</v>
      </c>
      <c r="F89" t="inlineStr">
        <is>
          <t>VÄSTRA GÖTALANDS LÄN</t>
        </is>
      </c>
      <c r="G89" t="inlineStr">
        <is>
          <t>KARLSBORG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46258</v>
      </c>
      <c r="F90" t="inlineStr">
        <is>
          <t>VÄSTRA GÖTALANDS LÄN</t>
        </is>
      </c>
      <c r="G90" t="inlineStr">
        <is>
          <t>KARLSBORG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46258</v>
      </c>
      <c r="F91" t="inlineStr">
        <is>
          <t>VÄSTRA GÖTALANDS LÄN</t>
        </is>
      </c>
      <c r="G91" t="inlineStr">
        <is>
          <t>KARLSBORG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46258</v>
      </c>
      <c r="F92" t="inlineStr">
        <is>
          <t>VÄSTRA GÖTALANDS LÄN</t>
        </is>
      </c>
      <c r="G92" t="inlineStr">
        <is>
          <t>KARLSBORG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45252</v>
      </c>
      <c r="E93" s="1" t="n">
        <v>46258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46258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46258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44906</v>
      </c>
      <c r="E96" s="1" t="n">
        <v>46258</v>
      </c>
      <c r="F96" t="inlineStr">
        <is>
          <t>VÄSTRA GÖTALANDS LÄN</t>
        </is>
      </c>
      <c r="G96" t="inlineStr">
        <is>
          <t>KARLSBORG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45019</v>
      </c>
      <c r="E97" s="1" t="n">
        <v>46258</v>
      </c>
      <c r="F97" t="inlineStr">
        <is>
          <t>VÄSTRA GÖTALANDS LÄN</t>
        </is>
      </c>
      <c r="G97" t="inlineStr">
        <is>
          <t>KARLSBORG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46258</v>
      </c>
      <c r="F98" t="inlineStr">
        <is>
          <t>VÄSTRA GÖTALANDS LÄN</t>
        </is>
      </c>
      <c r="G98" t="inlineStr">
        <is>
          <t>KARLSBORG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45089</v>
      </c>
      <c r="E99" s="1" t="n">
        <v>46258</v>
      </c>
      <c r="F99" t="inlineStr">
        <is>
          <t>VÄSTRA GÖTALANDS LÄN</t>
        </is>
      </c>
      <c r="G99" t="inlineStr">
        <is>
          <t>KARLSBORG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45478</v>
      </c>
      <c r="E100" s="1" t="n">
        <v>46258</v>
      </c>
      <c r="F100" t="inlineStr">
        <is>
          <t>VÄSTRA GÖTALANDS LÄN</t>
        </is>
      </c>
      <c r="G100" t="inlineStr">
        <is>
          <t>KARLSBORG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46258</v>
      </c>
      <c r="F101" t="inlineStr">
        <is>
          <t>VÄSTRA GÖTALANDS LÄN</t>
        </is>
      </c>
      <c r="G101" t="inlineStr">
        <is>
          <t>KARLSBORG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45090</v>
      </c>
      <c r="E102" s="1" t="n">
        <v>46258</v>
      </c>
      <c r="F102" t="inlineStr">
        <is>
          <t>VÄSTRA GÖTALANDS LÄN</t>
        </is>
      </c>
      <c r="G102" t="inlineStr">
        <is>
          <t>KARLSBORG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46258</v>
      </c>
      <c r="F103" t="inlineStr">
        <is>
          <t>VÄSTRA GÖTALANDS LÄN</t>
        </is>
      </c>
      <c r="G103" t="inlineStr">
        <is>
          <t>KARLSBORG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46258</v>
      </c>
      <c r="F104" t="inlineStr">
        <is>
          <t>VÄSTRA GÖTALANDS LÄN</t>
        </is>
      </c>
      <c r="G104" t="inlineStr">
        <is>
          <t>KARLSBORG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46258</v>
      </c>
      <c r="F105" t="inlineStr">
        <is>
          <t>VÄSTRA GÖTALANDS LÄN</t>
        </is>
      </c>
      <c r="G105" t="inlineStr">
        <is>
          <t>KARLSBORG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44972</v>
      </c>
      <c r="E106" s="1" t="n">
        <v>46258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23500-2023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45076</v>
      </c>
      <c r="E107" s="1" t="n">
        <v>46258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45632</v>
      </c>
      <c r="E108" s="1" t="n">
        <v>46258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59887-2021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46258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statliga verk och myndigheter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46258</v>
      </c>
      <c r="F110" t="inlineStr">
        <is>
          <t>VÄSTRA GÖTALANDS LÄN</t>
        </is>
      </c>
      <c r="G110" t="inlineStr">
        <is>
          <t>KARLSBORG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46258</v>
      </c>
      <c r="F111" t="inlineStr">
        <is>
          <t>VÄSTRA GÖTALANDS LÄN</t>
        </is>
      </c>
      <c r="G111" t="inlineStr">
        <is>
          <t>KARLSBORG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46258</v>
      </c>
      <c r="F112" t="inlineStr">
        <is>
          <t>VÄSTRA GÖTALANDS LÄN</t>
        </is>
      </c>
      <c r="G112" t="inlineStr">
        <is>
          <t>KARLSBORG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46258</v>
      </c>
      <c r="F113" t="inlineStr">
        <is>
          <t>VÄSTRA GÖTALANDS LÄN</t>
        </is>
      </c>
      <c r="G113" t="inlineStr">
        <is>
          <t>KARLSBORG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46258</v>
      </c>
      <c r="F114" t="inlineStr">
        <is>
          <t>VÄSTRA GÖTALANDS LÄN</t>
        </is>
      </c>
      <c r="G114" t="inlineStr">
        <is>
          <t>KARLSBORG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46258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45742</v>
      </c>
      <c r="E116" s="1" t="n">
        <v>46258</v>
      </c>
      <c r="F116" t="inlineStr">
        <is>
          <t>VÄSTRA GÖTALANDS LÄN</t>
        </is>
      </c>
      <c r="G116" t="inlineStr">
        <is>
          <t>KARLSBORG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46258</v>
      </c>
      <c r="F117" t="inlineStr">
        <is>
          <t>VÄSTRA GÖTALANDS LÄN</t>
        </is>
      </c>
      <c r="G117" t="inlineStr">
        <is>
          <t>KARLSBORG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46258</v>
      </c>
      <c r="F118" t="inlineStr">
        <is>
          <t>VÄSTRA GÖTALANDS LÄN</t>
        </is>
      </c>
      <c r="G118" t="inlineStr">
        <is>
          <t>KARLSBORG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46258</v>
      </c>
      <c r="F119" t="inlineStr">
        <is>
          <t>VÄSTRA GÖTALANDS LÄN</t>
        </is>
      </c>
      <c r="G119" t="inlineStr">
        <is>
          <t>KARLSBORG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45992</v>
      </c>
      <c r="E120" s="1" t="n">
        <v>46258</v>
      </c>
      <c r="F120" t="inlineStr">
        <is>
          <t>VÄSTRA GÖTALANDS LÄN</t>
        </is>
      </c>
      <c r="G120" t="inlineStr">
        <is>
          <t>KARLSBORG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46258</v>
      </c>
      <c r="F121" t="inlineStr">
        <is>
          <t>VÄSTRA GÖTALANDS LÄN</t>
        </is>
      </c>
      <c r="G121" t="inlineStr">
        <is>
          <t>KARLSBORG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46258</v>
      </c>
      <c r="F122" t="inlineStr">
        <is>
          <t>VÄSTRA GÖTALANDS LÄN</t>
        </is>
      </c>
      <c r="G122" t="inlineStr">
        <is>
          <t>KARLSBORG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44974</v>
      </c>
      <c r="E123" s="1" t="n">
        <v>46258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44974</v>
      </c>
      <c r="E124" s="1" t="n">
        <v>46258</v>
      </c>
      <c r="F124" t="inlineStr">
        <is>
          <t>VÄSTRA GÖTALANDS LÄN</t>
        </is>
      </c>
      <c r="G124" t="inlineStr">
        <is>
          <t>KARLSBORG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44944</v>
      </c>
      <c r="E125" s="1" t="n">
        <v>46258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46258</v>
      </c>
      <c r="F126" t="inlineStr">
        <is>
          <t>VÄSTRA GÖTALANDS LÄN</t>
        </is>
      </c>
      <c r="G126" t="inlineStr">
        <is>
          <t>KARLSBORG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46258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46258</v>
      </c>
      <c r="F128" t="inlineStr">
        <is>
          <t>VÄSTRA GÖTALANDS LÄN</t>
        </is>
      </c>
      <c r="G128" t="inlineStr">
        <is>
          <t>KARLSBORG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46258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43021-2021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44431</v>
      </c>
      <c r="E130" s="1" t="n">
        <v>46258</v>
      </c>
      <c r="F130" t="inlineStr">
        <is>
          <t>VÄSTRA GÖTALANDS LÄN</t>
        </is>
      </c>
      <c r="G130" t="inlineStr">
        <is>
          <t>KARLSBORG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46258</v>
      </c>
      <c r="F131" t="inlineStr">
        <is>
          <t>VÄSTRA GÖTALANDS LÄN</t>
        </is>
      </c>
      <c r="G131" t="inlineStr">
        <is>
          <t>KARLSBORG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45394</v>
      </c>
      <c r="E132" s="1" t="n">
        <v>46258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29357-2024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45483</v>
      </c>
      <c r="E133" s="1" t="n">
        <v>46258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44906</v>
      </c>
      <c r="E134" s="1" t="n">
        <v>46258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46258</v>
      </c>
      <c r="F135" t="inlineStr">
        <is>
          <t>VÄSTRA GÖTALANDS LÄN</t>
        </is>
      </c>
      <c r="G135" t="inlineStr">
        <is>
          <t>KARLSBORG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46258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46258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44687</v>
      </c>
      <c r="E138" s="1" t="n">
        <v>46258</v>
      </c>
      <c r="F138" t="inlineStr">
        <is>
          <t>VÄSTRA GÖTALANDS LÄN</t>
        </is>
      </c>
      <c r="G138" t="inlineStr">
        <is>
          <t>KARLSBORG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35930-2025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45862</v>
      </c>
      <c r="E139" s="1" t="n">
        <v>46258</v>
      </c>
      <c r="F139" t="inlineStr">
        <is>
          <t>VÄSTRA GÖTALANDS LÄN</t>
        </is>
      </c>
      <c r="G139" t="inlineStr">
        <is>
          <t>KARLSBORG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46258</v>
      </c>
      <c r="F140" t="inlineStr">
        <is>
          <t>VÄSTRA GÖTALANDS LÄN</t>
        </is>
      </c>
      <c r="G140" t="inlineStr">
        <is>
          <t>KARLSBORG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44929</v>
      </c>
      <c r="E141" s="1" t="n">
        <v>46258</v>
      </c>
      <c r="F141" t="inlineStr">
        <is>
          <t>VÄSTRA GÖTALANDS LÄN</t>
        </is>
      </c>
      <c r="G141" t="inlineStr">
        <is>
          <t>KARLSBORG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  <c r="X141">
        <f>HYPERLINK("https://klasma.github.io/Logging_1446/kartor/A 412-2023 karta.png", "A 412-2023")</f>
        <v/>
      </c>
      <c r="Y141">
        <f>HYPERLINK("https://klasma.github.io/Logging_1446/kartor_geotiff/A 412-2023 georefererad karta.tif", "A 412-2023")</f>
        <v/>
      </c>
      <c r="AA141">
        <f>HYPERLINK("https://klasma.github.io/Logging_1446/klagomål/A 412-2023 FSC-klagomål.docx", "A 412-2023")</f>
        <v/>
      </c>
      <c r="AB141">
        <f>HYPERLINK("https://klasma.github.io/Logging_1446/klagomålsmail/A 412-2023 FSC-klagomål mail.docx", "A 412-2023")</f>
        <v/>
      </c>
      <c r="AC141">
        <f>HYPERLINK("https://klasma.github.io/Logging_1446/tillsyn/A 412-2023 tillsynsbegäran.docx", "A 412-2023")</f>
        <v/>
      </c>
      <c r="AD141">
        <f>HYPERLINK("https://klasma.github.io/Logging_1446/tillsynsmail/A 412-2023 tillsynsbegäran mail.docx", "A 412-2023")</f>
        <v/>
      </c>
    </row>
    <row r="142" ht="15" customHeight="1">
      <c r="A142" t="inlineStr">
        <is>
          <t>A 64011-2025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46258</v>
      </c>
      <c r="F142" t="inlineStr">
        <is>
          <t>VÄSTRA GÖTALANDS LÄN</t>
        </is>
      </c>
      <c r="G142" t="inlineStr">
        <is>
          <t>KARLSBORG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46258</v>
      </c>
      <c r="F143" t="inlineStr">
        <is>
          <t>VÄSTRA GÖTALANDS LÄN</t>
        </is>
      </c>
      <c r="G143" t="inlineStr">
        <is>
          <t>KARLSBORG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46258</v>
      </c>
      <c r="F144" t="inlineStr">
        <is>
          <t>VÄSTRA GÖTALANDS LÄN</t>
        </is>
      </c>
      <c r="G144" t="inlineStr">
        <is>
          <t>KARLSBORG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44755</v>
      </c>
      <c r="E145" s="1" t="n">
        <v>46258</v>
      </c>
      <c r="F145" t="inlineStr">
        <is>
          <t>VÄSTRA GÖTALANDS LÄN</t>
        </is>
      </c>
      <c r="G145" t="inlineStr">
        <is>
          <t>KARLSBORG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46258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44937</v>
      </c>
      <c r="E147" s="1" t="n">
        <v>46258</v>
      </c>
      <c r="F147" t="inlineStr">
        <is>
          <t>VÄSTRA GÖTALANDS LÄN</t>
        </is>
      </c>
      <c r="G147" t="inlineStr">
        <is>
          <t>KARLSBORG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45566</v>
      </c>
      <c r="E148" s="1" t="n">
        <v>46258</v>
      </c>
      <c r="F148" t="inlineStr">
        <is>
          <t>VÄSTRA GÖTALANDS LÄN</t>
        </is>
      </c>
      <c r="G148" t="inlineStr">
        <is>
          <t>KARLSBORG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45614</v>
      </c>
      <c r="E149" s="1" t="n">
        <v>46258</v>
      </c>
      <c r="F149" t="inlineStr">
        <is>
          <t>VÄSTRA GÖTALANDS LÄN</t>
        </is>
      </c>
      <c r="G149" t="inlineStr">
        <is>
          <t>KARLSBORG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46258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34314-2024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46258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41684-2023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45176</v>
      </c>
      <c r="E152" s="1" t="n">
        <v>46258</v>
      </c>
      <c r="F152" t="inlineStr">
        <is>
          <t>VÄSTRA GÖTALANDS LÄN</t>
        </is>
      </c>
      <c r="G152" t="inlineStr">
        <is>
          <t>KARLSBORG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46258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46258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46045</v>
      </c>
      <c r="E155" s="1" t="n">
        <v>46258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61211-2022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44908</v>
      </c>
      <c r="E156" s="1" t="n">
        <v>46258</v>
      </c>
      <c r="F156" t="inlineStr">
        <is>
          <t>VÄSTRA GÖTALANDS LÄN</t>
        </is>
      </c>
      <c r="G156" t="inlineStr">
        <is>
          <t>KARLSBORG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45631</v>
      </c>
      <c r="E157" s="1" t="n">
        <v>46258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46258</v>
      </c>
      <c r="F158" t="inlineStr">
        <is>
          <t>VÄSTRA GÖTALANDS LÄN</t>
        </is>
      </c>
      <c r="G158" t="inlineStr">
        <is>
          <t>KARLSBORG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46258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46258</v>
      </c>
      <c r="F160" t="inlineStr">
        <is>
          <t>VÄSTRA GÖTALANDS LÄN</t>
        </is>
      </c>
      <c r="G160" t="inlineStr">
        <is>
          <t>KARLSBORG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46258</v>
      </c>
      <c r="F161" t="inlineStr">
        <is>
          <t>VÄSTRA GÖTALANDS LÄN</t>
        </is>
      </c>
      <c r="G161" t="inlineStr">
        <is>
          <t>KARLSBORG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45707</v>
      </c>
      <c r="E162" s="1" t="n">
        <v>46258</v>
      </c>
      <c r="F162" t="inlineStr">
        <is>
          <t>VÄSTRA GÖTALANDS LÄN</t>
        </is>
      </c>
      <c r="G162" t="inlineStr">
        <is>
          <t>KARLSBORG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46258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46258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46258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statliga verk och myndigheter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46258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46010</v>
      </c>
      <c r="E167" s="1" t="n">
        <v>46258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Övriga statliga verk och myndigheter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46258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statliga verk och myndigheter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46258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46258</v>
      </c>
      <c r="F170" t="inlineStr">
        <is>
          <t>VÄSTRA GÖTALANDS LÄN</t>
        </is>
      </c>
      <c r="G170" t="inlineStr">
        <is>
          <t>KARLSBORG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46258</v>
      </c>
      <c r="F171" t="inlineStr">
        <is>
          <t>VÄSTRA GÖTALANDS LÄN</t>
        </is>
      </c>
      <c r="G171" t="inlineStr">
        <is>
          <t>KARLSBORG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58129-2024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45632</v>
      </c>
      <c r="E172" s="1" t="n">
        <v>46258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45394</v>
      </c>
      <c r="E173" s="1" t="n">
        <v>46258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46258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25977-2026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46258</v>
      </c>
      <c r="F175" t="inlineStr">
        <is>
          <t>VÄSTRA GÖTALANDS LÄN</t>
        </is>
      </c>
      <c r="G175" t="inlineStr">
        <is>
          <t>KARLSBORG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46258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46258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46258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46188</v>
      </c>
      <c r="E179" s="1" t="n">
        <v>46258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48884-2023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46258</v>
      </c>
      <c r="F180" t="inlineStr">
        <is>
          <t>VÄSTRA GÖTALANDS LÄN</t>
        </is>
      </c>
      <c r="G180" t="inlineStr">
        <is>
          <t>KARLSBORG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46258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Övriga statliga verk och myndigheter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46258</v>
      </c>
      <c r="F182" t="inlineStr">
        <is>
          <t>VÄSTRA GÖTALANDS LÄN</t>
        </is>
      </c>
      <c r="G182" t="inlineStr">
        <is>
          <t>KARLSBORG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44906</v>
      </c>
      <c r="E183" s="1" t="n">
        <v>46258</v>
      </c>
      <c r="F183" t="inlineStr">
        <is>
          <t>VÄSTRA GÖTALANDS LÄN</t>
        </is>
      </c>
      <c r="G183" t="inlineStr">
        <is>
          <t>KARLSBORG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69341-2021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46258</v>
      </c>
      <c r="F184" t="inlineStr">
        <is>
          <t>VÄSTRA GÖTALANDS LÄN</t>
        </is>
      </c>
      <c r="G184" t="inlineStr">
        <is>
          <t>KARLSBORG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45089</v>
      </c>
      <c r="E185" s="1" t="n">
        <v>46258</v>
      </c>
      <c r="F185" t="inlineStr">
        <is>
          <t>VÄSTRA GÖTALANDS LÄN</t>
        </is>
      </c>
      <c r="G185" t="inlineStr">
        <is>
          <t>KARLSBORG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45524</v>
      </c>
      <c r="E186" s="1" t="n">
        <v>46258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46258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15396-2024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45401</v>
      </c>
      <c r="E188" s="1" t="n">
        <v>46258</v>
      </c>
      <c r="F188" t="inlineStr">
        <is>
          <t>VÄSTRA GÖTALANDS LÄN</t>
        </is>
      </c>
      <c r="G188" t="inlineStr">
        <is>
          <t>KARLSBORG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46258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46045</v>
      </c>
      <c r="E190" s="1" t="n">
        <v>46258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46258</v>
      </c>
      <c r="F191" t="inlineStr">
        <is>
          <t>VÄSTRA GÖTALANDS LÄN</t>
        </is>
      </c>
      <c r="G191" t="inlineStr">
        <is>
          <t>KARLSBORG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46258</v>
      </c>
      <c r="F192" t="inlineStr">
        <is>
          <t>VÄSTRA GÖTALANDS LÄN</t>
        </is>
      </c>
      <c r="G192" t="inlineStr">
        <is>
          <t>KARLSBORG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46258</v>
      </c>
      <c r="F193" t="inlineStr">
        <is>
          <t>VÄSTRA GÖTALANDS LÄN</t>
        </is>
      </c>
      <c r="G193" t="inlineStr">
        <is>
          <t>KARLSBORG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46258</v>
      </c>
      <c r="F194" t="inlineStr">
        <is>
          <t>VÄSTRA GÖTALANDS LÄN</t>
        </is>
      </c>
      <c r="G194" t="inlineStr">
        <is>
          <t>KARLSBORG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45755</v>
      </c>
      <c r="E195" s="1" t="n">
        <v>46258</v>
      </c>
      <c r="F195" t="inlineStr">
        <is>
          <t>VÄSTRA GÖTALANDS LÄN</t>
        </is>
      </c>
      <c r="G195" t="inlineStr">
        <is>
          <t>KARLSBORG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45933</v>
      </c>
      <c r="E196" s="1" t="n">
        <v>46258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46160</v>
      </c>
      <c r="E197" s="1" t="n">
        <v>46258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46258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46258</v>
      </c>
      <c r="F199" t="inlineStr">
        <is>
          <t>VÄSTRA GÖTALANDS LÄN</t>
        </is>
      </c>
      <c r="G199" t="inlineStr">
        <is>
          <t>KARLSBORG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46210</v>
      </c>
      <c r="E200" s="1" t="n">
        <v>46258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44785</v>
      </c>
      <c r="E201" s="1" t="n">
        <v>46258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35441-2024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45531</v>
      </c>
      <c r="E202" s="1" t="n">
        <v>46258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46258</v>
      </c>
      <c r="F203" t="inlineStr">
        <is>
          <t>VÄSTRA GÖTALANDS LÄN</t>
        </is>
      </c>
      <c r="G203" t="inlineStr">
        <is>
          <t>KARLSBORG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46258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46258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46258</v>
      </c>
      <c r="F206" t="inlineStr">
        <is>
          <t>VÄSTRA GÖTALANDS LÄN</t>
        </is>
      </c>
      <c r="G206" t="inlineStr">
        <is>
          <t>KARLSBORG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46258</v>
      </c>
      <c r="F207" t="inlineStr">
        <is>
          <t>VÄSTRA GÖTALANDS LÄN</t>
        </is>
      </c>
      <c r="G207" t="inlineStr">
        <is>
          <t>KARLSBORG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46143</v>
      </c>
      <c r="E208" s="1" t="n">
        <v>46258</v>
      </c>
      <c r="F208" t="inlineStr">
        <is>
          <t>VÄSTRA GÖTALANDS LÄN</t>
        </is>
      </c>
      <c r="G208" t="inlineStr">
        <is>
          <t>KARLSBORG</t>
        </is>
      </c>
      <c r="I208" t="n">
        <v>14.6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46258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45565</v>
      </c>
      <c r="E210" s="1" t="n">
        <v>46258</v>
      </c>
      <c r="F210" t="inlineStr">
        <is>
          <t>VÄSTRA GÖTALANDS LÄN</t>
        </is>
      </c>
      <c r="G210" t="inlineStr">
        <is>
          <t>KARLSBORG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46258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46153</v>
      </c>
      <c r="E212" s="1" t="n">
        <v>46258</v>
      </c>
      <c r="F212" t="inlineStr">
        <is>
          <t>VÄSTRA GÖTALANDS LÄN</t>
        </is>
      </c>
      <c r="G212" t="inlineStr">
        <is>
          <t>KARLSBORG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46258</v>
      </c>
      <c r="F213" t="inlineStr">
        <is>
          <t>VÄSTRA GÖTALANDS LÄN</t>
        </is>
      </c>
      <c r="G213" t="inlineStr">
        <is>
          <t>KARLSBORG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46258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46258</v>
      </c>
      <c r="F215" t="inlineStr">
        <is>
          <t>VÄSTRA GÖTALANDS LÄN</t>
        </is>
      </c>
      <c r="G215" t="inlineStr">
        <is>
          <t>KARLSBORG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45890</v>
      </c>
      <c r="E216" s="1" t="n">
        <v>46258</v>
      </c>
      <c r="F216" t="inlineStr">
        <is>
          <t>VÄSTRA GÖTALANDS LÄN</t>
        </is>
      </c>
      <c r="G216" t="inlineStr">
        <is>
          <t>KARLSBORG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44469</v>
      </c>
      <c r="E217" s="1" t="n">
        <v>46258</v>
      </c>
      <c r="F217" t="inlineStr">
        <is>
          <t>VÄSTRA GÖTALANDS LÄN</t>
        </is>
      </c>
      <c r="G217" t="inlineStr">
        <is>
          <t>KARLSBORG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45224-2021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44439</v>
      </c>
      <c r="E218" s="1" t="n">
        <v>46258</v>
      </c>
      <c r="F218" t="inlineStr">
        <is>
          <t>VÄSTRA GÖTALANDS LÄN</t>
        </is>
      </c>
      <c r="G218" t="inlineStr">
        <is>
          <t>KARLSBORG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46258</v>
      </c>
      <c r="F219" t="inlineStr">
        <is>
          <t>VÄSTRA GÖTALANDS LÄN</t>
        </is>
      </c>
      <c r="G219" t="inlineStr">
        <is>
          <t>KARLSBORG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45786</v>
      </c>
      <c r="E220" s="1" t="n">
        <v>46258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46258</v>
      </c>
      <c r="F221" t="inlineStr">
        <is>
          <t>VÄSTRA GÖTALANDS LÄN</t>
        </is>
      </c>
      <c r="G221" t="inlineStr">
        <is>
          <t>KARLSBORG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46258</v>
      </c>
      <c r="F222" t="inlineStr">
        <is>
          <t>VÄSTRA GÖTALANDS LÄN</t>
        </is>
      </c>
      <c r="G222" t="inlineStr">
        <is>
          <t>KARLSBORG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46258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Övriga Aktiebolag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45527</v>
      </c>
      <c r="E224" s="1" t="n">
        <v>46258</v>
      </c>
      <c r="F224" t="inlineStr">
        <is>
          <t>VÄSTRA GÖTALANDS LÄN</t>
        </is>
      </c>
      <c r="G224" t="inlineStr">
        <is>
          <t>KARLSBORG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45680</v>
      </c>
      <c r="E225" s="1" t="n">
        <v>46258</v>
      </c>
      <c r="F225" t="inlineStr">
        <is>
          <t>VÄSTRA GÖTALANDS LÄN</t>
        </is>
      </c>
      <c r="G225" t="inlineStr">
        <is>
          <t>KARLSBORG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2395-2024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45468</v>
      </c>
      <c r="E226" s="1" t="n">
        <v>46258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343-2026</t>
        </is>
      </c>
      <c r="B227" t="inlineStr">
        <is>
          <t>samrådsanmälan</t>
        </is>
      </c>
      <c r="C227" t="inlineStr">
        <is>
          <t>Skogsgödsling</t>
        </is>
      </c>
      <c r="D227" s="1" t="n">
        <v>46059</v>
      </c>
      <c r="E227" s="1" t="n">
        <v>46258</v>
      </c>
      <c r="F227" t="inlineStr">
        <is>
          <t>VÄSTRA GÖTALANDS LÄN</t>
        </is>
      </c>
      <c r="G227" t="inlineStr">
        <is>
          <t>KARLSBORG</t>
        </is>
      </c>
      <c r="I227" t="n">
        <v>25.7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2026-08-24T01:51:23Z</dcterms:created>
  <dcterms:modified xmlns:dcterms="http://purl.org/dc/terms/" xmlns:xsi="http://www.w3.org/2001/XMLSchema-instance" xsi:type="dcterms:W3CDTF">2026-08-24T01:51:23Z</dcterms:modified>
</cp:coreProperties>
</file>