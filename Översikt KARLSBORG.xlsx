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46303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45387</v>
      </c>
      <c r="E5" s="1" t="n">
        <v>46303</v>
      </c>
      <c r="F5" t="inlineStr">
        <is>
          <t>VÄSTRA GÖTALANDS LÄN</t>
        </is>
      </c>
      <c r="G5" t="inlineStr">
        <is>
          <t>KARLSBORG</t>
        </is>
      </c>
      <c r="H5" t="inlineStr">
        <is>
          <t>Övriga Aktiebolag</t>
        </is>
      </c>
      <c r="I5" t="n">
        <v>12.4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19</v>
      </c>
      <c r="U5" t="n">
        <v>19</v>
      </c>
      <c r="V5" s="2" t="inlineStr">
        <is>
          <t>Knärot
Grönpyrola
Spillkråka
Tjäder</t>
        </is>
      </c>
      <c r="W5">
        <f>HYPERLINK("https://klasma.github.io/Logging_1446/artfynd/A 13359-2024 artfynd.xlsx", "A 13359-2024")</f>
        <v/>
      </c>
      <c r="X5">
        <f>HYPERLINK("https://klasma.github.io/Logging_1446/kartor/A 13359-2024 karta.png", "A 13359-2024")</f>
        <v/>
      </c>
      <c r="Y5">
        <f>HYPERLINK("https://klasma.github.io/Logging_1446/kartor_geotiff/A 13359-2024 georefererad karta.tif", "A 13359-2024")</f>
        <v/>
      </c>
      <c r="Z5">
        <f>HYPERLINK("https://klasma.github.io/Logging_1446/knärot/A 13359-2024 karta knärot.png", "A 13359-2024")</f>
        <v/>
      </c>
      <c r="AA5">
        <f>HYPERLINK("https://klasma.github.io/Logging_1446/klagomål/A 13359-2024 FSC-klagomål.docx", "A 13359-2024")</f>
        <v/>
      </c>
      <c r="AB5">
        <f>HYPERLINK("https://klasma.github.io/Logging_1446/klagomålsmail/A 13359-2024 FSC-klagomål mail.docx", "A 13359-2024")</f>
        <v/>
      </c>
      <c r="AC5">
        <f>HYPERLINK("https://klasma.github.io/Logging_1446/tillsyn/A 13359-2024 tillsynsbegäran.docx", "A 13359-2024")</f>
        <v/>
      </c>
      <c r="AD5">
        <f>HYPERLINK("https://klasma.github.io/Logging_1446/tillsynsmail/A 13359-2024 tillsynsbegäran mail.docx", "A 13359-2024")</f>
        <v/>
      </c>
      <c r="AE5">
        <f>HYPERLINK("https://klasma.github.io/Logging_1446/fåglar/A 13359-2024 prioriterade fågelarter.docx", "A 13359-2024")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46303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46303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46303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38204-2024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45545</v>
      </c>
      <c r="E9" s="1" t="n">
        <v>46303</v>
      </c>
      <c r="F9" t="inlineStr">
        <is>
          <t>VÄSTRA GÖTALANDS LÄN</t>
        </is>
      </c>
      <c r="G9" t="inlineStr">
        <is>
          <t>KARLSBORG</t>
        </is>
      </c>
      <c r="H9" t="inlineStr">
        <is>
          <t>Sveaskog</t>
        </is>
      </c>
      <c r="I9" t="n">
        <v>5.4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6</v>
      </c>
      <c r="U9" t="n">
        <v>6</v>
      </c>
      <c r="V9" s="2" t="inlineStr">
        <is>
          <t>Knärot
Kungsfågel</t>
        </is>
      </c>
      <c r="W9">
        <f>HYPERLINK("https://klasma.github.io/Logging_1446/artfynd/A 38204-2024 artfynd.xlsx", "A 38204-2024")</f>
        <v/>
      </c>
      <c r="X9">
        <f>HYPERLINK("https://klasma.github.io/Logging_1446/kartor/A 38204-2024 karta.png", "A 38204-2024")</f>
        <v/>
      </c>
      <c r="Y9">
        <f>HYPERLINK("https://klasma.github.io/Logging_1446/kartor_geotiff/A 38204-2024 georefererad karta.tif", "A 38204-2024")</f>
        <v/>
      </c>
      <c r="Z9">
        <f>HYPERLINK("https://klasma.github.io/Logging_1446/knärot/A 38204-2024 karta knärot.png", "A 38204-2024")</f>
        <v/>
      </c>
      <c r="AA9">
        <f>HYPERLINK("https://klasma.github.io/Logging_1446/klagomål/A 38204-2024 FSC-klagomål.docx", "A 38204-2024")</f>
        <v/>
      </c>
      <c r="AB9">
        <f>HYPERLINK("https://klasma.github.io/Logging_1446/klagomålsmail/A 38204-2024 FSC-klagomål mail.docx", "A 38204-2024")</f>
        <v/>
      </c>
      <c r="AC9">
        <f>HYPERLINK("https://klasma.github.io/Logging_1446/tillsyn/A 38204-2024 tillsynsbegäran.docx", "A 38204-2024")</f>
        <v/>
      </c>
      <c r="AD9">
        <f>HYPERLINK("https://klasma.github.io/Logging_1446/tillsynsmail/A 38204-2024 tillsynsbegäran mail.docx", "A 38204-2024")</f>
        <v/>
      </c>
    </row>
    <row r="10" ht="15" customHeight="1">
      <c r="A10" t="inlineStr">
        <is>
          <t>A 13365-2024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45387</v>
      </c>
      <c r="E10" s="1" t="n">
        <v>46303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Övriga Aktiebolag</t>
        </is>
      </c>
      <c r="I10" t="n">
        <v>2.5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15</v>
      </c>
      <c r="U10" t="n">
        <v>15</v>
      </c>
      <c r="V10" s="2" t="inlineStr">
        <is>
          <t>Grönpyrola
Tjäder</t>
        </is>
      </c>
      <c r="W10">
        <f>HYPERLINK("https://klasma.github.io/Logging_1446/artfynd/A 13365-2024 artfynd.xlsx", "A 13365-2024")</f>
        <v/>
      </c>
      <c r="X10">
        <f>HYPERLINK("https://klasma.github.io/Logging_1446/kartor/A 13365-2024 karta.png", "A 13365-2024")</f>
        <v/>
      </c>
      <c r="Y10">
        <f>HYPERLINK("https://klasma.github.io/Logging_1446/kartor_geotiff/A 13365-2024 georefererad karta.tif", "A 13365-2024")</f>
        <v/>
      </c>
      <c r="AA10">
        <f>HYPERLINK("https://klasma.github.io/Logging_1446/klagomål/A 13365-2024 FSC-klagomål.docx", "A 13365-2024")</f>
        <v/>
      </c>
      <c r="AB10">
        <f>HYPERLINK("https://klasma.github.io/Logging_1446/klagomålsmail/A 13365-2024 FSC-klagomål mail.docx", "A 13365-2024")</f>
        <v/>
      </c>
      <c r="AC10">
        <f>HYPERLINK("https://klasma.github.io/Logging_1446/tillsyn/A 13365-2024 tillsynsbegäran.docx", "A 13365-2024")</f>
        <v/>
      </c>
      <c r="AD10">
        <f>HYPERLINK("https://klasma.github.io/Logging_1446/tillsynsmail/A 13365-2024 tillsynsbegäran mail.docx", "A 13365-2024")</f>
        <v/>
      </c>
      <c r="AE10">
        <f>HYPERLINK("https://klasma.github.io/Logging_1446/fåglar/A 13365-2024 prioriterade fågelarter.docx", "A 13365-2024")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46303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46303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46303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46303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23973-2023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45075</v>
      </c>
      <c r="E15" s="1" t="n">
        <v>46303</v>
      </c>
      <c r="F15" t="inlineStr">
        <is>
          <t>VÄSTRA GÖTALANDS LÄN</t>
        </is>
      </c>
      <c r="G15" t="inlineStr">
        <is>
          <t>KARLSBORG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Orre</t>
        </is>
      </c>
      <c r="W15">
        <f>HYPERLINK("https://klasma.github.io/Logging_1446/artfynd/A 23973-2023 artfynd.xlsx", "A 23973-2023")</f>
        <v/>
      </c>
      <c r="X15">
        <f>HYPERLINK("https://klasma.github.io/Logging_1446/kartor/A 23973-2023 karta.png", "A 23973-2023")</f>
        <v/>
      </c>
      <c r="Y15">
        <f>HYPERLINK("https://klasma.github.io/Logging_1446/kartor_geotiff/A 23973-2023 georefererad karta.tif", "A 23973-2023")</f>
        <v/>
      </c>
      <c r="AA15">
        <f>HYPERLINK("https://klasma.github.io/Logging_1446/klagomål/A 23973-2023 FSC-klagomål.docx", "A 23973-2023")</f>
        <v/>
      </c>
      <c r="AB15">
        <f>HYPERLINK("https://klasma.github.io/Logging_1446/klagomålsmail/A 23973-2023 FSC-klagomål mail.docx", "A 23973-2023")</f>
        <v/>
      </c>
      <c r="AC15">
        <f>HYPERLINK("https://klasma.github.io/Logging_1446/tillsyn/A 23973-2023 tillsynsbegäran.docx", "A 23973-2023")</f>
        <v/>
      </c>
      <c r="AD15">
        <f>HYPERLINK("https://klasma.github.io/Logging_1446/tillsynsmail/A 23973-2023 tillsynsbegäran mail.docx", "A 23973-2023")</f>
        <v/>
      </c>
      <c r="AE15">
        <f>HYPERLINK("https://klasma.github.io/Logging_1446/fåglar/A 23973-2023 prioriterade fågelarter.docx", "A 23973-2023")</f>
        <v/>
      </c>
    </row>
    <row r="16" ht="15" customHeight="1">
      <c r="A16" t="inlineStr">
        <is>
          <t>A 42778-2024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45566</v>
      </c>
      <c r="E16" s="1" t="n">
        <v>46303</v>
      </c>
      <c r="F16" t="inlineStr">
        <is>
          <t>VÄSTRA GÖTALANDS LÄN</t>
        </is>
      </c>
      <c r="G16" t="inlineStr">
        <is>
          <t>KARLSBORG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HYPERLINK("https://klasma.github.io/Logging_1446/artfynd/A 42778-2024 artfynd.xlsx", "A 42778-2024")</f>
        <v/>
      </c>
      <c r="X16">
        <f>HYPERLINK("https://klasma.github.io/Logging_1446/kartor/A 42778-2024 karta.png", "A 42778-2024")</f>
        <v/>
      </c>
      <c r="Y16">
        <f>HYPERLINK("https://klasma.github.io/Logging_1446/kartor_geotiff/A 42778-2024 georefererad karta.tif", "A 42778-2024")</f>
        <v/>
      </c>
      <c r="AA16">
        <f>HYPERLINK("https://klasma.github.io/Logging_1446/klagomål/A 42778-2024 FSC-klagomål.docx", "A 42778-2024")</f>
        <v/>
      </c>
      <c r="AB16">
        <f>HYPERLINK("https://klasma.github.io/Logging_1446/klagomålsmail/A 42778-2024 FSC-klagomål mail.docx", "A 42778-2024")</f>
        <v/>
      </c>
      <c r="AC16">
        <f>HYPERLINK("https://klasma.github.io/Logging_1446/tillsyn/A 42778-2024 tillsynsbegäran.docx", "A 42778-2024")</f>
        <v/>
      </c>
      <c r="AD16">
        <f>HYPERLINK("https://klasma.github.io/Logging_1446/tillsynsmail/A 42778-2024 tillsynsbegäran mail.docx", "A 42778-2024")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46303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59712-2021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46303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2</v>
      </c>
      <c r="V18" s="2" t="inlineStr">
        <is>
          <t>Ask</t>
        </is>
      </c>
      <c r="W18">
        <f>HYPERLINK("https://klasma.github.io/Logging_1446/artfynd/A 59712-2021 artfynd.xlsx", "A 59712-2021")</f>
        <v/>
      </c>
      <c r="X18">
        <f>HYPERLINK("https://klasma.github.io/Logging_1446/kartor/A 59712-2021 karta.png", "A 59712-2021")</f>
        <v/>
      </c>
      <c r="Y18">
        <f>HYPERLINK("https://klasma.github.io/Logging_1446/kartor_geotiff/A 59712-2021 georefererad karta.tif", "A 59712-2021")</f>
        <v/>
      </c>
      <c r="AA18">
        <f>HYPERLINK("https://klasma.github.io/Logging_1446/klagomål/A 59712-2021 FSC-klagomål.docx", "A 59712-2021")</f>
        <v/>
      </c>
      <c r="AB18">
        <f>HYPERLINK("https://klasma.github.io/Logging_1446/klagomålsmail/A 59712-2021 FSC-klagomål mail.docx", "A 59712-2021")</f>
        <v/>
      </c>
      <c r="AC18">
        <f>HYPERLINK("https://klasma.github.io/Logging_1446/tillsyn/A 59712-2021 tillsynsbegäran.docx", "A 59712-2021")</f>
        <v/>
      </c>
      <c r="AD18">
        <f>HYPERLINK("https://klasma.github.io/Logging_1446/tillsynsmail/A 59712-2021 tillsynsbegäran mail.docx", "A 59712-2021")</f>
        <v/>
      </c>
    </row>
    <row r="19" ht="15" customHeight="1">
      <c r="A19" t="inlineStr">
        <is>
          <t>A 23268-2022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44720</v>
      </c>
      <c r="E19" s="1" t="n">
        <v>46303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snok</t>
        </is>
      </c>
      <c r="W19">
        <f>HYPERLINK("https://klasma.github.io/Logging_1446/artfynd/A 23268-2022 artfynd.xlsx", "A 23268-2022")</f>
        <v/>
      </c>
      <c r="X19">
        <f>HYPERLINK("https://klasma.github.io/Logging_1446/kartor/A 23268-2022 karta.png", "A 23268-2022")</f>
        <v/>
      </c>
      <c r="Y19">
        <f>HYPERLINK("https://klasma.github.io/Logging_1446/kartor_geotiff/A 23268-2022 georefererad karta.tif", "A 23268-2022")</f>
        <v/>
      </c>
      <c r="AA19">
        <f>HYPERLINK("https://klasma.github.io/Logging_1446/klagomål/A 23268-2022 FSC-klagomål.docx", "A 23268-2022")</f>
        <v/>
      </c>
      <c r="AB19">
        <f>HYPERLINK("https://klasma.github.io/Logging_1446/klagomålsmail/A 23268-2022 FSC-klagomål mail.docx", "A 23268-2022")</f>
        <v/>
      </c>
      <c r="AC19">
        <f>HYPERLINK("https://klasma.github.io/Logging_1446/tillsyn/A 23268-2022 tillsynsbegäran.docx", "A 23268-2022")</f>
        <v/>
      </c>
      <c r="AD19">
        <f>HYPERLINK("https://klasma.github.io/Logging_1446/tillsynsmail/A 23268-2022 tillsynsbegäran mail.docx", "A 23268-2022")</f>
        <v/>
      </c>
    </row>
    <row r="20" ht="15" customHeight="1">
      <c r="A20" t="inlineStr">
        <is>
          <t>A 9337-2025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45714</v>
      </c>
      <c r="E20" s="1" t="n">
        <v>46303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HYPERLINK("https://klasma.github.io/Logging_1446/artfynd/A 9337-2025 artfynd.xlsx", "A 9337-2025")</f>
        <v/>
      </c>
      <c r="X20">
        <f>HYPERLINK("https://klasma.github.io/Logging_1446/kartor/A 9337-2025 karta.png", "A 9337-2025")</f>
        <v/>
      </c>
      <c r="Y20">
        <f>HYPERLINK("https://klasma.github.io/Logging_1446/kartor_geotiff/A 9337-2025 georefererad karta.tif", "A 9337-2025")</f>
        <v/>
      </c>
      <c r="AA20">
        <f>HYPERLINK("https://klasma.github.io/Logging_1446/klagomål/A 9337-2025 FSC-klagomål.docx", "A 9337-2025")</f>
        <v/>
      </c>
      <c r="AB20">
        <f>HYPERLINK("https://klasma.github.io/Logging_1446/klagomålsmail/A 9337-2025 FSC-klagomål mail.docx", "A 9337-2025")</f>
        <v/>
      </c>
      <c r="AC20">
        <f>HYPERLINK("https://klasma.github.io/Logging_1446/tillsyn/A 9337-2025 tillsynsbegäran.docx", "A 9337-2025")</f>
        <v/>
      </c>
      <c r="AD20">
        <f>HYPERLINK("https://klasma.github.io/Logging_1446/tillsynsmail/A 9337-2025 tillsynsbegäran mail.docx", "A 9337-2025")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46303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46303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38103-2023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46303</v>
      </c>
      <c r="F23" t="inlineStr">
        <is>
          <t>VÄSTRA GÖTALANDS LÄN</t>
        </is>
      </c>
      <c r="G23" t="inlineStr">
        <is>
          <t>KARLSBORG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Lopplummer (aggregat)</t>
        </is>
      </c>
      <c r="W23">
        <f>HYPERLINK("https://klasma.github.io/Logging_1446/artfynd/A 38103-2023 artfynd.xlsx", "A 38103-2023")</f>
        <v/>
      </c>
      <c r="X23">
        <f>HYPERLINK("https://klasma.github.io/Logging_1446/kartor/A 38103-2023 karta.png", "A 38103-2023")</f>
        <v/>
      </c>
      <c r="Y23">
        <f>HYPERLINK("https://klasma.github.io/Logging_1446/kartor_geotiff/A 38103-2023 georefererad karta.tif", "A 38103-2023")</f>
        <v/>
      </c>
      <c r="AA23">
        <f>HYPERLINK("https://klasma.github.io/Logging_1446/klagomål/A 38103-2023 FSC-klagomål.docx", "A 38103-2023")</f>
        <v/>
      </c>
      <c r="AB23">
        <f>HYPERLINK("https://klasma.github.io/Logging_1446/klagomålsmail/A 38103-2023 FSC-klagomål mail.docx", "A 38103-2023")</f>
        <v/>
      </c>
      <c r="AC23">
        <f>HYPERLINK("https://klasma.github.io/Logging_1446/tillsyn/A 38103-2023 tillsynsbegäran.docx", "A 38103-2023")</f>
        <v/>
      </c>
      <c r="AD23">
        <f>HYPERLINK("https://klasma.github.io/Logging_1446/tillsynsmail/A 38103-2023 tillsynsbegäran mail.docx", "A 38103-2023")</f>
        <v/>
      </c>
    </row>
    <row r="24" ht="15" customHeight="1">
      <c r="A24" t="inlineStr">
        <is>
          <t>A 53909-2023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45231</v>
      </c>
      <c r="E24" s="1" t="n">
        <v>46303</v>
      </c>
      <c r="F24" t="inlineStr">
        <is>
          <t>VÄSTRA GÖTALANDS LÄN</t>
        </is>
      </c>
      <c r="G24" t="inlineStr">
        <is>
          <t>KARLSBORG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Grönvit nattviol</t>
        </is>
      </c>
      <c r="W24">
        <f>HYPERLINK("https://klasma.github.io/Logging_1446/artfynd/A 53909-2023 artfynd.xlsx", "A 53909-2023")</f>
        <v/>
      </c>
      <c r="X24">
        <f>HYPERLINK("https://klasma.github.io/Logging_1446/kartor/A 53909-2023 karta.png", "A 53909-2023")</f>
        <v/>
      </c>
      <c r="Y24">
        <f>HYPERLINK("https://klasma.github.io/Logging_1446/kartor_geotiff/A 53909-2023 georefererad karta.tif", "A 53909-2023")</f>
        <v/>
      </c>
      <c r="AA24">
        <f>HYPERLINK("https://klasma.github.io/Logging_1446/klagomål/A 53909-2023 FSC-klagomål.docx", "A 53909-2023")</f>
        <v/>
      </c>
      <c r="AB24">
        <f>HYPERLINK("https://klasma.github.io/Logging_1446/klagomålsmail/A 53909-2023 FSC-klagomål mail.docx", "A 53909-2023")</f>
        <v/>
      </c>
      <c r="AC24">
        <f>HYPERLINK("https://klasma.github.io/Logging_1446/tillsyn/A 53909-2023 tillsynsbegäran.docx", "A 53909-2023")</f>
        <v/>
      </c>
      <c r="AD24">
        <f>HYPERLINK("https://klasma.github.io/Logging_1446/tillsynsmail/A 53909-2023 tillsynsbegäran mail.docx", "A 53909-2023")</f>
        <v/>
      </c>
    </row>
    <row r="25" ht="15" customHeight="1">
      <c r="A25" t="inlineStr">
        <is>
          <t>A 4448-2026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46045</v>
      </c>
      <c r="E25" s="1" t="n">
        <v>46303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HYPERLINK("https://klasma.github.io/Logging_1446/artfynd/A 4448-2026 artfynd.xlsx", "A 4448-2026")</f>
        <v/>
      </c>
      <c r="X25">
        <f>HYPERLINK("https://klasma.github.io/Logging_1446/kartor/A 4448-2026 karta.png", "A 4448-2026")</f>
        <v/>
      </c>
      <c r="Y25">
        <f>HYPERLINK("https://klasma.github.io/Logging_1446/kartor_geotiff/A 4448-2026 georefererad karta.tif", "A 4448-2026")</f>
        <v/>
      </c>
      <c r="AA25">
        <f>HYPERLINK("https://klasma.github.io/Logging_1446/klagomål/A 4448-2026 FSC-klagomål.docx", "A 4448-2026")</f>
        <v/>
      </c>
      <c r="AB25">
        <f>HYPERLINK("https://klasma.github.io/Logging_1446/klagomålsmail/A 4448-2026 FSC-klagomål mail.docx", "A 4448-2026")</f>
        <v/>
      </c>
      <c r="AC25">
        <f>HYPERLINK("https://klasma.github.io/Logging_1446/tillsyn/A 4448-2026 tillsynsbegäran.docx", "A 4448-2026")</f>
        <v/>
      </c>
      <c r="AD25">
        <f>HYPERLINK("https://klasma.github.io/Logging_1446/tillsynsmail/A 4448-2026 tillsynsbegäran mail.docx", "A 4448-2026")</f>
        <v/>
      </c>
    </row>
    <row r="26" ht="15" customHeight="1">
      <c r="A26" t="inlineStr">
        <is>
          <t>A 29156-2026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46303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29156-2026 artfynd.xlsx", "A 29156-2026")</f>
        <v/>
      </c>
      <c r="X26">
        <f>HYPERLINK("https://klasma.github.io/Logging_1446/kartor/A 29156-2026 karta.png", "A 29156-2026")</f>
        <v/>
      </c>
      <c r="Y26">
        <f>HYPERLINK("https://klasma.github.io/Logging_1446/kartor_geotiff/A 29156-2026 georefererad karta.tif", "A 29156-2026")</f>
        <v/>
      </c>
      <c r="AA26">
        <f>HYPERLINK("https://klasma.github.io/Logging_1446/klagomål/A 29156-2026 FSC-klagomål.docx", "A 29156-2026")</f>
        <v/>
      </c>
      <c r="AB26">
        <f>HYPERLINK("https://klasma.github.io/Logging_1446/klagomålsmail/A 29156-2026 FSC-klagomål mail.docx", "A 29156-2026")</f>
        <v/>
      </c>
      <c r="AC26">
        <f>HYPERLINK("https://klasma.github.io/Logging_1446/tillsyn/A 29156-2026 tillsynsbegäran.docx", "A 29156-2026")</f>
        <v/>
      </c>
      <c r="AD26">
        <f>HYPERLINK("https://klasma.github.io/Logging_1446/tillsynsmail/A 29156-2026 tillsynsbegäran mail.docx", "A 29156-2026")</f>
        <v/>
      </c>
    </row>
    <row r="27" ht="15" customHeight="1">
      <c r="A27" t="inlineStr">
        <is>
          <t>A 18567-2026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46303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2.6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18567-2026 artfynd.xlsx", "A 18567-2026")</f>
        <v/>
      </c>
      <c r="X27">
        <f>HYPERLINK("https://klasma.github.io/Logging_1446/kartor/A 18567-2026 karta.png", "A 18567-2026")</f>
        <v/>
      </c>
      <c r="Y27">
        <f>HYPERLINK("https://klasma.github.io/Logging_1446/kartor_geotiff/A 18567-2026 georefererad karta.tif", "A 18567-2026")</f>
        <v/>
      </c>
      <c r="AA27">
        <f>HYPERLINK("https://klasma.github.io/Logging_1446/klagomål/A 18567-2026 FSC-klagomål.docx", "A 18567-2026")</f>
        <v/>
      </c>
      <c r="AB27">
        <f>HYPERLINK("https://klasma.github.io/Logging_1446/klagomålsmail/A 18567-2026 FSC-klagomål mail.docx", "A 18567-2026")</f>
        <v/>
      </c>
      <c r="AC27">
        <f>HYPERLINK("https://klasma.github.io/Logging_1446/tillsyn/A 18567-2026 tillsynsbegäran.docx", "A 18567-2026")</f>
        <v/>
      </c>
      <c r="AD27">
        <f>HYPERLINK("https://klasma.github.io/Logging_1446/tillsynsmail/A 18567-2026 tillsynsbegäran mail.docx", "A 18567-2026")</f>
        <v/>
      </c>
    </row>
    <row r="28" ht="15" customHeight="1">
      <c r="A28" t="inlineStr">
        <is>
          <t>A 29484-2025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45824</v>
      </c>
      <c r="E28" s="1" t="n">
        <v>46303</v>
      </c>
      <c r="F28" t="inlineStr">
        <is>
          <t>VÄSTRA GÖTALANDS LÄN</t>
        </is>
      </c>
      <c r="G28" t="inlineStr">
        <is>
          <t>KARLSBORG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Blåsippa</t>
        </is>
      </c>
      <c r="W28">
        <f>HYPERLINK("https://klasma.github.io/Logging_1446/artfynd/A 29484-2025 artfynd.xlsx", "A 29484-2025")</f>
        <v/>
      </c>
      <c r="X28">
        <f>HYPERLINK("https://klasma.github.io/Logging_1446/kartor/A 29484-2025 karta.png", "A 29484-2025")</f>
        <v/>
      </c>
      <c r="Y28">
        <f>HYPERLINK("https://klasma.github.io/Logging_1446/kartor_geotiff/A 29484-2025 georefererad karta.tif", "A 29484-2025")</f>
        <v/>
      </c>
      <c r="AA28">
        <f>HYPERLINK("https://klasma.github.io/Logging_1446/klagomål/A 29484-2025 FSC-klagomål.docx", "A 29484-2025")</f>
        <v/>
      </c>
      <c r="AB28">
        <f>HYPERLINK("https://klasma.github.io/Logging_1446/klagomålsmail/A 29484-2025 FSC-klagomål mail.docx", "A 29484-2025")</f>
        <v/>
      </c>
      <c r="AC28">
        <f>HYPERLINK("https://klasma.github.io/Logging_1446/tillsyn/A 29484-2025 tillsynsbegäran.docx", "A 29484-2025")</f>
        <v/>
      </c>
      <c r="AD28">
        <f>HYPERLINK("https://klasma.github.io/Logging_1446/tillsynsmail/A 29484-2025 tillsynsbegäran mail.docx", "A 29484-2025")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46303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46303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46303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46303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46303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46303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46303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46303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23469-2024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45453</v>
      </c>
      <c r="E37" s="1" t="n">
        <v>46303</v>
      </c>
      <c r="F37" t="inlineStr">
        <is>
          <t>VÄSTRA GÖTALANDS LÄN</t>
        </is>
      </c>
      <c r="G37" t="inlineStr">
        <is>
          <t>KARLSBORG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59883-2021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46303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statliga verk och myndigheter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46303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53247-2023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46303</v>
      </c>
      <c r="F40" t="inlineStr">
        <is>
          <t>VÄSTRA GÖTALANDS LÄN</t>
        </is>
      </c>
      <c r="G40" t="inlineStr">
        <is>
          <t>KARLSBORG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46303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46303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46303</v>
      </c>
      <c r="F43" t="inlineStr">
        <is>
          <t>VÄSTRA GÖTALANDS LÄN</t>
        </is>
      </c>
      <c r="G43" t="inlineStr">
        <is>
          <t>KARLSBORG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45707</v>
      </c>
      <c r="E44" s="1" t="n">
        <v>46303</v>
      </c>
      <c r="F44" t="inlineStr">
        <is>
          <t>VÄSTRA GÖTALANDS LÄN</t>
        </is>
      </c>
      <c r="G44" t="inlineStr">
        <is>
          <t>KARLSBORG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46303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25999-2023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45090</v>
      </c>
      <c r="E46" s="1" t="n">
        <v>46303</v>
      </c>
      <c r="F46" t="inlineStr">
        <is>
          <t>VÄSTRA GÖTALANDS LÄN</t>
        </is>
      </c>
      <c r="G46" t="inlineStr">
        <is>
          <t>KARLSBORG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57915-2024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45631</v>
      </c>
      <c r="E47" s="1" t="n">
        <v>46303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46303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45090</v>
      </c>
      <c r="E49" s="1" t="n">
        <v>46303</v>
      </c>
      <c r="F49" t="inlineStr">
        <is>
          <t>VÄSTRA GÖTALANDS LÄN</t>
        </is>
      </c>
      <c r="G49" t="inlineStr">
        <is>
          <t>KARLSBORG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45251</v>
      </c>
      <c r="E50" s="1" t="n">
        <v>46303</v>
      </c>
      <c r="F50" t="inlineStr">
        <is>
          <t>VÄSTRA GÖTALANDS LÄN</t>
        </is>
      </c>
      <c r="G50" t="inlineStr">
        <is>
          <t>KARLSBORG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45617</v>
      </c>
      <c r="E51" s="1" t="n">
        <v>46303</v>
      </c>
      <c r="F51" t="inlineStr">
        <is>
          <t>VÄSTRA GÖTALANDS LÄN</t>
        </is>
      </c>
      <c r="G51" t="inlineStr">
        <is>
          <t>KARLSBORG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46303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45566</v>
      </c>
      <c r="E53" s="1" t="n">
        <v>46303</v>
      </c>
      <c r="F53" t="inlineStr">
        <is>
          <t>VÄSTRA GÖTALANDS LÄN</t>
        </is>
      </c>
      <c r="G53" t="inlineStr">
        <is>
          <t>KARLSBORG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22435-2025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45786</v>
      </c>
      <c r="E54" s="1" t="n">
        <v>46303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46303</v>
      </c>
      <c r="F55" t="inlineStr">
        <is>
          <t>VÄSTRA GÖTALANDS LÄN</t>
        </is>
      </c>
      <c r="G55" t="inlineStr">
        <is>
          <t>KARLSBORG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45789</v>
      </c>
      <c r="E56" s="1" t="n">
        <v>46303</v>
      </c>
      <c r="F56" t="inlineStr">
        <is>
          <t>VÄSTRA GÖTALANDS LÄN</t>
        </is>
      </c>
      <c r="G56" t="inlineStr">
        <is>
          <t>KARLSBORG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46303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45394</v>
      </c>
      <c r="E58" s="1" t="n">
        <v>46303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45721</v>
      </c>
      <c r="E59" s="1" t="n">
        <v>46303</v>
      </c>
      <c r="F59" t="inlineStr">
        <is>
          <t>VÄSTRA GÖTALANDS LÄN</t>
        </is>
      </c>
      <c r="G59" t="inlineStr">
        <is>
          <t>KARLSBORG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46303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29490-2025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46303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46303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35040-2024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45527</v>
      </c>
      <c r="E63" s="1" t="n">
        <v>46303</v>
      </c>
      <c r="F63" t="inlineStr">
        <is>
          <t>VÄSTRA GÖTALANDS LÄN</t>
        </is>
      </c>
      <c r="G63" t="inlineStr">
        <is>
          <t>KARLSBORG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44944</v>
      </c>
      <c r="E64" s="1" t="n">
        <v>46303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27823-2023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46303</v>
      </c>
      <c r="F65" t="inlineStr">
        <is>
          <t>VÄSTRA GÖTALANDS LÄN</t>
        </is>
      </c>
      <c r="G65" t="inlineStr">
        <is>
          <t>KARLSBORG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40129-2023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45169</v>
      </c>
      <c r="E66" s="1" t="n">
        <v>46303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57727-2024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45630</v>
      </c>
      <c r="E67" s="1" t="n">
        <v>46303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46303</v>
      </c>
      <c r="F68" t="inlineStr">
        <is>
          <t>VÄSTRA GÖTALANDS LÄN</t>
        </is>
      </c>
      <c r="G68" t="inlineStr">
        <is>
          <t>KARLSBORG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14525-2024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45394</v>
      </c>
      <c r="E69" s="1" t="n">
        <v>46303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46303</v>
      </c>
      <c r="F70" t="inlineStr">
        <is>
          <t>VÄSTRA GÖTALANDS LÄN</t>
        </is>
      </c>
      <c r="G70" t="inlineStr">
        <is>
          <t>KARLSBORG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46303</v>
      </c>
      <c r="F71" t="inlineStr">
        <is>
          <t>VÄSTRA GÖTALANDS LÄN</t>
        </is>
      </c>
      <c r="G71" t="inlineStr">
        <is>
          <t>KARLSBORG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24008-2023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45078</v>
      </c>
      <c r="E72" s="1" t="n">
        <v>46303</v>
      </c>
      <c r="F72" t="inlineStr">
        <is>
          <t>VÄSTRA GÖTALANDS LÄN</t>
        </is>
      </c>
      <c r="G72" t="inlineStr">
        <is>
          <t>KARLSBORG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70783-2021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44537</v>
      </c>
      <c r="E73" s="1" t="n">
        <v>46303</v>
      </c>
      <c r="F73" t="inlineStr">
        <is>
          <t>VÄSTRA GÖTALANDS LÄN</t>
        </is>
      </c>
      <c r="G73" t="inlineStr">
        <is>
          <t>KARLSBORG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46303</v>
      </c>
      <c r="F74" t="inlineStr">
        <is>
          <t>VÄSTRA GÖTALANDS LÄN</t>
        </is>
      </c>
      <c r="G74" t="inlineStr">
        <is>
          <t>KARLSBORG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46303</v>
      </c>
      <c r="F75" t="inlineStr">
        <is>
          <t>VÄSTRA GÖTALANDS LÄN</t>
        </is>
      </c>
      <c r="G75" t="inlineStr">
        <is>
          <t>KARLSBORG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42757-2025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46303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Kyrkan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25982-2025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46303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45470</v>
      </c>
      <c r="E78" s="1" t="n">
        <v>46303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44944</v>
      </c>
      <c r="E79" s="1" t="n">
        <v>46303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Aktiebolag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46303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45707</v>
      </c>
      <c r="E81" s="1" t="n">
        <v>46303</v>
      </c>
      <c r="F81" t="inlineStr">
        <is>
          <t>VÄSTRA GÖTALANDS LÄN</t>
        </is>
      </c>
      <c r="G81" t="inlineStr">
        <is>
          <t>KARLSBORG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45483</v>
      </c>
      <c r="E82" s="1" t="n">
        <v>46303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45247-2025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46303</v>
      </c>
      <c r="F83" t="inlineStr">
        <is>
          <t>VÄSTRA GÖTALANDS LÄN</t>
        </is>
      </c>
      <c r="G83" t="inlineStr">
        <is>
          <t>KARLSBORG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45256-2025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45919</v>
      </c>
      <c r="E84" s="1" t="n">
        <v>46303</v>
      </c>
      <c r="F84" t="inlineStr">
        <is>
          <t>VÄSTRA GÖTALANDS LÄN</t>
        </is>
      </c>
      <c r="G84" t="inlineStr">
        <is>
          <t>KARLSBORG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45019-2024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46303</v>
      </c>
      <c r="F85" t="inlineStr">
        <is>
          <t>VÄSTRA GÖTALANDS LÄN</t>
        </is>
      </c>
      <c r="G85" t="inlineStr">
        <is>
          <t>KARLSBORG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61542-2023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46303</v>
      </c>
      <c r="F86" t="inlineStr">
        <is>
          <t>VÄSTRA GÖTALANDS LÄN</t>
        </is>
      </c>
      <c r="G86" t="inlineStr">
        <is>
          <t>KARLSBORG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65313-2021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46303</v>
      </c>
      <c r="F87" t="inlineStr">
        <is>
          <t>VÄSTRA GÖTALANDS LÄN</t>
        </is>
      </c>
      <c r="G87" t="inlineStr">
        <is>
          <t>KARLSBORG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41684-2023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46303</v>
      </c>
      <c r="F88" t="inlineStr">
        <is>
          <t>VÄSTRA GÖTALANDS LÄN</t>
        </is>
      </c>
      <c r="G88" t="inlineStr">
        <is>
          <t>KARLSBORG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46303</v>
      </c>
      <c r="F89" t="inlineStr">
        <is>
          <t>VÄSTRA GÖTALANDS LÄN</t>
        </is>
      </c>
      <c r="G89" t="inlineStr">
        <is>
          <t>KARLSBORG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46303</v>
      </c>
      <c r="F90" t="inlineStr">
        <is>
          <t>VÄSTRA GÖTALANDS LÄN</t>
        </is>
      </c>
      <c r="G90" t="inlineStr">
        <is>
          <t>KARLSBORG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45524</v>
      </c>
      <c r="E91" s="1" t="n">
        <v>46303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45524</v>
      </c>
      <c r="E92" s="1" t="n">
        <v>46303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45524</v>
      </c>
      <c r="E93" s="1" t="n">
        <v>46303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Aktiebolag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38995-2024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46303</v>
      </c>
      <c r="F94" t="inlineStr">
        <is>
          <t>VÄSTRA GÖTALANDS LÄN</t>
        </is>
      </c>
      <c r="G94" t="inlineStr">
        <is>
          <t>KARLSBORG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58129-2024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45632</v>
      </c>
      <c r="E95" s="1" t="n">
        <v>46303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46303</v>
      </c>
      <c r="F96" t="inlineStr">
        <is>
          <t>VÄSTRA GÖTALANDS LÄN</t>
        </is>
      </c>
      <c r="G96" t="inlineStr">
        <is>
          <t>KARLSBORG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46303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statliga verk och myndigheter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59890-2021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46303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statliga verk och myndigheter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46303</v>
      </c>
      <c r="F99" t="inlineStr">
        <is>
          <t>VÄSTRA GÖTALANDS LÄN</t>
        </is>
      </c>
      <c r="G99" t="inlineStr">
        <is>
          <t>KARLSBORG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46303</v>
      </c>
      <c r="F100" t="inlineStr">
        <is>
          <t>VÄSTRA GÖTALANDS LÄN</t>
        </is>
      </c>
      <c r="G100" t="inlineStr">
        <is>
          <t>KARLSBORG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31701-2025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45834</v>
      </c>
      <c r="E101" s="1" t="n">
        <v>46303</v>
      </c>
      <c r="F101" t="inlineStr">
        <is>
          <t>VÄSTRA GÖTALANDS LÄN</t>
        </is>
      </c>
      <c r="G101" t="inlineStr">
        <is>
          <t>KARLSBORG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10007-2025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46303</v>
      </c>
      <c r="F102" t="inlineStr">
        <is>
          <t>VÄSTRA GÖTALANDS LÄN</t>
        </is>
      </c>
      <c r="G102" t="inlineStr">
        <is>
          <t>KARLSBORG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46303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32128-2025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45835</v>
      </c>
      <c r="E104" s="1" t="n">
        <v>46303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46303</v>
      </c>
      <c r="F105" t="inlineStr">
        <is>
          <t>VÄSTRA GÖTALANDS LÄN</t>
        </is>
      </c>
      <c r="G105" t="inlineStr">
        <is>
          <t>KARLSBORG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45942</v>
      </c>
      <c r="E106" s="1" t="n">
        <v>46303</v>
      </c>
      <c r="F106" t="inlineStr">
        <is>
          <t>VÄSTRA GÖTALANDS LÄN</t>
        </is>
      </c>
      <c r="G106" t="inlineStr">
        <is>
          <t>KARLSBORG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45742</v>
      </c>
      <c r="E107" s="1" t="n">
        <v>46303</v>
      </c>
      <c r="F107" t="inlineStr">
        <is>
          <t>VÄSTRA GÖTALANDS LÄN</t>
        </is>
      </c>
      <c r="G107" t="inlineStr">
        <is>
          <t>KARLSBORG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46303</v>
      </c>
      <c r="F108" t="inlineStr">
        <is>
          <t>VÄSTRA GÖTALANDS LÄN</t>
        </is>
      </c>
      <c r="G108" t="inlineStr">
        <is>
          <t>KARLSBORG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46303</v>
      </c>
      <c r="F109" t="inlineStr">
        <is>
          <t>VÄSTRA GÖTALANDS LÄN</t>
        </is>
      </c>
      <c r="G109" t="inlineStr">
        <is>
          <t>KARLSBORG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45566</v>
      </c>
      <c r="E110" s="1" t="n">
        <v>46303</v>
      </c>
      <c r="F110" t="inlineStr">
        <is>
          <t>VÄSTRA GÖTALANDS LÄN</t>
        </is>
      </c>
      <c r="G110" t="inlineStr">
        <is>
          <t>KARLSBORG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45565</v>
      </c>
      <c r="E111" s="1" t="n">
        <v>46303</v>
      </c>
      <c r="F111" t="inlineStr">
        <is>
          <t>VÄSTRA GÖTALANDS LÄN</t>
        </is>
      </c>
      <c r="G111" t="inlineStr">
        <is>
          <t>KARLSBORG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46303</v>
      </c>
      <c r="F112" t="inlineStr">
        <is>
          <t>VÄSTRA GÖTALANDS LÄN</t>
        </is>
      </c>
      <c r="G112" t="inlineStr">
        <is>
          <t>KARLSBORG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46303</v>
      </c>
      <c r="F113" t="inlineStr">
        <is>
          <t>VÄSTRA GÖTALANDS LÄN</t>
        </is>
      </c>
      <c r="G113" t="inlineStr">
        <is>
          <t>KARLSBORG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46303</v>
      </c>
      <c r="F114" t="inlineStr">
        <is>
          <t>VÄSTRA GÖTALANDS LÄN</t>
        </is>
      </c>
      <c r="G114" t="inlineStr">
        <is>
          <t>KARLSBORG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57913-2024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45631</v>
      </c>
      <c r="E115" s="1" t="n">
        <v>46303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45742</v>
      </c>
      <c r="E116" s="1" t="n">
        <v>46303</v>
      </c>
      <c r="F116" t="inlineStr">
        <is>
          <t>VÄSTRA GÖTALANDS LÄN</t>
        </is>
      </c>
      <c r="G116" t="inlineStr">
        <is>
          <t>KARLSBORG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35930-2025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45862</v>
      </c>
      <c r="E117" s="1" t="n">
        <v>46303</v>
      </c>
      <c r="F117" t="inlineStr">
        <is>
          <t>VÄSTRA GÖTALANDS LÄN</t>
        </is>
      </c>
      <c r="G117" t="inlineStr">
        <is>
          <t>KARLSBORG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46303</v>
      </c>
      <c r="F118" t="inlineStr">
        <is>
          <t>VÄSTRA GÖTALANDS LÄN</t>
        </is>
      </c>
      <c r="G118" t="inlineStr">
        <is>
          <t>KARLSBORG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45566</v>
      </c>
      <c r="E119" s="1" t="n">
        <v>46303</v>
      </c>
      <c r="F119" t="inlineStr">
        <is>
          <t>VÄSTRA GÖTALANDS LÄN</t>
        </is>
      </c>
      <c r="G119" t="inlineStr">
        <is>
          <t>KARLSBORG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23500-2023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45076</v>
      </c>
      <c r="E120" s="1" t="n">
        <v>46303</v>
      </c>
      <c r="F120" t="inlineStr">
        <is>
          <t>VÄSTRA GÖTALANDS LÄN</t>
        </is>
      </c>
      <c r="G120" t="inlineStr">
        <is>
          <t>KARLSBORG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46303</v>
      </c>
      <c r="F121" t="inlineStr">
        <is>
          <t>VÄSTRA GÖTALANDS LÄN</t>
        </is>
      </c>
      <c r="G121" t="inlineStr">
        <is>
          <t>KARLSBORG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45561</v>
      </c>
      <c r="E122" s="1" t="n">
        <v>46303</v>
      </c>
      <c r="F122" t="inlineStr">
        <is>
          <t>VÄSTRA GÖTALANDS LÄN</t>
        </is>
      </c>
      <c r="G122" t="inlineStr">
        <is>
          <t>KARLSBORG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45233</v>
      </c>
      <c r="E123" s="1" t="n">
        <v>46303</v>
      </c>
      <c r="F123" t="inlineStr">
        <is>
          <t>VÄSTRA GÖTALANDS LÄN</t>
        </is>
      </c>
      <c r="G123" t="inlineStr">
        <is>
          <t>KARLSBORG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44906</v>
      </c>
      <c r="E124" s="1" t="n">
        <v>46303</v>
      </c>
      <c r="F124" t="inlineStr">
        <is>
          <t>VÄSTRA GÖTALANDS LÄN</t>
        </is>
      </c>
      <c r="G124" t="inlineStr">
        <is>
          <t>KARLSBORG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46303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46303</v>
      </c>
      <c r="F126" t="inlineStr">
        <is>
          <t>VÄSTRA GÖTALANDS LÄN</t>
        </is>
      </c>
      <c r="G126" t="inlineStr">
        <is>
          <t>KARLSBORG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45209</v>
      </c>
      <c r="E127" s="1" t="n">
        <v>46303</v>
      </c>
      <c r="F127" t="inlineStr">
        <is>
          <t>VÄSTRA GÖTALANDS LÄN</t>
        </is>
      </c>
      <c r="G127" t="inlineStr">
        <is>
          <t>KARLSBORG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45755</v>
      </c>
      <c r="E128" s="1" t="n">
        <v>46303</v>
      </c>
      <c r="F128" t="inlineStr">
        <is>
          <t>VÄSTRA GÖTALANDS LÄN</t>
        </is>
      </c>
      <c r="G128" t="inlineStr">
        <is>
          <t>KARLSBORG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45589</v>
      </c>
      <c r="E129" s="1" t="n">
        <v>46303</v>
      </c>
      <c r="F129" t="inlineStr">
        <is>
          <t>VÄSTRA GÖTALANDS LÄN</t>
        </is>
      </c>
      <c r="G129" t="inlineStr">
        <is>
          <t>KARLSBORG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33122-2022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44785</v>
      </c>
      <c r="E130" s="1" t="n">
        <v>46303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45524</v>
      </c>
      <c r="E131" s="1" t="n">
        <v>46303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45980</v>
      </c>
      <c r="E132" s="1" t="n">
        <v>46303</v>
      </c>
      <c r="F132" t="inlineStr">
        <is>
          <t>VÄSTRA GÖTALANDS LÄN</t>
        </is>
      </c>
      <c r="G132" t="inlineStr">
        <is>
          <t>KARLSBORG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35441-2024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45531</v>
      </c>
      <c r="E133" s="1" t="n">
        <v>46303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9.800000000000001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20940-2026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46142</v>
      </c>
      <c r="E134" s="1" t="n">
        <v>46303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21014-2026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46143</v>
      </c>
      <c r="E135" s="1" t="n">
        <v>46303</v>
      </c>
      <c r="F135" t="inlineStr">
        <is>
          <t>VÄSTRA GÖTALANDS LÄN</t>
        </is>
      </c>
      <c r="G135" t="inlineStr">
        <is>
          <t>KARLSBORG</t>
        </is>
      </c>
      <c r="I135" t="n">
        <v>14.6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45988</v>
      </c>
      <c r="E136" s="1" t="n">
        <v>46303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44929</v>
      </c>
      <c r="E137" s="1" t="n">
        <v>46303</v>
      </c>
      <c r="F137" t="inlineStr">
        <is>
          <t>VÄSTRA GÖTALANDS LÄN</t>
        </is>
      </c>
      <c r="G137" t="inlineStr">
        <is>
          <t>KARLSBORG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  <c r="X137">
        <f>HYPERLINK("https://klasma.github.io/Logging_1446/kartor/A 412-2023 karta.png", "A 412-2023")</f>
        <v/>
      </c>
      <c r="Y137">
        <f>HYPERLINK("https://klasma.github.io/Logging_1446/kartor_geotiff/A 412-2023 georefererad karta.tif", "A 412-2023")</f>
        <v/>
      </c>
      <c r="AA137">
        <f>HYPERLINK("https://klasma.github.io/Logging_1446/klagomål/A 412-2023 FSC-klagomål.docx", "A 412-2023")</f>
        <v/>
      </c>
      <c r="AB137">
        <f>HYPERLINK("https://klasma.github.io/Logging_1446/klagomålsmail/A 412-2023 FSC-klagomål mail.docx", "A 412-2023")</f>
        <v/>
      </c>
      <c r="AC137">
        <f>HYPERLINK("https://klasma.github.io/Logging_1446/tillsyn/A 412-2023 tillsynsbegäran.docx", "A 412-2023")</f>
        <v/>
      </c>
      <c r="AD137">
        <f>HYPERLINK("https://klasma.github.io/Logging_1446/tillsynsmail/A 412-2023 tillsynsbegäran mail.docx", "A 412-2023")</f>
        <v/>
      </c>
    </row>
    <row r="138" ht="15" customHeight="1">
      <c r="A138" t="inlineStr">
        <is>
          <t>A 21988-2026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46153</v>
      </c>
      <c r="E138" s="1" t="n">
        <v>46303</v>
      </c>
      <c r="F138" t="inlineStr">
        <is>
          <t>VÄSTRA GÖTALANDS LÄN</t>
        </is>
      </c>
      <c r="G138" t="inlineStr">
        <is>
          <t>KARLSBORG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46303</v>
      </c>
      <c r="F139" t="inlineStr">
        <is>
          <t>VÄSTRA GÖTALANDS LÄN</t>
        </is>
      </c>
      <c r="G139" t="inlineStr">
        <is>
          <t>KARLSBORG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45369</v>
      </c>
      <c r="E140" s="1" t="n">
        <v>46303</v>
      </c>
      <c r="F140" t="inlineStr">
        <is>
          <t>VÄSTRA GÖTALANDS LÄN</t>
        </is>
      </c>
      <c r="G140" t="inlineStr">
        <is>
          <t>KARLSBORG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45890</v>
      </c>
      <c r="E141" s="1" t="n">
        <v>46303</v>
      </c>
      <c r="F141" t="inlineStr">
        <is>
          <t>VÄSTRA GÖTALANDS LÄN</t>
        </is>
      </c>
      <c r="G141" t="inlineStr">
        <is>
          <t>KARLSBORG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46303</v>
      </c>
      <c r="F142" t="inlineStr">
        <is>
          <t>VÄSTRA GÖTALANDS LÄN</t>
        </is>
      </c>
      <c r="G142" t="inlineStr">
        <is>
          <t>KARLSBORG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45243</v>
      </c>
      <c r="E143" s="1" t="n">
        <v>46303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45183</v>
      </c>
      <c r="E144" s="1" t="n">
        <v>46303</v>
      </c>
      <c r="F144" t="inlineStr">
        <is>
          <t>VÄSTRA GÖTALANDS LÄN</t>
        </is>
      </c>
      <c r="G144" t="inlineStr">
        <is>
          <t>KARLSBORG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46303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46303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46303</v>
      </c>
      <c r="F147" t="inlineStr">
        <is>
          <t>VÄSTRA GÖTALANDS LÄN</t>
        </is>
      </c>
      <c r="G147" t="inlineStr">
        <is>
          <t>KARLSBORG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46303</v>
      </c>
      <c r="F148" t="inlineStr">
        <is>
          <t>VÄSTRA GÖTALANDS LÄN</t>
        </is>
      </c>
      <c r="G148" t="inlineStr">
        <is>
          <t>KARLSBORG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46303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7.4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45002</v>
      </c>
      <c r="E150" s="1" t="n">
        <v>46303</v>
      </c>
      <c r="F150" t="inlineStr">
        <is>
          <t>VÄSTRA GÖTALANDS LÄN</t>
        </is>
      </c>
      <c r="G150" t="inlineStr">
        <is>
          <t>KARLSBORG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46303</v>
      </c>
      <c r="F151" t="inlineStr">
        <is>
          <t>VÄSTRA GÖTALANDS LÄN</t>
        </is>
      </c>
      <c r="G151" t="inlineStr">
        <is>
          <t>KARLSBORG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44755</v>
      </c>
      <c r="E152" s="1" t="n">
        <v>46303</v>
      </c>
      <c r="F152" t="inlineStr">
        <is>
          <t>VÄSTRA GÖTALANDS LÄN</t>
        </is>
      </c>
      <c r="G152" t="inlineStr">
        <is>
          <t>KARLSBORG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46303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24594-2022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44727</v>
      </c>
      <c r="E154" s="1" t="n">
        <v>46303</v>
      </c>
      <c r="F154" t="inlineStr">
        <is>
          <t>VÄSTRA GÖTALANDS LÄN</t>
        </is>
      </c>
      <c r="G154" t="inlineStr">
        <is>
          <t>KARLSBORG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46170</v>
      </c>
      <c r="E155" s="1" t="n">
        <v>46303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46303</v>
      </c>
      <c r="F156" t="inlineStr">
        <is>
          <t>VÄSTRA GÖTALANDS LÄN</t>
        </is>
      </c>
      <c r="G156" t="inlineStr">
        <is>
          <t>KARLSBORG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46303</v>
      </c>
      <c r="F157" t="inlineStr">
        <is>
          <t>VÄSTRA GÖTALANDS LÄN</t>
        </is>
      </c>
      <c r="G157" t="inlineStr">
        <is>
          <t>KARLSBORG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46303</v>
      </c>
      <c r="F158" t="inlineStr">
        <is>
          <t>VÄSTRA GÖTALANDS LÄN</t>
        </is>
      </c>
      <c r="G158" t="inlineStr">
        <is>
          <t>KARLSBORG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45169</v>
      </c>
      <c r="E159" s="1" t="n">
        <v>46303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Övriga Aktiebolag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46303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45566</v>
      </c>
      <c r="E161" s="1" t="n">
        <v>46303</v>
      </c>
      <c r="F161" t="inlineStr">
        <is>
          <t>VÄSTRA GÖTALANDS LÄN</t>
        </is>
      </c>
      <c r="G161" t="inlineStr">
        <is>
          <t>KARLSBORG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45252</v>
      </c>
      <c r="E162" s="1" t="n">
        <v>46303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Aktiebolag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46303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46045</v>
      </c>
      <c r="E164" s="1" t="n">
        <v>46303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46045</v>
      </c>
      <c r="E165" s="1" t="n">
        <v>46303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14.3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57235-2022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46303</v>
      </c>
      <c r="F166" t="inlineStr">
        <is>
          <t>VÄSTRA GÖTALANDS LÄN</t>
        </is>
      </c>
      <c r="G166" t="inlineStr">
        <is>
          <t>KARLSBORG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46303</v>
      </c>
      <c r="F167" t="inlineStr">
        <is>
          <t>VÄSTRA GÖTALANDS LÄN</t>
        </is>
      </c>
      <c r="G167" t="inlineStr">
        <is>
          <t>KARLSBORG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46303</v>
      </c>
      <c r="F168" t="inlineStr">
        <is>
          <t>VÄSTRA GÖTALANDS LÄN</t>
        </is>
      </c>
      <c r="G168" t="inlineStr">
        <is>
          <t>KARLSBORG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44906</v>
      </c>
      <c r="E169" s="1" t="n">
        <v>46303</v>
      </c>
      <c r="F169" t="inlineStr">
        <is>
          <t>VÄSTRA GÖTALANDS LÄN</t>
        </is>
      </c>
      <c r="G169" t="inlineStr">
        <is>
          <t>KARLSBORG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46303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62304-2021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46303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46303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statliga verk och myndigheter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46303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statliga verk och myndigheter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46062</v>
      </c>
      <c r="E174" s="1" t="n">
        <v>46303</v>
      </c>
      <c r="F174" t="inlineStr">
        <is>
          <t>VÄSTRA GÖTALANDS LÄN</t>
        </is>
      </c>
      <c r="G174" t="inlineStr">
        <is>
          <t>KARLSBORG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46303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46010</v>
      </c>
      <c r="E176" s="1" t="n">
        <v>46303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statliga verk och myndigheter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46303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12.6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27349-2026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46303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46303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statliga verk och myndigheter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15396-2024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45401</v>
      </c>
      <c r="E180" s="1" t="n">
        <v>46303</v>
      </c>
      <c r="F180" t="inlineStr">
        <is>
          <t>VÄSTRA GÖTALANDS LÄN</t>
        </is>
      </c>
      <c r="G180" t="inlineStr">
        <is>
          <t>KARLSBORG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45489</v>
      </c>
      <c r="E181" s="1" t="n">
        <v>46303</v>
      </c>
      <c r="F181" t="inlineStr">
        <is>
          <t>VÄSTRA GÖTALANDS LÄN</t>
        </is>
      </c>
      <c r="G181" t="inlineStr">
        <is>
          <t>KARLSBORG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44494</v>
      </c>
      <c r="E182" s="1" t="n">
        <v>46303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statliga verk och myndigheter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46303</v>
      </c>
      <c r="F183" t="inlineStr">
        <is>
          <t>VÄSTRA GÖTALANDS LÄN</t>
        </is>
      </c>
      <c r="G183" t="inlineStr">
        <is>
          <t>KARLSBORG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46303</v>
      </c>
      <c r="F184" t="inlineStr">
        <is>
          <t>VÄSTRA GÖTALANDS LÄN</t>
        </is>
      </c>
      <c r="G184" t="inlineStr">
        <is>
          <t>KARLSBORG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46079</v>
      </c>
      <c r="E185" s="1" t="n">
        <v>46303</v>
      </c>
      <c r="F185" t="inlineStr">
        <is>
          <t>VÄSTRA GÖTALANDS LÄN</t>
        </is>
      </c>
      <c r="G185" t="inlineStr">
        <is>
          <t>KARLSBORG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44939</v>
      </c>
      <c r="E186" s="1" t="n">
        <v>46303</v>
      </c>
      <c r="F186" t="inlineStr">
        <is>
          <t>VÄSTRA GÖTALANDS LÄN</t>
        </is>
      </c>
      <c r="G186" t="inlineStr">
        <is>
          <t>KARLSBORG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45089</v>
      </c>
      <c r="E187" s="1" t="n">
        <v>46303</v>
      </c>
      <c r="F187" t="inlineStr">
        <is>
          <t>VÄSTRA GÖTALANDS LÄN</t>
        </is>
      </c>
      <c r="G187" t="inlineStr">
        <is>
          <t>KARLSBORG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26017-2023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45090</v>
      </c>
      <c r="E188" s="1" t="n">
        <v>46303</v>
      </c>
      <c r="F188" t="inlineStr">
        <is>
          <t>VÄSTRA GÖTALANDS LÄN</t>
        </is>
      </c>
      <c r="G188" t="inlineStr">
        <is>
          <t>KARLSBORG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44687</v>
      </c>
      <c r="E189" s="1" t="n">
        <v>46303</v>
      </c>
      <c r="F189" t="inlineStr">
        <is>
          <t>VÄSTRA GÖTALANDS LÄN</t>
        </is>
      </c>
      <c r="G189" t="inlineStr">
        <is>
          <t>KARLSBORG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44906</v>
      </c>
      <c r="E190" s="1" t="n">
        <v>46303</v>
      </c>
      <c r="F190" t="inlineStr">
        <is>
          <t>VÄSTRA GÖTALANDS LÄN</t>
        </is>
      </c>
      <c r="G190" t="inlineStr">
        <is>
          <t>KARLSBORG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44809</v>
      </c>
      <c r="E191" s="1" t="n">
        <v>46303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46303</v>
      </c>
      <c r="F192" t="inlineStr">
        <is>
          <t>VÄSTRA GÖTALANDS LÄN</t>
        </is>
      </c>
      <c r="G192" t="inlineStr">
        <is>
          <t>KARLSBORG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46206</v>
      </c>
      <c r="E193" s="1" t="n">
        <v>46303</v>
      </c>
      <c r="F193" t="inlineStr">
        <is>
          <t>VÄSTRA GÖTALANDS LÄN</t>
        </is>
      </c>
      <c r="G193" t="inlineStr">
        <is>
          <t>KARLSBORG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46303</v>
      </c>
      <c r="F194" t="inlineStr">
        <is>
          <t>VÄSTRA GÖTALANDS LÄN</t>
        </is>
      </c>
      <c r="G194" t="inlineStr">
        <is>
          <t>KARLSBORG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46303</v>
      </c>
      <c r="F195" t="inlineStr">
        <is>
          <t>VÄSTRA GÖTALANDS LÄN</t>
        </is>
      </c>
      <c r="G195" t="inlineStr">
        <is>
          <t>KARLSBORG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46160</v>
      </c>
      <c r="E196" s="1" t="n">
        <v>46303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30610-2026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46303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46303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45394</v>
      </c>
      <c r="E199" s="1" t="n">
        <v>46303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34670-2022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44795</v>
      </c>
      <c r="E200" s="1" t="n">
        <v>46303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58127-2024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45632</v>
      </c>
      <c r="E201" s="1" t="n">
        <v>46303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46303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45019</v>
      </c>
      <c r="E203" s="1" t="n">
        <v>46303</v>
      </c>
      <c r="F203" t="inlineStr">
        <is>
          <t>VÄSTRA GÖTALANDS LÄN</t>
        </is>
      </c>
      <c r="G203" t="inlineStr">
        <is>
          <t>KARLSBORG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44944</v>
      </c>
      <c r="E204" s="1" t="n">
        <v>46303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Övriga Aktiebolag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57454-2024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45630</v>
      </c>
      <c r="E205" s="1" t="n">
        <v>46303</v>
      </c>
      <c r="F205" t="inlineStr">
        <is>
          <t>VÄSTRA GÖTALANDS LÄN</t>
        </is>
      </c>
      <c r="G205" t="inlineStr">
        <is>
          <t>KARLSBORG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46303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48884-2023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45209</v>
      </c>
      <c r="E207" s="1" t="n">
        <v>46303</v>
      </c>
      <c r="F207" t="inlineStr">
        <is>
          <t>VÄSTRA GÖTALANDS LÄN</t>
        </is>
      </c>
      <c r="G207" t="inlineStr">
        <is>
          <t>KARLSBORG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46303</v>
      </c>
      <c r="F208" t="inlineStr">
        <is>
          <t>VÄSTRA GÖTALANDS LÄN</t>
        </is>
      </c>
      <c r="G208" t="inlineStr">
        <is>
          <t>KARLSBORG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51111-2024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46303</v>
      </c>
      <c r="F209" t="inlineStr">
        <is>
          <t>VÄSTRA GÖTALANDS LÄN</t>
        </is>
      </c>
      <c r="G209" t="inlineStr">
        <is>
          <t>KARLSBORG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45160</v>
      </c>
      <c r="E210" s="1" t="n">
        <v>46303</v>
      </c>
      <c r="F210" t="inlineStr">
        <is>
          <t>VÄSTRA GÖTALANDS LÄN</t>
        </is>
      </c>
      <c r="G210" t="inlineStr">
        <is>
          <t>KARLSBORG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46230</v>
      </c>
      <c r="E211" s="1" t="n">
        <v>46303</v>
      </c>
      <c r="F211" t="inlineStr">
        <is>
          <t>VÄSTRA GÖTALANDS LÄN</t>
        </is>
      </c>
      <c r="G211" t="inlineStr">
        <is>
          <t>KARLSBORG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46303</v>
      </c>
      <c r="F212" t="inlineStr">
        <is>
          <t>VÄSTRA GÖTALANDS LÄN</t>
        </is>
      </c>
      <c r="G212" t="inlineStr">
        <is>
          <t>KARLSBORG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45386</v>
      </c>
      <c r="E213" s="1" t="n">
        <v>46303</v>
      </c>
      <c r="F213" t="inlineStr">
        <is>
          <t>VÄSTRA GÖTALANDS LÄN</t>
        </is>
      </c>
      <c r="G213" t="inlineStr">
        <is>
          <t>KARLSBORG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46276</v>
      </c>
      <c r="E214" s="1" t="n">
        <v>46303</v>
      </c>
      <c r="F214" t="inlineStr">
        <is>
          <t>VÄSTRA GÖTALANDS LÄN</t>
        </is>
      </c>
      <c r="G214" t="inlineStr">
        <is>
          <t>KARLSBORG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46288</v>
      </c>
      <c r="E215" s="1" t="n">
        <v>46303</v>
      </c>
      <c r="F215" t="inlineStr">
        <is>
          <t>VÄSTRA GÖTALANDS LÄN</t>
        </is>
      </c>
      <c r="G215" t="inlineStr">
        <is>
          <t>KARLSBORG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46171</v>
      </c>
      <c r="E216" s="1" t="n">
        <v>46303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46300</v>
      </c>
      <c r="E217" s="1" t="n">
        <v>46303</v>
      </c>
      <c r="F217" t="inlineStr">
        <is>
          <t>VÄSTRA GÖTALANDS LÄN</t>
        </is>
      </c>
      <c r="G217" t="inlineStr">
        <is>
          <t>KARLSBORG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46303</v>
      </c>
      <c r="F218" t="inlineStr">
        <is>
          <t>VÄSTRA GÖTALANDS LÄN</t>
        </is>
      </c>
      <c r="G218" t="inlineStr">
        <is>
          <t>KARLSBORG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27906-2026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46303</v>
      </c>
      <c r="F219" t="inlineStr">
        <is>
          <t>VÄSTRA GÖTALANDS LÄN</t>
        </is>
      </c>
      <c r="G219" t="inlineStr">
        <is>
          <t>KARLSBORG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46300</v>
      </c>
      <c r="E220" s="1" t="n">
        <v>46303</v>
      </c>
      <c r="F220" t="inlineStr">
        <is>
          <t>VÄSTRA GÖTALANDS LÄN</t>
        </is>
      </c>
      <c r="G220" t="inlineStr">
        <is>
          <t>KARLSBORG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46260</v>
      </c>
      <c r="E221" s="1" t="n">
        <v>46303</v>
      </c>
      <c r="F221" t="inlineStr">
        <is>
          <t>VÄSTRA GÖTALANDS LÄN</t>
        </is>
      </c>
      <c r="G221" t="inlineStr">
        <is>
          <t>KARLSBORG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46302</v>
      </c>
      <c r="E222" s="1" t="n">
        <v>46303</v>
      </c>
      <c r="F222" t="inlineStr">
        <is>
          <t>VÄSTRA GÖTALANDS LÄN</t>
        </is>
      </c>
      <c r="G222" t="inlineStr">
        <is>
          <t>KARLSBORG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2395-2024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45468</v>
      </c>
      <c r="E223" s="1" t="n">
        <v>46303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343-2026</t>
        </is>
      </c>
      <c r="B224" t="inlineStr">
        <is>
          <t>samrådsanmälan</t>
        </is>
      </c>
      <c r="C224" t="inlineStr">
        <is>
          <t>Skogsgödsling</t>
        </is>
      </c>
      <c r="D224" s="1" t="n">
        <v>46059</v>
      </c>
      <c r="E224" s="1" t="n">
        <v>46303</v>
      </c>
      <c r="F224" t="inlineStr">
        <is>
          <t>VÄSTRA GÖTALANDS LÄN</t>
        </is>
      </c>
      <c r="G224" t="inlineStr">
        <is>
          <t>KARLSBORG</t>
        </is>
      </c>
      <c r="I224" t="n">
        <v>25.7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2026-10-08T02:04:33Z</dcterms:created>
  <dcterms:modified xmlns:dcterms="http://purl.org/dc/terms/" xmlns:xsi="http://www.w3.org/2001/XMLSchema-instance" xsi:type="dcterms:W3CDTF">2026-10-08T02:04:33Z</dcterms:modified>
</cp:coreProperties>
</file>