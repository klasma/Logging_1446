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46232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22877-2026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46232</v>
      </c>
      <c r="F5" t="inlineStr">
        <is>
          <t>VÄSTRA GÖTALANDS LÄN</t>
        </is>
      </c>
      <c r="G5" t="inlineStr">
        <is>
          <t>KARLSBORG</t>
        </is>
      </c>
      <c r="H5" t="inlineStr">
        <is>
          <t>Sveaskog</t>
        </is>
      </c>
      <c r="I5" t="n">
        <v>20.6</v>
      </c>
      <c r="J5" t="n">
        <v>2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Talltita
Älg
Mindre märgborre
Vågbandad barkbock
Tjäder</t>
        </is>
      </c>
      <c r="W5">
        <f>HYPERLINK("https://klasma.github.io/Logging_1446/artfynd/A 22877-2026 artfynd.xlsx", "A 22877-2026")</f>
        <v/>
      </c>
      <c r="X5">
        <f>HYPERLINK("https://klasma.github.io/Logging_1446/kartor/A 22877-2026 karta.png", "A 22877-2026")</f>
        <v/>
      </c>
      <c r="Y5">
        <f>HYPERLINK("https://klasma.github.io/Logging_1446/kartor_geotiff/A 22877-2026 georefererad karta.tif", "A 22877-2026")</f>
        <v/>
      </c>
      <c r="AA5">
        <f>HYPERLINK("https://klasma.github.io/Logging_1446/klagomål/A 22877-2026 FSC-klagomål.docx", "A 22877-2026")</f>
        <v/>
      </c>
      <c r="AB5">
        <f>HYPERLINK("https://klasma.github.io/Logging_1446/klagomålsmail/A 22877-2026 FSC-klagomål mail.docx", "A 22877-2026")</f>
        <v/>
      </c>
      <c r="AC5">
        <f>HYPERLINK("https://klasma.github.io/Logging_1446/tillsyn/A 22877-2026 tillsynsbegäran.docx", "A 22877-2026")</f>
        <v/>
      </c>
      <c r="AD5">
        <f>HYPERLINK("https://klasma.github.io/Logging_1446/tillsynsmail/A 22877-2026 tillsynsbegäran mail.docx", "A 22877-2026")</f>
        <v/>
      </c>
      <c r="AE5">
        <f>HYPERLINK("https://klasma.github.io/Logging_1446/fåglar/A 22877-2026 prioriterade fågelarter.docx", "A 22877-2026")</f>
        <v/>
      </c>
    </row>
    <row r="6" ht="15" customHeight="1">
      <c r="A6" t="inlineStr">
        <is>
          <t>A 47703-2021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44448</v>
      </c>
      <c r="E6" s="1" t="n">
        <v>46232</v>
      </c>
      <c r="F6" t="inlineStr">
        <is>
          <t>VÄSTRA GÖTALANDS LÄN</t>
        </is>
      </c>
      <c r="G6" t="inlineStr">
        <is>
          <t>KARLSBORG</t>
        </is>
      </c>
      <c r="I6" t="n">
        <v>12.9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Kattfotslav
Tretåig hackspett
Spillkråka
Orre</t>
        </is>
      </c>
      <c r="W6">
        <f>HYPERLINK("https://klasma.github.io/Logging_1446/artfynd/A 47703-2021 artfynd.xlsx", "A 47703-2021")</f>
        <v/>
      </c>
      <c r="X6">
        <f>HYPERLINK("https://klasma.github.io/Logging_1446/kartor/A 47703-2021 karta.png", "A 47703-2021")</f>
        <v/>
      </c>
      <c r="Y6">
        <f>HYPERLINK("https://klasma.github.io/Logging_1446/kartor_geotiff/A 47703-2021 georefererad karta.tif", "A 47703-2021")</f>
        <v/>
      </c>
      <c r="Z6">
        <f>HYPERLINK("https://klasma.github.io/Logging_1446/knärot/A 47703-2021 karta knärot.png", "A 47703-2021")</f>
        <v/>
      </c>
      <c r="AA6">
        <f>HYPERLINK("https://klasma.github.io/Logging_1446/klagomål/A 47703-2021 FSC-klagomål.docx", "A 47703-2021")</f>
        <v/>
      </c>
      <c r="AB6">
        <f>HYPERLINK("https://klasma.github.io/Logging_1446/klagomålsmail/A 47703-2021 FSC-klagomål mail.docx", "A 47703-2021")</f>
        <v/>
      </c>
      <c r="AC6">
        <f>HYPERLINK("https://klasma.github.io/Logging_1446/tillsyn/A 47703-2021 tillsynsbegäran.docx", "A 47703-2021")</f>
        <v/>
      </c>
      <c r="AD6">
        <f>HYPERLINK("https://klasma.github.io/Logging_1446/tillsynsmail/A 47703-2021 tillsynsbegäran mail.docx", "A 47703-2021")</f>
        <v/>
      </c>
      <c r="AE6">
        <f>HYPERLINK("https://klasma.github.io/Logging_1446/fåglar/A 47703-2021 prioriterade fågelarter.docx", "A 47703-2021")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46232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46232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46232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46232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46232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46232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46232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46232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46232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46232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HYPERLINK("https://klasma.github.io/Logging_1446/artfynd/A 19851-2025 artfynd.xlsx", "A 19851-2025")</f>
        <v/>
      </c>
      <c r="X16">
        <f>HYPERLINK("https://klasma.github.io/Logging_1446/kartor/A 19851-2025 karta.png", "A 19851-2025")</f>
        <v/>
      </c>
      <c r="Y16">
        <f>HYPERLINK("https://klasma.github.io/Logging_1446/kartor_geotiff/A 19851-2025 georefererad karta.tif", "A 19851-2025")</f>
        <v/>
      </c>
      <c r="Z16">
        <f>HYPERLINK("https://klasma.github.io/Logging_1446/knärot/A 19851-2025 karta knärot.png", "A 19851-2025")</f>
        <v/>
      </c>
      <c r="AA16">
        <f>HYPERLINK("https://klasma.github.io/Logging_1446/klagomål/A 19851-2025 FSC-klagomål.docx", "A 19851-2025")</f>
        <v/>
      </c>
      <c r="AB16">
        <f>HYPERLINK("https://klasma.github.io/Logging_1446/klagomålsmail/A 19851-2025 FSC-klagomål mail.docx", "A 19851-2025")</f>
        <v/>
      </c>
      <c r="AC16">
        <f>HYPERLINK("https://klasma.github.io/Logging_1446/tillsyn/A 19851-2025 tillsynsbegäran.docx", "A 19851-2025")</f>
        <v/>
      </c>
      <c r="AD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46232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46232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46232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46232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46232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46232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46232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46232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Blåsippa</t>
        </is>
      </c>
      <c r="W24">
        <f>HYPERLINK("https://klasma.github.io/Logging_1446/artfynd/A 29484-2025 artfynd.xlsx", "A 29484-2025")</f>
        <v/>
      </c>
      <c r="X24">
        <f>HYPERLINK("https://klasma.github.io/Logging_1446/kartor/A 29484-2025 karta.png", "A 29484-2025")</f>
        <v/>
      </c>
      <c r="Y24">
        <f>HYPERLINK("https://klasma.github.io/Logging_1446/kartor_geotiff/A 29484-2025 georefererad karta.tif", "A 29484-2025")</f>
        <v/>
      </c>
      <c r="AA24">
        <f>HYPERLINK("https://klasma.github.io/Logging_1446/klagomål/A 29484-2025 FSC-klagomål.docx", "A 29484-2025")</f>
        <v/>
      </c>
      <c r="AB24">
        <f>HYPERLINK("https://klasma.github.io/Logging_1446/klagomålsmail/A 29484-2025 FSC-klagomål mail.docx", "A 29484-2025")</f>
        <v/>
      </c>
      <c r="AC24">
        <f>HYPERLINK("https://klasma.github.io/Logging_1446/tillsyn/A 29484-2025 tillsynsbegäran.docx", "A 29484-2025")</f>
        <v/>
      </c>
      <c r="AD24">
        <f>HYPERLINK("https://klasma.github.io/Logging_1446/tillsynsmail/A 29484-2025 tillsynsbegäran mail.docx", "A 29484-2025")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46232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46232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46232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46232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46232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23973-2023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45075</v>
      </c>
      <c r="E30" s="1" t="n">
        <v>46232</v>
      </c>
      <c r="F30" t="inlineStr">
        <is>
          <t>VÄSTRA GÖTALANDS LÄN</t>
        </is>
      </c>
      <c r="G30" t="inlineStr">
        <is>
          <t>KARLSBORG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Orre</t>
        </is>
      </c>
      <c r="W30">
        <f>HYPERLINK("https://klasma.github.io/Logging_1446/artfynd/A 23973-2023 artfynd.xlsx", "A 23973-2023")</f>
        <v/>
      </c>
      <c r="X30">
        <f>HYPERLINK("https://klasma.github.io/Logging_1446/kartor/A 23973-2023 karta.png", "A 23973-2023")</f>
        <v/>
      </c>
      <c r="Y30">
        <f>HYPERLINK("https://klasma.github.io/Logging_1446/kartor_geotiff/A 23973-2023 georefererad karta.tif", "A 23973-2023")</f>
        <v/>
      </c>
      <c r="AA30">
        <f>HYPERLINK("https://klasma.github.io/Logging_1446/klagomål/A 23973-2023 FSC-klagomål.docx", "A 23973-2023")</f>
        <v/>
      </c>
      <c r="AB30">
        <f>HYPERLINK("https://klasma.github.io/Logging_1446/klagomålsmail/A 23973-2023 FSC-klagomål mail.docx", "A 23973-2023")</f>
        <v/>
      </c>
      <c r="AC30">
        <f>HYPERLINK("https://klasma.github.io/Logging_1446/tillsyn/A 23973-2023 tillsynsbegäran.docx", "A 23973-2023")</f>
        <v/>
      </c>
      <c r="AD30">
        <f>HYPERLINK("https://klasma.github.io/Logging_1446/tillsynsmail/A 23973-2023 tillsynsbegäran mail.docx", "A 23973-2023")</f>
        <v/>
      </c>
      <c r="AE30">
        <f>HYPERLINK("https://klasma.github.io/Logging_1446/fåglar/A 23973-2023 prioriterade fågelarter.docx", "A 23973-2023")</f>
        <v/>
      </c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46232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46232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46232</v>
      </c>
      <c r="F33" t="inlineStr">
        <is>
          <t>VÄSTRA GÖTALANDS LÄN</t>
        </is>
      </c>
      <c r="G33" t="inlineStr">
        <is>
          <t>KARLSBORG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46232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46232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46232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46232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46232</v>
      </c>
      <c r="F38" t="inlineStr">
        <is>
          <t>VÄSTRA GÖTALANDS LÄN</t>
        </is>
      </c>
      <c r="G38" t="inlineStr">
        <is>
          <t>KARLSBORG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46232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46232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44426</v>
      </c>
      <c r="E41" s="1" t="n">
        <v>46232</v>
      </c>
      <c r="F41" t="inlineStr">
        <is>
          <t>VÄSTRA GÖTALANDS LÄN</t>
        </is>
      </c>
      <c r="G41" t="inlineStr">
        <is>
          <t>KARLSBORG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46232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46232</v>
      </c>
      <c r="F43" t="inlineStr">
        <is>
          <t>VÄSTRA GÖTALANDS LÄN</t>
        </is>
      </c>
      <c r="G43" t="inlineStr">
        <is>
          <t>KARLSBORG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46232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46232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46232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46232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23469-2024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45453</v>
      </c>
      <c r="E48" s="1" t="n">
        <v>46232</v>
      </c>
      <c r="F48" t="inlineStr">
        <is>
          <t>VÄSTRA GÖTALANDS LÄN</t>
        </is>
      </c>
      <c r="G48" t="inlineStr">
        <is>
          <t>KARLSBORG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44595</v>
      </c>
      <c r="E49" s="1" t="n">
        <v>46232</v>
      </c>
      <c r="F49" t="inlineStr">
        <is>
          <t>VÄSTRA GÖTALANDS LÄN</t>
        </is>
      </c>
      <c r="G49" t="inlineStr">
        <is>
          <t>KARLSBORG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13076-2023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45002</v>
      </c>
      <c r="E50" s="1" t="n">
        <v>46232</v>
      </c>
      <c r="F50" t="inlineStr">
        <is>
          <t>VÄSTRA GÖTALANDS LÄN</t>
        </is>
      </c>
      <c r="G50" t="inlineStr">
        <is>
          <t>KARLSBORG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46232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45524</v>
      </c>
      <c r="E52" s="1" t="n">
        <v>46232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46232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38073-2023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45160</v>
      </c>
      <c r="E54" s="1" t="n">
        <v>46232</v>
      </c>
      <c r="F54" t="inlineStr">
        <is>
          <t>VÄSTRA GÖTALANDS LÄN</t>
        </is>
      </c>
      <c r="G54" t="inlineStr">
        <is>
          <t>KARLSBORG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46232</v>
      </c>
      <c r="F55" t="inlineStr">
        <is>
          <t>VÄSTRA GÖTALANDS LÄN</t>
        </is>
      </c>
      <c r="G55" t="inlineStr">
        <is>
          <t>KARLSBORG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57454-2024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45630</v>
      </c>
      <c r="E56" s="1" t="n">
        <v>46232</v>
      </c>
      <c r="F56" t="inlineStr">
        <is>
          <t>VÄSTRA GÖTALANDS LÄN</t>
        </is>
      </c>
      <c r="G56" t="inlineStr">
        <is>
          <t>KARLSBORG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46232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46232</v>
      </c>
      <c r="F58" t="inlineStr">
        <is>
          <t>VÄSTRA GÖTALANDS LÄN</t>
        </is>
      </c>
      <c r="G58" t="inlineStr">
        <is>
          <t>KARLSBORG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46232</v>
      </c>
      <c r="F59" t="inlineStr">
        <is>
          <t>VÄSTRA GÖTALANDS LÄN</t>
        </is>
      </c>
      <c r="G59" t="inlineStr">
        <is>
          <t>KARLSBORG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46232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46232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15220-2023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46232</v>
      </c>
      <c r="F62" t="inlineStr">
        <is>
          <t>VÄSTRA GÖTALANDS LÄN</t>
        </is>
      </c>
      <c r="G62" t="inlineStr">
        <is>
          <t>KARLSBORG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46232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28528-2024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46232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45183</v>
      </c>
      <c r="E65" s="1" t="n">
        <v>46232</v>
      </c>
      <c r="F65" t="inlineStr">
        <is>
          <t>VÄSTRA GÖTALANDS LÄN</t>
        </is>
      </c>
      <c r="G65" t="inlineStr">
        <is>
          <t>KARLSBORG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45090</v>
      </c>
      <c r="E66" s="1" t="n">
        <v>46232</v>
      </c>
      <c r="F66" t="inlineStr">
        <is>
          <t>VÄSTRA GÖTALANDS LÄN</t>
        </is>
      </c>
      <c r="G66" t="inlineStr">
        <is>
          <t>KARLSBORG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46232</v>
      </c>
      <c r="F67" t="inlineStr">
        <is>
          <t>VÄSTRA GÖTALANDS LÄN</t>
        </is>
      </c>
      <c r="G67" t="inlineStr">
        <is>
          <t>KARLSBORG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46232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Aktiebolag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46232</v>
      </c>
      <c r="F69" t="inlineStr">
        <is>
          <t>VÄSTRA GÖTALANDS LÄN</t>
        </is>
      </c>
      <c r="G69" t="inlineStr">
        <is>
          <t>KARLSBORG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58127-2024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45632</v>
      </c>
      <c r="E70" s="1" t="n">
        <v>46232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46232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statliga verk och myndigheter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45548</v>
      </c>
      <c r="E72" s="1" t="n">
        <v>46232</v>
      </c>
      <c r="F72" t="inlineStr">
        <is>
          <t>VÄSTRA GÖTALANDS LÄN</t>
        </is>
      </c>
      <c r="G72" t="inlineStr">
        <is>
          <t>KARLSBORG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46232</v>
      </c>
      <c r="F73" t="inlineStr">
        <is>
          <t>VÄSTRA GÖTALANDS LÄN</t>
        </is>
      </c>
      <c r="G73" t="inlineStr">
        <is>
          <t>KARLSBORG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46232</v>
      </c>
      <c r="F74" t="inlineStr">
        <is>
          <t>VÄSTRA GÖTALANDS LÄN</t>
        </is>
      </c>
      <c r="G74" t="inlineStr">
        <is>
          <t>KARLSBORG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29490-2025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46232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45257</v>
      </c>
      <c r="E76" s="1" t="n">
        <v>46232</v>
      </c>
      <c r="F76" t="inlineStr">
        <is>
          <t>VÄSTRA GÖTALANDS LÄN</t>
        </is>
      </c>
      <c r="G76" t="inlineStr">
        <is>
          <t>KARLSBORG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46232</v>
      </c>
      <c r="F77" t="inlineStr">
        <is>
          <t>VÄSTRA GÖTALANDS LÄN</t>
        </is>
      </c>
      <c r="G77" t="inlineStr">
        <is>
          <t>KARLSBORG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46232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70783-2021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44537</v>
      </c>
      <c r="E79" s="1" t="n">
        <v>46232</v>
      </c>
      <c r="F79" t="inlineStr">
        <is>
          <t>VÄSTRA GÖTALANDS LÄN</t>
        </is>
      </c>
      <c r="G79" t="inlineStr">
        <is>
          <t>KARLSBORG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46232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Aktiebolag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46232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14.3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46232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46232</v>
      </c>
      <c r="F83" t="inlineStr">
        <is>
          <t>VÄSTRA GÖTALANDS LÄN</t>
        </is>
      </c>
      <c r="G83" t="inlineStr">
        <is>
          <t>KARLSBORG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46232</v>
      </c>
      <c r="F84" t="inlineStr">
        <is>
          <t>VÄSTRA GÖTALANDS LÄN</t>
        </is>
      </c>
      <c r="G84" t="inlineStr">
        <is>
          <t>KARLSBORG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45908</v>
      </c>
      <c r="E85" s="1" t="n">
        <v>46232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Kyrkan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46232</v>
      </c>
      <c r="F86" t="inlineStr">
        <is>
          <t>VÄSTRA GÖTALANDS LÄN</t>
        </is>
      </c>
      <c r="G86" t="inlineStr">
        <is>
          <t>KARLSBORG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8053-2023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46232</v>
      </c>
      <c r="F87" t="inlineStr">
        <is>
          <t>VÄSTRA GÖTALANDS LÄN</t>
        </is>
      </c>
      <c r="G87" t="inlineStr">
        <is>
          <t>KARLSBORG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46232</v>
      </c>
      <c r="F88" t="inlineStr">
        <is>
          <t>VÄSTRA GÖTALANDS LÄN</t>
        </is>
      </c>
      <c r="G88" t="inlineStr">
        <is>
          <t>KARLSBORG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32128-2025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45835</v>
      </c>
      <c r="E89" s="1" t="n">
        <v>46232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31701-2025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45834</v>
      </c>
      <c r="E90" s="1" t="n">
        <v>46232</v>
      </c>
      <c r="F90" t="inlineStr">
        <is>
          <t>VÄSTRA GÖTALANDS LÄN</t>
        </is>
      </c>
      <c r="G90" t="inlineStr">
        <is>
          <t>KARLSBORG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44944</v>
      </c>
      <c r="E91" s="1" t="n">
        <v>46232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46232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46232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43021-2021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44431</v>
      </c>
      <c r="E94" s="1" t="n">
        <v>46232</v>
      </c>
      <c r="F94" t="inlineStr">
        <is>
          <t>VÄSTRA GÖTALANDS LÄN</t>
        </is>
      </c>
      <c r="G94" t="inlineStr">
        <is>
          <t>KARLSBORG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45589</v>
      </c>
      <c r="E95" s="1" t="n">
        <v>46232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45394</v>
      </c>
      <c r="E96" s="1" t="n">
        <v>46232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46232</v>
      </c>
      <c r="F97" t="inlineStr">
        <is>
          <t>VÄSTRA GÖTALANDS LÄN</t>
        </is>
      </c>
      <c r="G97" t="inlineStr">
        <is>
          <t>KARLSBORG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46232</v>
      </c>
      <c r="F98" t="inlineStr">
        <is>
          <t>VÄSTRA GÖTALANDS LÄN</t>
        </is>
      </c>
      <c r="G98" t="inlineStr">
        <is>
          <t>KARLSBORG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44906</v>
      </c>
      <c r="E99" s="1" t="n">
        <v>46232</v>
      </c>
      <c r="F99" t="inlineStr">
        <is>
          <t>VÄSTRA GÖTALANDS LÄN</t>
        </is>
      </c>
      <c r="G99" t="inlineStr">
        <is>
          <t>KARLSBORG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46232</v>
      </c>
      <c r="F100" t="inlineStr">
        <is>
          <t>VÄSTRA GÖTALANDS LÄN</t>
        </is>
      </c>
      <c r="G100" t="inlineStr">
        <is>
          <t>KARLSBORG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46232</v>
      </c>
      <c r="F101" t="inlineStr">
        <is>
          <t>VÄSTRA GÖTALANDS LÄN</t>
        </is>
      </c>
      <c r="G101" t="inlineStr">
        <is>
          <t>KARLSBORG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46232</v>
      </c>
      <c r="F102" t="inlineStr">
        <is>
          <t>VÄSTRA GÖTALANDS LÄN</t>
        </is>
      </c>
      <c r="G102" t="inlineStr">
        <is>
          <t>KARLSBORG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46232</v>
      </c>
      <c r="F103" t="inlineStr">
        <is>
          <t>VÄSTRA GÖTALANDS LÄN</t>
        </is>
      </c>
      <c r="G103" t="inlineStr">
        <is>
          <t>KARLSBORG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46232</v>
      </c>
      <c r="F104" t="inlineStr">
        <is>
          <t>VÄSTRA GÖTALANDS LÄN</t>
        </is>
      </c>
      <c r="G104" t="inlineStr">
        <is>
          <t>KARLSBORG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35930-2025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45862</v>
      </c>
      <c r="E105" s="1" t="n">
        <v>46232</v>
      </c>
      <c r="F105" t="inlineStr">
        <is>
          <t>VÄSTRA GÖTALANDS LÄN</t>
        </is>
      </c>
      <c r="G105" t="inlineStr">
        <is>
          <t>KARLSBORG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46232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44944</v>
      </c>
      <c r="E107" s="1" t="n">
        <v>46232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Aktiebolag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46232</v>
      </c>
      <c r="F108" t="inlineStr">
        <is>
          <t>VÄSTRA GÖTALANDS LÄN</t>
        </is>
      </c>
      <c r="G108" t="inlineStr">
        <is>
          <t>KARLSBORG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45942</v>
      </c>
      <c r="E109" s="1" t="n">
        <v>46232</v>
      </c>
      <c r="F109" t="inlineStr">
        <is>
          <t>VÄSTRA GÖTALANDS LÄN</t>
        </is>
      </c>
      <c r="G109" t="inlineStr">
        <is>
          <t>KARLSBORG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45566</v>
      </c>
      <c r="E110" s="1" t="n">
        <v>46232</v>
      </c>
      <c r="F110" t="inlineStr">
        <is>
          <t>VÄSTRA GÖTALANDS LÄN</t>
        </is>
      </c>
      <c r="G110" t="inlineStr">
        <is>
          <t>KARLSBORG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45614</v>
      </c>
      <c r="E111" s="1" t="n">
        <v>46232</v>
      </c>
      <c r="F111" t="inlineStr">
        <is>
          <t>VÄSTRA GÖTALANDS LÄN</t>
        </is>
      </c>
      <c r="G111" t="inlineStr">
        <is>
          <t>KARLSBORG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46052</v>
      </c>
      <c r="E112" s="1" t="n">
        <v>46232</v>
      </c>
      <c r="F112" t="inlineStr">
        <is>
          <t>VÄSTRA GÖTALANDS LÄN</t>
        </is>
      </c>
      <c r="G112" t="inlineStr">
        <is>
          <t>KARLSBORG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46232</v>
      </c>
      <c r="F113" t="inlineStr">
        <is>
          <t>VÄSTRA GÖTALANDS LÄN</t>
        </is>
      </c>
      <c r="G113" t="inlineStr">
        <is>
          <t>KARLSBORG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46232</v>
      </c>
      <c r="F114" t="inlineStr">
        <is>
          <t>VÄSTRA GÖTALANDS LÄN</t>
        </is>
      </c>
      <c r="G114" t="inlineStr">
        <is>
          <t>KARLSBORG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34314-2024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45524</v>
      </c>
      <c r="E115" s="1" t="n">
        <v>46232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46232</v>
      </c>
      <c r="F116" t="inlineStr">
        <is>
          <t>VÄSTRA GÖTALANDS LÄN</t>
        </is>
      </c>
      <c r="G116" t="inlineStr">
        <is>
          <t>KARLSBORG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45176</v>
      </c>
      <c r="E117" s="1" t="n">
        <v>46232</v>
      </c>
      <c r="F117" t="inlineStr">
        <is>
          <t>VÄSTRA GÖTALANDS LÄN</t>
        </is>
      </c>
      <c r="G117" t="inlineStr">
        <is>
          <t>KARLSBORG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46232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statliga verk och myndigheter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46010</v>
      </c>
      <c r="E119" s="1" t="n">
        <v>46232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Övriga statliga verk och myndigheter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46232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statliga verk och myndigheter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46232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statliga verk och myndigheter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46232</v>
      </c>
      <c r="F122" t="inlineStr">
        <is>
          <t>VÄSTRA GÖTALANDS LÄN</t>
        </is>
      </c>
      <c r="G122" t="inlineStr">
        <is>
          <t>KARLSBORG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44944</v>
      </c>
      <c r="E123" s="1" t="n">
        <v>46232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46232</v>
      </c>
      <c r="F124" t="inlineStr">
        <is>
          <t>VÄSTRA GÖTALANDS LÄN</t>
        </is>
      </c>
      <c r="G124" t="inlineStr">
        <is>
          <t>KARLSBORG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46069</v>
      </c>
      <c r="E125" s="1" t="n">
        <v>46232</v>
      </c>
      <c r="F125" t="inlineStr">
        <is>
          <t>VÄSTRA GÖTALANDS LÄN</t>
        </is>
      </c>
      <c r="G125" t="inlineStr">
        <is>
          <t>KARLSBORG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45470</v>
      </c>
      <c r="E126" s="1" t="n">
        <v>46232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46232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45090</v>
      </c>
      <c r="E128" s="1" t="n">
        <v>46232</v>
      </c>
      <c r="F128" t="inlineStr">
        <is>
          <t>VÄSTRA GÖTALANDS LÄN</t>
        </is>
      </c>
      <c r="G128" t="inlineStr">
        <is>
          <t>KARLSBORG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46232</v>
      </c>
      <c r="F129" t="inlineStr">
        <is>
          <t>VÄSTRA GÖTALANDS LÄN</t>
        </is>
      </c>
      <c r="G129" t="inlineStr">
        <is>
          <t>KARLSBORG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45561</v>
      </c>
      <c r="E130" s="1" t="n">
        <v>46232</v>
      </c>
      <c r="F130" t="inlineStr">
        <is>
          <t>VÄSTRA GÖTALANDS LÄN</t>
        </is>
      </c>
      <c r="G130" t="inlineStr">
        <is>
          <t>KARLSBORG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46232</v>
      </c>
      <c r="F131" t="inlineStr">
        <is>
          <t>VÄSTRA GÖTALANDS LÄN</t>
        </is>
      </c>
      <c r="G131" t="inlineStr">
        <is>
          <t>KARLSBORG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46232</v>
      </c>
      <c r="F132" t="inlineStr">
        <is>
          <t>VÄSTRA GÖTALANDS LÄN</t>
        </is>
      </c>
      <c r="G132" t="inlineStr">
        <is>
          <t>KARLSBORG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24594-2022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44727</v>
      </c>
      <c r="E133" s="1" t="n">
        <v>46232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45233</v>
      </c>
      <c r="E134" s="1" t="n">
        <v>46232</v>
      </c>
      <c r="F134" t="inlineStr">
        <is>
          <t>VÄSTRA GÖTALANDS LÄN</t>
        </is>
      </c>
      <c r="G134" t="inlineStr">
        <is>
          <t>KARLSBORG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45988</v>
      </c>
      <c r="E135" s="1" t="n">
        <v>46232</v>
      </c>
      <c r="F135" t="inlineStr">
        <is>
          <t>VÄSTRA GÖTALANDS LÄN</t>
        </is>
      </c>
      <c r="G135" t="inlineStr">
        <is>
          <t>KARLSBORG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46232</v>
      </c>
      <c r="F136" t="inlineStr">
        <is>
          <t>VÄSTRA GÖTALANDS LÄN</t>
        </is>
      </c>
      <c r="G136" t="inlineStr">
        <is>
          <t>KARLSBORG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46232</v>
      </c>
      <c r="F137" t="inlineStr">
        <is>
          <t>VÄSTRA GÖTALANDS LÄN</t>
        </is>
      </c>
      <c r="G137" t="inlineStr">
        <is>
          <t>KARLSBORG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46232</v>
      </c>
      <c r="F138" t="inlineStr">
        <is>
          <t>VÄSTRA GÖTALANDS LÄN</t>
        </is>
      </c>
      <c r="G138" t="inlineStr">
        <is>
          <t>KARLSBORG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46232</v>
      </c>
      <c r="F139" t="inlineStr">
        <is>
          <t>VÄSTRA GÖTALANDS LÄN</t>
        </is>
      </c>
      <c r="G139" t="inlineStr">
        <is>
          <t>KARLSBORG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65313-2021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44515</v>
      </c>
      <c r="E140" s="1" t="n">
        <v>46232</v>
      </c>
      <c r="F140" t="inlineStr">
        <is>
          <t>VÄSTRA GÖTALANDS LÄN</t>
        </is>
      </c>
      <c r="G140" t="inlineStr">
        <is>
          <t>KARLSBORG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46232</v>
      </c>
      <c r="F141" t="inlineStr">
        <is>
          <t>VÄSTRA GÖTALANDS LÄN</t>
        </is>
      </c>
      <c r="G141" t="inlineStr">
        <is>
          <t>KARLSBORG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46232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46232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46232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10415-2025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45720</v>
      </c>
      <c r="E145" s="1" t="n">
        <v>46232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46232</v>
      </c>
      <c r="F146" t="inlineStr">
        <is>
          <t>VÄSTRA GÖTALANDS LÄN</t>
        </is>
      </c>
      <c r="G146" t="inlineStr">
        <is>
          <t>KARLSBORG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46232</v>
      </c>
      <c r="F147" t="inlineStr">
        <is>
          <t>VÄSTRA GÖTALANDS LÄN</t>
        </is>
      </c>
      <c r="G147" t="inlineStr">
        <is>
          <t>KARLSBORG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46232</v>
      </c>
      <c r="F148" t="inlineStr">
        <is>
          <t>VÄSTRA GÖTALANDS LÄN</t>
        </is>
      </c>
      <c r="G148" t="inlineStr">
        <is>
          <t>KARLSBORG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57915-2024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45631</v>
      </c>
      <c r="E149" s="1" t="n">
        <v>46232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45561</v>
      </c>
      <c r="E150" s="1" t="n">
        <v>46232</v>
      </c>
      <c r="F150" t="inlineStr">
        <is>
          <t>VÄSTRA GÖTALANDS LÄN</t>
        </is>
      </c>
      <c r="G150" t="inlineStr">
        <is>
          <t>KARLSBORG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46232</v>
      </c>
      <c r="F151" t="inlineStr">
        <is>
          <t>VÄSTRA GÖTALANDS LÄN</t>
        </is>
      </c>
      <c r="G151" t="inlineStr">
        <is>
          <t>KARLSBORG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46232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44906</v>
      </c>
      <c r="E153" s="1" t="n">
        <v>46232</v>
      </c>
      <c r="F153" t="inlineStr">
        <is>
          <t>VÄSTRA GÖTALANDS LÄN</t>
        </is>
      </c>
      <c r="G153" t="inlineStr">
        <is>
          <t>KARLSBORG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46232</v>
      </c>
      <c r="F154" t="inlineStr">
        <is>
          <t>VÄSTRA GÖTALANDS LÄN</t>
        </is>
      </c>
      <c r="G154" t="inlineStr">
        <is>
          <t>KARLSBORG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45589</v>
      </c>
      <c r="E155" s="1" t="n">
        <v>46232</v>
      </c>
      <c r="F155" t="inlineStr">
        <is>
          <t>VÄSTRA GÖTALANDS LÄN</t>
        </is>
      </c>
      <c r="G155" t="inlineStr">
        <is>
          <t>KARLSBORG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18541-2026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46127</v>
      </c>
      <c r="E156" s="1" t="n">
        <v>46232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46232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18546-2026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46127</v>
      </c>
      <c r="E158" s="1" t="n">
        <v>46232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46127</v>
      </c>
      <c r="E159" s="1" t="n">
        <v>46232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46232</v>
      </c>
      <c r="F160" t="inlineStr">
        <is>
          <t>VÄSTRA GÖTALANDS LÄN</t>
        </is>
      </c>
      <c r="G160" t="inlineStr">
        <is>
          <t>KARLSBORG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23500-2023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45076</v>
      </c>
      <c r="E161" s="1" t="n">
        <v>46232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46232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46232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46232</v>
      </c>
      <c r="F164" t="inlineStr">
        <is>
          <t>VÄSTRA GÖTALANDS LÄN</t>
        </is>
      </c>
      <c r="G164" t="inlineStr">
        <is>
          <t>KARLSBORG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42661-2021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44428</v>
      </c>
      <c r="E165" s="1" t="n">
        <v>46232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46232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46232</v>
      </c>
      <c r="F167" t="inlineStr">
        <is>
          <t>VÄSTRA GÖTALANDS LÄN</t>
        </is>
      </c>
      <c r="G167" t="inlineStr">
        <is>
          <t>KARLSBORG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46232</v>
      </c>
      <c r="F168" t="inlineStr">
        <is>
          <t>VÄSTRA GÖTALANDS LÄN</t>
        </is>
      </c>
      <c r="G168" t="inlineStr">
        <is>
          <t>KARLSBORG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45755</v>
      </c>
      <c r="E169" s="1" t="n">
        <v>46232</v>
      </c>
      <c r="F169" t="inlineStr">
        <is>
          <t>VÄSTRA GÖTALANDS LÄN</t>
        </is>
      </c>
      <c r="G169" t="inlineStr">
        <is>
          <t>KARLSBORG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44809</v>
      </c>
      <c r="E170" s="1" t="n">
        <v>46232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46232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29357-2024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45483</v>
      </c>
      <c r="E172" s="1" t="n">
        <v>46232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46232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46232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35441-2024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45531</v>
      </c>
      <c r="E175" s="1" t="n">
        <v>46232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53247-2023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46232</v>
      </c>
      <c r="F176" t="inlineStr">
        <is>
          <t>VÄSTRA GÖTALANDS LÄN</t>
        </is>
      </c>
      <c r="G176" t="inlineStr">
        <is>
          <t>KARLSBORG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44929</v>
      </c>
      <c r="E177" s="1" t="n">
        <v>46232</v>
      </c>
      <c r="F177" t="inlineStr">
        <is>
          <t>VÄSTRA GÖTALANDS LÄN</t>
        </is>
      </c>
      <c r="G177" t="inlineStr">
        <is>
          <t>KARLSBORG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  <c r="X177">
        <f>HYPERLINK("https://klasma.github.io/Logging_1446/kartor/A 412-2023 karta.png", "A 412-2023")</f>
        <v/>
      </c>
      <c r="Y177">
        <f>HYPERLINK("https://klasma.github.io/Logging_1446/kartor_geotiff/A 412-2023 georefererad karta.tif", "A 412-2023")</f>
        <v/>
      </c>
      <c r="AA177">
        <f>HYPERLINK("https://klasma.github.io/Logging_1446/klagomål/A 412-2023 FSC-klagomål.docx", "A 412-2023")</f>
        <v/>
      </c>
      <c r="AB177">
        <f>HYPERLINK("https://klasma.github.io/Logging_1446/klagomålsmail/A 412-2023 FSC-klagomål mail.docx", "A 412-2023")</f>
        <v/>
      </c>
      <c r="AC177">
        <f>HYPERLINK("https://klasma.github.io/Logging_1446/tillsyn/A 412-2023 tillsynsbegäran.docx", "A 412-2023")</f>
        <v/>
      </c>
      <c r="AD177">
        <f>HYPERLINK("https://klasma.github.io/Logging_1446/tillsynsmail/A 412-2023 tillsynsbegäran mail.docx", "A 412-2023")</f>
        <v/>
      </c>
    </row>
    <row r="178" ht="15" customHeight="1">
      <c r="A178" t="inlineStr">
        <is>
          <t>A 43709-2024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45569</v>
      </c>
      <c r="E178" s="1" t="n">
        <v>46232</v>
      </c>
      <c r="F178" t="inlineStr">
        <is>
          <t>VÄSTRA GÖTALANDS LÄN</t>
        </is>
      </c>
      <c r="G178" t="inlineStr">
        <is>
          <t>KARLSBORG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44755</v>
      </c>
      <c r="E179" s="1" t="n">
        <v>46232</v>
      </c>
      <c r="F179" t="inlineStr">
        <is>
          <t>VÄSTRA GÖTALANDS LÄN</t>
        </is>
      </c>
      <c r="G179" t="inlineStr">
        <is>
          <t>KARLSBORG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46143</v>
      </c>
      <c r="E180" s="1" t="n">
        <v>46232</v>
      </c>
      <c r="F180" t="inlineStr">
        <is>
          <t>VÄSTRA GÖTALANDS LÄN</t>
        </is>
      </c>
      <c r="G180" t="inlineStr">
        <is>
          <t>KARLSBORG</t>
        </is>
      </c>
      <c r="I180" t="n">
        <v>14.6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46142</v>
      </c>
      <c r="E181" s="1" t="n">
        <v>46232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46142</v>
      </c>
      <c r="E182" s="1" t="n">
        <v>46232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46232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46232</v>
      </c>
      <c r="F184" t="inlineStr">
        <is>
          <t>VÄSTRA GÖTALANDS LÄN</t>
        </is>
      </c>
      <c r="G184" t="inlineStr">
        <is>
          <t>KARLSBORG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57913-2024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45631</v>
      </c>
      <c r="E185" s="1" t="n">
        <v>46232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46232</v>
      </c>
      <c r="F186" t="inlineStr">
        <is>
          <t>VÄSTRA GÖTALANDS LÄN</t>
        </is>
      </c>
      <c r="G186" t="inlineStr">
        <is>
          <t>KARLSBORG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46232</v>
      </c>
      <c r="F187" t="inlineStr">
        <is>
          <t>VÄSTRA GÖTALANDS LÄN</t>
        </is>
      </c>
      <c r="G187" t="inlineStr">
        <is>
          <t>KARLSBORG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45252</v>
      </c>
      <c r="E188" s="1" t="n">
        <v>46232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Övriga Aktiebolag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46232</v>
      </c>
      <c r="F189" t="inlineStr">
        <is>
          <t>VÄSTRA GÖTALANDS LÄN</t>
        </is>
      </c>
      <c r="G189" t="inlineStr">
        <is>
          <t>KARLSBORG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58129-2024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45632</v>
      </c>
      <c r="E190" s="1" t="n">
        <v>46232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46232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46160</v>
      </c>
      <c r="E192" s="1" t="n">
        <v>46232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46160</v>
      </c>
      <c r="E193" s="1" t="n">
        <v>46232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46191</v>
      </c>
      <c r="E194" s="1" t="n">
        <v>46232</v>
      </c>
      <c r="F194" t="inlineStr">
        <is>
          <t>VÄSTRA GÖTALANDS LÄN</t>
        </is>
      </c>
      <c r="G194" t="inlineStr">
        <is>
          <t>KARLSBORG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46232</v>
      </c>
      <c r="F195" t="inlineStr">
        <is>
          <t>VÄSTRA GÖTALANDS LÄN</t>
        </is>
      </c>
      <c r="G195" t="inlineStr">
        <is>
          <t>KARLSBORG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59890-2021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46232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46232</v>
      </c>
      <c r="F197" t="inlineStr">
        <is>
          <t>VÄSTRA GÖTALANDS LÄN</t>
        </is>
      </c>
      <c r="G197" t="inlineStr">
        <is>
          <t>KARLSBORG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46206</v>
      </c>
      <c r="E198" s="1" t="n">
        <v>46232</v>
      </c>
      <c r="F198" t="inlineStr">
        <is>
          <t>VÄSTRA GÖTALANDS LÄN</t>
        </is>
      </c>
      <c r="G198" t="inlineStr">
        <is>
          <t>KARLSBORG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69341-2021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44531</v>
      </c>
      <c r="E199" s="1" t="n">
        <v>46232</v>
      </c>
      <c r="F199" t="inlineStr">
        <is>
          <t>VÄSTRA GÖTALANDS LÄN</t>
        </is>
      </c>
      <c r="G199" t="inlineStr">
        <is>
          <t>KARLSBORG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46210</v>
      </c>
      <c r="E200" s="1" t="n">
        <v>46232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46232</v>
      </c>
      <c r="F201" t="inlineStr">
        <is>
          <t>VÄSTRA GÖTALANDS LÄN</t>
        </is>
      </c>
      <c r="G201" t="inlineStr">
        <is>
          <t>KARLSBORG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46232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Aktiebolag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46210</v>
      </c>
      <c r="E203" s="1" t="n">
        <v>46232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15396-2024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45401</v>
      </c>
      <c r="E204" s="1" t="n">
        <v>46232</v>
      </c>
      <c r="F204" t="inlineStr">
        <is>
          <t>VÄSTRA GÖTALANDS LÄN</t>
        </is>
      </c>
      <c r="G204" t="inlineStr">
        <is>
          <t>KARLSBORG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46170</v>
      </c>
      <c r="E205" s="1" t="n">
        <v>46232</v>
      </c>
      <c r="F205" t="inlineStr">
        <is>
          <t>VÄSTRA GÖTALANDS LÄN</t>
        </is>
      </c>
      <c r="G205" t="inlineStr">
        <is>
          <t>KARLSBORG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46171</v>
      </c>
      <c r="E206" s="1" t="n">
        <v>46232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46171</v>
      </c>
      <c r="E207" s="1" t="n">
        <v>46232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44494</v>
      </c>
      <c r="E208" s="1" t="n">
        <v>46232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statliga verk och myndigheter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46232</v>
      </c>
      <c r="F209" t="inlineStr">
        <is>
          <t>VÄSTRA GÖTALANDS LÄN</t>
        </is>
      </c>
      <c r="G209" t="inlineStr">
        <is>
          <t>KARLSBORG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46232</v>
      </c>
      <c r="F210" t="inlineStr">
        <is>
          <t>VÄSTRA GÖTALANDS LÄN</t>
        </is>
      </c>
      <c r="G210" t="inlineStr">
        <is>
          <t>KARLSBORG</t>
        </is>
      </c>
      <c r="I210" t="n">
        <v>9.5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46232</v>
      </c>
      <c r="F211" t="inlineStr">
        <is>
          <t>VÄSTRA GÖTALANDS LÄN</t>
        </is>
      </c>
      <c r="G211" t="inlineStr">
        <is>
          <t>KARLSBORG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45078</v>
      </c>
      <c r="E212" s="1" t="n">
        <v>46232</v>
      </c>
      <c r="F212" t="inlineStr">
        <is>
          <t>VÄSTRA GÖTALANDS LÄN</t>
        </is>
      </c>
      <c r="G212" t="inlineStr">
        <is>
          <t>KARLSBORG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46232</v>
      </c>
      <c r="F213" t="inlineStr">
        <is>
          <t>VÄSTRA GÖTALANDS LÄN</t>
        </is>
      </c>
      <c r="G213" t="inlineStr">
        <is>
          <t>KARLSBORG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46232</v>
      </c>
      <c r="F214" t="inlineStr">
        <is>
          <t>VÄSTRA GÖTALANDS LÄN</t>
        </is>
      </c>
      <c r="G214" t="inlineStr">
        <is>
          <t>KARLSBORG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45251</v>
      </c>
      <c r="E215" s="1" t="n">
        <v>46232</v>
      </c>
      <c r="F215" t="inlineStr">
        <is>
          <t>VÄSTRA GÖTALANDS LÄN</t>
        </is>
      </c>
      <c r="G215" t="inlineStr">
        <is>
          <t>KARLSBORG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44809</v>
      </c>
      <c r="E216" s="1" t="n">
        <v>46232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46232</v>
      </c>
      <c r="F217" t="inlineStr">
        <is>
          <t>VÄSTRA GÖTALANDS LÄN</t>
        </is>
      </c>
      <c r="G217" t="inlineStr">
        <is>
          <t>KARLSBORG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46232</v>
      </c>
      <c r="F218" t="inlineStr">
        <is>
          <t>VÄSTRA GÖTALANDS LÄN</t>
        </is>
      </c>
      <c r="G218" t="inlineStr">
        <is>
          <t>KARLSBORG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46232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12.6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46232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46230</v>
      </c>
      <c r="E221" s="1" t="n">
        <v>46232</v>
      </c>
      <c r="F221" t="inlineStr">
        <is>
          <t>VÄSTRA GÖTALANDS LÄN</t>
        </is>
      </c>
      <c r="G221" t="inlineStr">
        <is>
          <t>KARLSBORG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46232</v>
      </c>
      <c r="F222" t="inlineStr">
        <is>
          <t>VÄSTRA GÖTALANDS LÄN</t>
        </is>
      </c>
      <c r="G222" t="inlineStr">
        <is>
          <t>KARLSBORG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46188</v>
      </c>
      <c r="E223" s="1" t="n">
        <v>46232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45565</v>
      </c>
      <c r="E224" s="1" t="n">
        <v>46232</v>
      </c>
      <c r="F224" t="inlineStr">
        <is>
          <t>VÄSTRA GÖTALANDS LÄN</t>
        </is>
      </c>
      <c r="G224" t="inlineStr">
        <is>
          <t>KARLSBORG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45169</v>
      </c>
      <c r="E225" s="1" t="n">
        <v>46232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Övriga Aktiebolag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45566</v>
      </c>
      <c r="E226" s="1" t="n">
        <v>46232</v>
      </c>
      <c r="F226" t="inlineStr">
        <is>
          <t>VÄSTRA GÖTALANDS LÄN</t>
        </is>
      </c>
      <c r="G226" t="inlineStr">
        <is>
          <t>KARLSBORG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44664</v>
      </c>
      <c r="E227" s="1" t="n">
        <v>46232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46232</v>
      </c>
      <c r="F228" t="inlineStr">
        <is>
          <t>VÄSTRA GÖTALANDS LÄN</t>
        </is>
      </c>
      <c r="G228" t="inlineStr">
        <is>
          <t>KARLSBORG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46232</v>
      </c>
      <c r="F229" t="inlineStr">
        <is>
          <t>VÄSTRA GÖTALANDS LÄN</t>
        </is>
      </c>
      <c r="G229" t="inlineStr">
        <is>
          <t>KARLSBORG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45224-2021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44439</v>
      </c>
      <c r="E230" s="1" t="n">
        <v>46232</v>
      </c>
      <c r="F230" t="inlineStr">
        <is>
          <t>VÄSTRA GÖTALANDS LÄN</t>
        </is>
      </c>
      <c r="G230" t="inlineStr">
        <is>
          <t>KARLSBORG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46232</v>
      </c>
      <c r="F231" t="inlineStr">
        <is>
          <t>VÄSTRA GÖTALANDS LÄN</t>
        </is>
      </c>
      <c r="G231" t="inlineStr">
        <is>
          <t>KARLSBORG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46232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45789</v>
      </c>
      <c r="E233" s="1" t="n">
        <v>46232</v>
      </c>
      <c r="F233" t="inlineStr">
        <is>
          <t>VÄSTRA GÖTALANDS LÄN</t>
        </is>
      </c>
      <c r="G233" t="inlineStr">
        <is>
          <t>KARLSBORG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45721</v>
      </c>
      <c r="E234" s="1" t="n">
        <v>46232</v>
      </c>
      <c r="F234" t="inlineStr">
        <is>
          <t>VÄSTRA GÖTALANDS LÄN</t>
        </is>
      </c>
      <c r="G234" t="inlineStr">
        <is>
          <t>KARLSBORG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45630</v>
      </c>
      <c r="E235" s="1" t="n">
        <v>46232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Övriga Aktiebolag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45527</v>
      </c>
      <c r="E236" s="1" t="n">
        <v>46232</v>
      </c>
      <c r="F236" t="inlineStr">
        <is>
          <t>VÄSTRA GÖTALANDS LÄN</t>
        </is>
      </c>
      <c r="G236" t="inlineStr">
        <is>
          <t>KARLSBORG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46232</v>
      </c>
      <c r="F237" t="inlineStr">
        <is>
          <t>VÄSTRA GÖTALANDS LÄN</t>
        </is>
      </c>
      <c r="G237" t="inlineStr">
        <is>
          <t>KARLSBORG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46232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46232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2026-07-29T01:50:02Z</dcterms:created>
  <dcterms:modified xmlns:dcterms="http://purl.org/dc/terms/" xmlns:xsi="http://www.w3.org/2001/XMLSchema-instance" xsi:type="dcterms:W3CDTF">2026-07-29T01:50:02Z</dcterms:modified>
</cp:coreProperties>
</file>