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46279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46279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46279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46279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46279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46279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46279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46279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46279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46279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46279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45075</v>
      </c>
      <c r="E16" s="1" t="n">
        <v>46279</v>
      </c>
      <c r="F16" t="inlineStr">
        <is>
          <t>VÄSTRA GÖTALANDS LÄN</t>
        </is>
      </c>
      <c r="G16" t="inlineStr">
        <is>
          <t>KARLSBORG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Orre</t>
        </is>
      </c>
      <c r="W16">
        <f>HYPERLINK("https://klasma.github.io/Logging_1446/artfynd/A 23973-2023 artfynd.xlsx", "A 23973-2023")</f>
        <v/>
      </c>
      <c r="X16">
        <f>HYPERLINK("https://klasma.github.io/Logging_1446/kartor/A 23973-2023 karta.png", "A 23973-2023")</f>
        <v/>
      </c>
      <c r="Y16">
        <f>HYPERLINK("https://klasma.github.io/Logging_1446/kartor_geotiff/A 23973-2023 georefererad karta.tif", "A 23973-2023")</f>
        <v/>
      </c>
      <c r="AA16">
        <f>HYPERLINK("https://klasma.github.io/Logging_1446/klagomål/A 23973-2023 FSC-klagomål.docx", "A 23973-2023")</f>
        <v/>
      </c>
      <c r="AB16">
        <f>HYPERLINK("https://klasma.github.io/Logging_1446/klagomålsmail/A 23973-2023 FSC-klagomål mail.docx", "A 23973-2023")</f>
        <v/>
      </c>
      <c r="AC16">
        <f>HYPERLINK("https://klasma.github.io/Logging_1446/tillsyn/A 23973-2023 tillsynsbegäran.docx", "A 23973-2023")</f>
        <v/>
      </c>
      <c r="AD16">
        <f>HYPERLINK("https://klasma.github.io/Logging_1446/tillsynsmail/A 23973-2023 tillsynsbegäran mail.docx", "A 23973-2023")</f>
        <v/>
      </c>
      <c r="AE16">
        <f>HYPERLINK("https://klasma.github.io/Logging_1446/fåglar/A 23973-2023 prioriterade fågelarter.docx", "A 23973-2023")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46279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46279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46279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46279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46279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46279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46279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46279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46279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46279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46279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46279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46279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46279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46279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46279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46279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46279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46279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46279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46279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46279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46279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statliga verk och myndigheter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46279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46279</v>
      </c>
      <c r="F44" t="inlineStr">
        <is>
          <t>VÄSTRA GÖTALANDS LÄN</t>
        </is>
      </c>
      <c r="G44" t="inlineStr">
        <is>
          <t>KARLSBORG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14522-2024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46279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46279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46279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46279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46279</v>
      </c>
      <c r="F49" t="inlineStr">
        <is>
          <t>VÄSTRA GÖTALANDS LÄN</t>
        </is>
      </c>
      <c r="G49" t="inlineStr">
        <is>
          <t>KARLSBORG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46279</v>
      </c>
      <c r="F50" t="inlineStr">
        <is>
          <t>VÄSTRA GÖTALANDS LÄN</t>
        </is>
      </c>
      <c r="G50" t="inlineStr">
        <is>
          <t>KARLSBORG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46279</v>
      </c>
      <c r="F51" t="inlineStr">
        <is>
          <t>VÄSTRA GÖTALANDS LÄN</t>
        </is>
      </c>
      <c r="G51" t="inlineStr">
        <is>
          <t>KARLSBORG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46279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46279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46279</v>
      </c>
      <c r="F54" t="inlineStr">
        <is>
          <t>VÄSTRA GÖTALANDS LÄN</t>
        </is>
      </c>
      <c r="G54" t="inlineStr">
        <is>
          <t>KARLSBORG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46279</v>
      </c>
      <c r="F55" t="inlineStr">
        <is>
          <t>VÄSTRA GÖTALANDS LÄN</t>
        </is>
      </c>
      <c r="G55" t="inlineStr">
        <is>
          <t>KARLSBORG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46279</v>
      </c>
      <c r="F56" t="inlineStr">
        <is>
          <t>VÄSTRA GÖTALANDS LÄN</t>
        </is>
      </c>
      <c r="G56" t="inlineStr">
        <is>
          <t>KARLSBORG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46279</v>
      </c>
      <c r="F57" t="inlineStr">
        <is>
          <t>VÄSTRA GÖTALANDS LÄN</t>
        </is>
      </c>
      <c r="G57" t="inlineStr">
        <is>
          <t>KARLSBORG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58129-2024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45632</v>
      </c>
      <c r="E58" s="1" t="n">
        <v>46279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46279</v>
      </c>
      <c r="F59" t="inlineStr">
        <is>
          <t>VÄSTRA GÖTALANDS LÄN</t>
        </is>
      </c>
      <c r="G59" t="inlineStr">
        <is>
          <t>KARLSBORG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46279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46279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44595</v>
      </c>
      <c r="E62" s="1" t="n">
        <v>46279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46279</v>
      </c>
      <c r="F63" t="inlineStr">
        <is>
          <t>VÄSTRA GÖTALANDS LÄN</t>
        </is>
      </c>
      <c r="G63" t="inlineStr">
        <is>
          <t>KARLSBORG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45565</v>
      </c>
      <c r="E64" s="1" t="n">
        <v>46279</v>
      </c>
      <c r="F64" t="inlineStr">
        <is>
          <t>VÄSTRA GÖTALANDS LÄN</t>
        </is>
      </c>
      <c r="G64" t="inlineStr">
        <is>
          <t>KARLSBORG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46279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46279</v>
      </c>
      <c r="F66" t="inlineStr">
        <is>
          <t>VÄSTRA GÖTALANDS LÄN</t>
        </is>
      </c>
      <c r="G66" t="inlineStr">
        <is>
          <t>KARLSBORG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45566</v>
      </c>
      <c r="E67" s="1" t="n">
        <v>46279</v>
      </c>
      <c r="F67" t="inlineStr">
        <is>
          <t>VÄSTRA GÖTALANDS LÄN</t>
        </is>
      </c>
      <c r="G67" t="inlineStr">
        <is>
          <t>KARLSBORG</t>
        </is>
      </c>
      <c r="I67" t="n">
        <v>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46279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46279</v>
      </c>
      <c r="F69" t="inlineStr">
        <is>
          <t>VÄSTRA GÖTALANDS LÄN</t>
        </is>
      </c>
      <c r="G69" t="inlineStr">
        <is>
          <t>KARLSBORG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46279</v>
      </c>
      <c r="F70" t="inlineStr">
        <is>
          <t>VÄSTRA GÖTALANDS LÄN</t>
        </is>
      </c>
      <c r="G70" t="inlineStr">
        <is>
          <t>KARLSBORG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31701-2025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45834</v>
      </c>
      <c r="E71" s="1" t="n">
        <v>46279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46279</v>
      </c>
      <c r="F72" t="inlineStr">
        <is>
          <t>VÄSTRA GÖTALANDS LÄN</t>
        </is>
      </c>
      <c r="G72" t="inlineStr">
        <is>
          <t>KARLSBORG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32128-2025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45835</v>
      </c>
      <c r="E73" s="1" t="n">
        <v>46279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46279</v>
      </c>
      <c r="F74" t="inlineStr">
        <is>
          <t>VÄSTRA GÖTALANDS LÄN</t>
        </is>
      </c>
      <c r="G74" t="inlineStr">
        <is>
          <t>KARLSBORG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46279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46279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46279</v>
      </c>
      <c r="F77" t="inlineStr">
        <is>
          <t>VÄSTRA GÖTALANDS LÄN</t>
        </is>
      </c>
      <c r="G77" t="inlineStr">
        <is>
          <t>KARLSBORG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45524</v>
      </c>
      <c r="E78" s="1" t="n">
        <v>46279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46279</v>
      </c>
      <c r="F79" t="inlineStr">
        <is>
          <t>VÄSTRA GÖTALANDS LÄN</t>
        </is>
      </c>
      <c r="G79" t="inlineStr">
        <is>
          <t>KARLSBORG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46279</v>
      </c>
      <c r="F80" t="inlineStr">
        <is>
          <t>VÄSTRA GÖTALANDS LÄN</t>
        </is>
      </c>
      <c r="G80" t="inlineStr">
        <is>
          <t>KARLSBORG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46279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46279</v>
      </c>
      <c r="F82" t="inlineStr">
        <is>
          <t>VÄSTRA GÖTALANDS LÄN</t>
        </is>
      </c>
      <c r="G82" t="inlineStr">
        <is>
          <t>KARLSBORG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46279</v>
      </c>
      <c r="F83" t="inlineStr">
        <is>
          <t>VÄSTRA GÖTALANDS LÄN</t>
        </is>
      </c>
      <c r="G83" t="inlineStr">
        <is>
          <t>KARLSBORG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44929</v>
      </c>
      <c r="E84" s="1" t="n">
        <v>46279</v>
      </c>
      <c r="F84" t="inlineStr">
        <is>
          <t>VÄSTRA GÖTALANDS LÄN</t>
        </is>
      </c>
      <c r="G84" t="inlineStr">
        <is>
          <t>KARLSBORG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X84">
        <f>HYPERLINK("https://klasma.github.io/Logging_1446/kartor/A 412-2023 karta.png", "A 412-2023")</f>
        <v/>
      </c>
      <c r="Y84">
        <f>HYPERLINK("https://klasma.github.io/Logging_1446/kartor_geotiff/A 412-2023 georefererad karta.tif", "A 412-2023")</f>
        <v/>
      </c>
      <c r="AA84">
        <f>HYPERLINK("https://klasma.github.io/Logging_1446/klagomål/A 412-2023 FSC-klagomål.docx", "A 412-2023")</f>
        <v/>
      </c>
      <c r="AB84">
        <f>HYPERLINK("https://klasma.github.io/Logging_1446/klagomålsmail/A 412-2023 FSC-klagomål mail.docx", "A 412-2023")</f>
        <v/>
      </c>
      <c r="AC84">
        <f>HYPERLINK("https://klasma.github.io/Logging_1446/tillsyn/A 412-2023 tillsynsbegäran.docx", "A 412-2023")</f>
        <v/>
      </c>
      <c r="AD84">
        <f>HYPERLINK("https://klasma.github.io/Logging_1446/tillsynsmail/A 412-2023 tillsynsbegäran mail.docx", "A 412-2023")</f>
        <v/>
      </c>
    </row>
    <row r="85" ht="15" customHeight="1">
      <c r="A85" t="inlineStr">
        <is>
          <t>A 44366-2025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46279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46279</v>
      </c>
      <c r="F86" t="inlineStr">
        <is>
          <t>VÄSTRA GÖTALANDS LÄN</t>
        </is>
      </c>
      <c r="G86" t="inlineStr">
        <is>
          <t>KARLSBORG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46279</v>
      </c>
      <c r="F87" t="inlineStr">
        <is>
          <t>VÄSTRA GÖTALANDS LÄN</t>
        </is>
      </c>
      <c r="G87" t="inlineStr">
        <is>
          <t>KARLSBORG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46279</v>
      </c>
      <c r="F88" t="inlineStr">
        <is>
          <t>VÄSTRA GÖTALANDS LÄN</t>
        </is>
      </c>
      <c r="G88" t="inlineStr">
        <is>
          <t>KARLSBORG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46279</v>
      </c>
      <c r="F89" t="inlineStr">
        <is>
          <t>VÄSTRA GÖTALANDS LÄN</t>
        </is>
      </c>
      <c r="G89" t="inlineStr">
        <is>
          <t>KARLSBORG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46279</v>
      </c>
      <c r="F90" t="inlineStr">
        <is>
          <t>VÄSTRA GÖTALANDS LÄN</t>
        </is>
      </c>
      <c r="G90" t="inlineStr">
        <is>
          <t>KARLSBORG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46279</v>
      </c>
      <c r="F91" t="inlineStr">
        <is>
          <t>VÄSTRA GÖTALANDS LÄN</t>
        </is>
      </c>
      <c r="G91" t="inlineStr">
        <is>
          <t>KARLSBORG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46079</v>
      </c>
      <c r="E92" s="1" t="n">
        <v>46279</v>
      </c>
      <c r="F92" t="inlineStr">
        <is>
          <t>VÄSTRA GÖTALANDS LÄN</t>
        </is>
      </c>
      <c r="G92" t="inlineStr">
        <is>
          <t>KARLSBORG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46279</v>
      </c>
      <c r="F93" t="inlineStr">
        <is>
          <t>VÄSTRA GÖTALANDS LÄN</t>
        </is>
      </c>
      <c r="G93" t="inlineStr">
        <is>
          <t>KARLSBORG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46279</v>
      </c>
      <c r="F94" t="inlineStr">
        <is>
          <t>VÄSTRA GÖTALANDS LÄN</t>
        </is>
      </c>
      <c r="G94" t="inlineStr">
        <is>
          <t>KARLSBORG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46279</v>
      </c>
      <c r="F95" t="inlineStr">
        <is>
          <t>VÄSTRA GÖTALANDS LÄN</t>
        </is>
      </c>
      <c r="G95" t="inlineStr">
        <is>
          <t>KARLSBORG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46279</v>
      </c>
      <c r="F96" t="inlineStr">
        <is>
          <t>VÄSTRA GÖTALANDS LÄN</t>
        </is>
      </c>
      <c r="G96" t="inlineStr">
        <is>
          <t>KARLSBORG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46279</v>
      </c>
      <c r="F97" t="inlineStr">
        <is>
          <t>VÄSTRA GÖTALANDS LÄN</t>
        </is>
      </c>
      <c r="G97" t="inlineStr">
        <is>
          <t>KARLSBORG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46279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46279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45942</v>
      </c>
      <c r="E100" s="1" t="n">
        <v>46279</v>
      </c>
      <c r="F100" t="inlineStr">
        <is>
          <t>VÄSTRA GÖTALANDS LÄN</t>
        </is>
      </c>
      <c r="G100" t="inlineStr">
        <is>
          <t>KARLSBORG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46279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46279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Aktiebolag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46279</v>
      </c>
      <c r="F103" t="inlineStr">
        <is>
          <t>VÄSTRA GÖTALANDS LÄN</t>
        </is>
      </c>
      <c r="G103" t="inlineStr">
        <is>
          <t>KARLSBORG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46279</v>
      </c>
      <c r="F104" t="inlineStr">
        <is>
          <t>VÄSTRA GÖTALANDS LÄN</t>
        </is>
      </c>
      <c r="G104" t="inlineStr">
        <is>
          <t>KARLSBORG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46279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46279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46279</v>
      </c>
      <c r="F107" t="inlineStr">
        <is>
          <t>VÄSTRA GÖTALANDS LÄN</t>
        </is>
      </c>
      <c r="G107" t="inlineStr">
        <is>
          <t>KARLSBORG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46279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70945-2021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46279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46279</v>
      </c>
      <c r="F110" t="inlineStr">
        <is>
          <t>VÄSTRA GÖTALANDS LÄN</t>
        </is>
      </c>
      <c r="G110" t="inlineStr">
        <is>
          <t>KARLSBORG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45566</v>
      </c>
      <c r="E111" s="1" t="n">
        <v>46279</v>
      </c>
      <c r="F111" t="inlineStr">
        <is>
          <t>VÄSTRA GÖTALANDS LÄN</t>
        </is>
      </c>
      <c r="G111" t="inlineStr">
        <is>
          <t>KARLSBORG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46279</v>
      </c>
      <c r="F112" t="inlineStr">
        <is>
          <t>VÄSTRA GÖTALANDS LÄN</t>
        </is>
      </c>
      <c r="G112" t="inlineStr">
        <is>
          <t>KARLSBORG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46279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46279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46279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46279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46279</v>
      </c>
      <c r="F117" t="inlineStr">
        <is>
          <t>VÄSTRA GÖTALANDS LÄN</t>
        </is>
      </c>
      <c r="G117" t="inlineStr">
        <is>
          <t>KARLSBORG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46279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46279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46279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45078</v>
      </c>
      <c r="E121" s="1" t="n">
        <v>46279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70783-2021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44537</v>
      </c>
      <c r="E122" s="1" t="n">
        <v>46279</v>
      </c>
      <c r="F122" t="inlineStr">
        <is>
          <t>VÄSTRA GÖTALANDS LÄN</t>
        </is>
      </c>
      <c r="G122" t="inlineStr">
        <is>
          <t>KARLSBORG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46279</v>
      </c>
      <c r="F123" t="inlineStr">
        <is>
          <t>VÄSTRA GÖTALANDS LÄN</t>
        </is>
      </c>
      <c r="G123" t="inlineStr">
        <is>
          <t>KARLSBORG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46279</v>
      </c>
      <c r="F124" t="inlineStr">
        <is>
          <t>VÄSTRA GÖTALANDS LÄN</t>
        </is>
      </c>
      <c r="G124" t="inlineStr">
        <is>
          <t>KARLSBORG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46279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46279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45755</v>
      </c>
      <c r="E127" s="1" t="n">
        <v>46279</v>
      </c>
      <c r="F127" t="inlineStr">
        <is>
          <t>VÄSTRA GÖTALANDS LÄN</t>
        </is>
      </c>
      <c r="G127" t="inlineStr">
        <is>
          <t>KARLSBORG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46279</v>
      </c>
      <c r="F128" t="inlineStr">
        <is>
          <t>VÄSTRA GÖTALANDS LÄN</t>
        </is>
      </c>
      <c r="G128" t="inlineStr">
        <is>
          <t>KARLSBORG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46279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46279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46279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46279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46279</v>
      </c>
      <c r="F133" t="inlineStr">
        <is>
          <t>VÄSTRA GÖTALANDS LÄN</t>
        </is>
      </c>
      <c r="G133" t="inlineStr">
        <is>
          <t>KARLSBORG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46279</v>
      </c>
      <c r="F134" t="inlineStr">
        <is>
          <t>VÄSTRA GÖTALANDS LÄN</t>
        </is>
      </c>
      <c r="G134" t="inlineStr">
        <is>
          <t>KARLSBORG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46279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46279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46279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46279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46279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46279</v>
      </c>
      <c r="F140" t="inlineStr">
        <is>
          <t>VÄSTRA GÖTALANDS LÄN</t>
        </is>
      </c>
      <c r="G140" t="inlineStr">
        <is>
          <t>KARLSBORG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46279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46279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46279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46279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35441-2024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45531</v>
      </c>
      <c r="E145" s="1" t="n">
        <v>46279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46279</v>
      </c>
      <c r="F146" t="inlineStr">
        <is>
          <t>VÄSTRA GÖTALANDS LÄN</t>
        </is>
      </c>
      <c r="G146" t="inlineStr">
        <is>
          <t>KARLSBORG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46279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46143</v>
      </c>
      <c r="E148" s="1" t="n">
        <v>46279</v>
      </c>
      <c r="F148" t="inlineStr">
        <is>
          <t>VÄSTRA GÖTALANDS LÄN</t>
        </is>
      </c>
      <c r="G148" t="inlineStr">
        <is>
          <t>KARLSBORG</t>
        </is>
      </c>
      <c r="I148" t="n">
        <v>14.6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46279</v>
      </c>
      <c r="F149" t="inlineStr">
        <is>
          <t>VÄSTRA GÖTALANDS LÄN</t>
        </is>
      </c>
      <c r="G149" t="inlineStr">
        <is>
          <t>KARLSBORG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46279</v>
      </c>
      <c r="F150" t="inlineStr">
        <is>
          <t>VÄSTRA GÖTALANDS LÄN</t>
        </is>
      </c>
      <c r="G150" t="inlineStr">
        <is>
          <t>KARLSBORG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57913-2024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45631</v>
      </c>
      <c r="E151" s="1" t="n">
        <v>46279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46279</v>
      </c>
      <c r="F152" t="inlineStr">
        <is>
          <t>VÄSTRA GÖTALANDS LÄN</t>
        </is>
      </c>
      <c r="G152" t="inlineStr">
        <is>
          <t>KARLSBORG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23500-2023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45076</v>
      </c>
      <c r="E153" s="1" t="n">
        <v>46279</v>
      </c>
      <c r="F153" t="inlineStr">
        <is>
          <t>VÄSTRA GÖTALANDS LÄN</t>
        </is>
      </c>
      <c r="G153" t="inlineStr">
        <is>
          <t>KARLSBORG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46279</v>
      </c>
      <c r="F154" t="inlineStr">
        <is>
          <t>VÄSTRA GÖTALANDS LÄN</t>
        </is>
      </c>
      <c r="G154" t="inlineStr">
        <is>
          <t>KARLSBORG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46279</v>
      </c>
      <c r="F155" t="inlineStr">
        <is>
          <t>VÄSTRA GÖTALANDS LÄN</t>
        </is>
      </c>
      <c r="G155" t="inlineStr">
        <is>
          <t>KARLSBORG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46279</v>
      </c>
      <c r="F156" t="inlineStr">
        <is>
          <t>VÄSTRA GÖTALANDS LÄN</t>
        </is>
      </c>
      <c r="G156" t="inlineStr">
        <is>
          <t>KARLSBORG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46279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46279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46279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46279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46279</v>
      </c>
      <c r="F162" t="inlineStr">
        <is>
          <t>VÄSTRA GÖTALANDS LÄN</t>
        </is>
      </c>
      <c r="G162" t="inlineStr">
        <is>
          <t>KARLSBORG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46279</v>
      </c>
      <c r="F163" t="inlineStr">
        <is>
          <t>VÄSTRA GÖTALANDS LÄN</t>
        </is>
      </c>
      <c r="G163" t="inlineStr">
        <is>
          <t>KARLSBORG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46279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46279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46279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46279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46279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46279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46279</v>
      </c>
      <c r="F170" t="inlineStr">
        <is>
          <t>VÄSTRA GÖTALANDS LÄN</t>
        </is>
      </c>
      <c r="G170" t="inlineStr">
        <is>
          <t>KARLSBORG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46279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46279</v>
      </c>
      <c r="F172" t="inlineStr">
        <is>
          <t>VÄSTRA GÖTALANDS LÄN</t>
        </is>
      </c>
      <c r="G172" t="inlineStr">
        <is>
          <t>KARLSBORG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44906</v>
      </c>
      <c r="E173" s="1" t="n">
        <v>46279</v>
      </c>
      <c r="F173" t="inlineStr">
        <is>
          <t>VÄSTRA GÖTALANDS LÄN</t>
        </is>
      </c>
      <c r="G173" t="inlineStr">
        <is>
          <t>KARLSBORG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46279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46279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15396-2024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45401</v>
      </c>
      <c r="E176" s="1" t="n">
        <v>46279</v>
      </c>
      <c r="F176" t="inlineStr">
        <is>
          <t>VÄSTRA GÖTALANDS LÄN</t>
        </is>
      </c>
      <c r="G176" t="inlineStr">
        <is>
          <t>KARLSBORG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46279</v>
      </c>
      <c r="F177" t="inlineStr">
        <is>
          <t>VÄSTRA GÖTALANDS LÄN</t>
        </is>
      </c>
      <c r="G177" t="inlineStr">
        <is>
          <t>KARLSBORG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46279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45436</v>
      </c>
      <c r="E179" s="1" t="n">
        <v>46279</v>
      </c>
      <c r="F179" t="inlineStr">
        <is>
          <t>VÄSTRA GÖTALANDS LÄN</t>
        </is>
      </c>
      <c r="G179" t="inlineStr">
        <is>
          <t>KARLSBORG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46279</v>
      </c>
      <c r="F180" t="inlineStr">
        <is>
          <t>VÄSTRA GÖTALANDS LÄN</t>
        </is>
      </c>
      <c r="G180" t="inlineStr">
        <is>
          <t>KARLSBORG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46279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46279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46279</v>
      </c>
      <c r="F183" t="inlineStr">
        <is>
          <t>VÄSTRA GÖTALANDS LÄN</t>
        </is>
      </c>
      <c r="G183" t="inlineStr">
        <is>
          <t>KARLSBORG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46279</v>
      </c>
      <c r="F184" t="inlineStr">
        <is>
          <t>VÄSTRA GÖTALANDS LÄN</t>
        </is>
      </c>
      <c r="G184" t="inlineStr">
        <is>
          <t>KARLSBORG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46279</v>
      </c>
      <c r="F185" t="inlineStr">
        <is>
          <t>VÄSTRA GÖTALANDS LÄN</t>
        </is>
      </c>
      <c r="G185" t="inlineStr">
        <is>
          <t>KARLSBORG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46279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46279</v>
      </c>
      <c r="F187" t="inlineStr">
        <is>
          <t>VÄSTRA GÖTALANDS LÄN</t>
        </is>
      </c>
      <c r="G187" t="inlineStr">
        <is>
          <t>KARLSBORG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46279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46279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46279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46279</v>
      </c>
      <c r="F191" t="inlineStr">
        <is>
          <t>VÄSTRA GÖTALANDS LÄN</t>
        </is>
      </c>
      <c r="G191" t="inlineStr">
        <is>
          <t>KARLSBORG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46279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46279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46279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58127-2024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45632</v>
      </c>
      <c r="E195" s="1" t="n">
        <v>46279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46279</v>
      </c>
      <c r="F196" t="inlineStr">
        <is>
          <t>VÄSTRA GÖTALANDS LÄN</t>
        </is>
      </c>
      <c r="G196" t="inlineStr">
        <is>
          <t>KARLSBORG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46260</v>
      </c>
      <c r="E197" s="1" t="n">
        <v>46279</v>
      </c>
      <c r="F197" t="inlineStr">
        <is>
          <t>VÄSTRA GÖTALANDS LÄN</t>
        </is>
      </c>
      <c r="G197" t="inlineStr">
        <is>
          <t>KARLSBORG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46279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57454-2024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45630</v>
      </c>
      <c r="E199" s="1" t="n">
        <v>46279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46279</v>
      </c>
      <c r="F200" t="inlineStr">
        <is>
          <t>VÄSTRA GÖTALANDS LÄN</t>
        </is>
      </c>
      <c r="G200" t="inlineStr">
        <is>
          <t>KARLSBORG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46279</v>
      </c>
      <c r="F201" t="inlineStr">
        <is>
          <t>VÄSTRA GÖTALANDS LÄN</t>
        </is>
      </c>
      <c r="G201" t="inlineStr">
        <is>
          <t>KARLSBORG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46279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46279</v>
      </c>
      <c r="F203" t="inlineStr">
        <is>
          <t>VÄSTRA GÖTALANDS LÄN</t>
        </is>
      </c>
      <c r="G203" t="inlineStr">
        <is>
          <t>KARLSBORG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46230</v>
      </c>
      <c r="E204" s="1" t="n">
        <v>46279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46279</v>
      </c>
      <c r="F205" t="inlineStr">
        <is>
          <t>VÄSTRA GÖTALANDS LÄN</t>
        </is>
      </c>
      <c r="G205" t="inlineStr">
        <is>
          <t>KARLSBORG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46279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46279</v>
      </c>
      <c r="F207" t="inlineStr">
        <is>
          <t>VÄSTRA GÖTALANDS LÄN</t>
        </is>
      </c>
      <c r="G207" t="inlineStr">
        <is>
          <t>KARLSBORG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46279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46279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46279</v>
      </c>
      <c r="F210" t="inlineStr">
        <is>
          <t>VÄSTRA GÖTALANDS LÄN</t>
        </is>
      </c>
      <c r="G210" t="inlineStr">
        <is>
          <t>KARLSBORG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57915-2024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46279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46279</v>
      </c>
      <c r="F212" t="inlineStr">
        <is>
          <t>VÄSTRA GÖTALANDS LÄN</t>
        </is>
      </c>
      <c r="G212" t="inlineStr">
        <is>
          <t>KARLSBORG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46279</v>
      </c>
      <c r="F213" t="inlineStr">
        <is>
          <t>VÄSTRA GÖTALANDS LÄN</t>
        </is>
      </c>
      <c r="G213" t="inlineStr">
        <is>
          <t>KARLSBORG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46279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46279</v>
      </c>
      <c r="F215" t="inlineStr">
        <is>
          <t>VÄSTRA GÖTALANDS LÄN</t>
        </is>
      </c>
      <c r="G215" t="inlineStr">
        <is>
          <t>KARLSBORG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46279</v>
      </c>
      <c r="F216" t="inlineStr">
        <is>
          <t>VÄSTRA GÖTALANDS LÄN</t>
        </is>
      </c>
      <c r="G216" t="inlineStr">
        <is>
          <t>KARLSBORG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46279</v>
      </c>
      <c r="F217" t="inlineStr">
        <is>
          <t>VÄSTRA GÖTALANDS LÄN</t>
        </is>
      </c>
      <c r="G217" t="inlineStr">
        <is>
          <t>KARLSBORG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46279</v>
      </c>
      <c r="F218" t="inlineStr">
        <is>
          <t>VÄSTRA GÖTALANDS LÄN</t>
        </is>
      </c>
      <c r="G218" t="inlineStr">
        <is>
          <t>KARLSBORG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46279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46279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Aktiebolag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46279</v>
      </c>
      <c r="F221" t="inlineStr">
        <is>
          <t>VÄSTRA GÖTALANDS LÄN</t>
        </is>
      </c>
      <c r="G221" t="inlineStr">
        <is>
          <t>KARLSBORG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46279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46279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2026-09-14T02:14:04Z</dcterms:created>
  <dcterms:modified xmlns:dcterms="http://purl.org/dc/terms/" xmlns:xsi="http://www.w3.org/2001/XMLSchema-instance" xsi:type="dcterms:W3CDTF">2026-09-14T02:14:04Z</dcterms:modified>
</cp:coreProperties>
</file>