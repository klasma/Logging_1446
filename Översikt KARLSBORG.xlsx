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46193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1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Lakritsmusseron
Skrovlig taggsvamp
Dofttaggsvamp
Dropptaggsvamp
Motaggsvamp
Zontaggsvamp
Vanlig padda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47703-2021</t>
        </is>
      </c>
      <c r="B3" s="1" t="n">
        <v>44448</v>
      </c>
      <c r="C3" s="1" t="n">
        <v>46193</v>
      </c>
      <c r="D3" t="inlineStr">
        <is>
          <t>VÄSTRA GÖTALANDS LÄN</t>
        </is>
      </c>
      <c r="E3" t="inlineStr">
        <is>
          <t>KARLSBORG</t>
        </is>
      </c>
      <c r="G3" t="n">
        <v>12.9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Kattfotslav
Tretåig hackspett
Spillkråka
Orre</t>
        </is>
      </c>
      <c r="S3">
        <f>HYPERLINK("https://klasma.github.io/Logging_1446/artfynd/A 47703-2021 artfynd.xlsx", "A 47703-2021")</f>
        <v/>
      </c>
      <c r="T3">
        <f>HYPERLINK("https://klasma.github.io/Logging_1446/kartor/A 47703-2021 karta.png", "A 47703-2021")</f>
        <v/>
      </c>
      <c r="U3">
        <f>HYPERLINK("https://klasma.github.io/Logging_1446/knärot/A 47703-2021 karta knärot.png", "A 47703-2021")</f>
        <v/>
      </c>
      <c r="V3">
        <f>HYPERLINK("https://klasma.github.io/Logging_1446/klagomål/A 47703-2021 FSC-klagomål.docx", "A 47703-2021")</f>
        <v/>
      </c>
      <c r="W3">
        <f>HYPERLINK("https://klasma.github.io/Logging_1446/klagomålsmail/A 47703-2021 FSC-klagomål mail.docx", "A 47703-2021")</f>
        <v/>
      </c>
      <c r="X3">
        <f>HYPERLINK("https://klasma.github.io/Logging_1446/tillsyn/A 47703-2021 tillsynsbegäran.docx", "A 47703-2021")</f>
        <v/>
      </c>
      <c r="Y3">
        <f>HYPERLINK("https://klasma.github.io/Logging_1446/tillsynsmail/A 47703-2021 tillsynsbegäran mail.docx", "A 47703-2021")</f>
        <v/>
      </c>
      <c r="Z3">
        <f>HYPERLINK("https://klasma.github.io/Logging_1446/fåglar/A 47703-2021 prioriterade fågelarter.docx", "A 47703-2021")</f>
        <v/>
      </c>
    </row>
    <row r="4" ht="15" customHeight="1">
      <c r="A4" t="inlineStr">
        <is>
          <t>A 14438-2025</t>
        </is>
      </c>
      <c r="B4" s="1" t="n">
        <v>45741</v>
      </c>
      <c r="C4" s="1" t="n">
        <v>46193</v>
      </c>
      <c r="D4" t="inlineStr">
        <is>
          <t>VÄSTRA GÖTALANDS LÄN</t>
        </is>
      </c>
      <c r="E4" t="inlineStr">
        <is>
          <t>KARLSBORG</t>
        </is>
      </c>
      <c r="G4" t="n">
        <v>7.9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Järnsparv
Talltita
Spillkråka
Kungsfågel
Åkergroda</t>
        </is>
      </c>
      <c r="S4">
        <f>HYPERLINK("https://klasma.github.io/Logging_1446/artfynd/A 14438-2025 artfynd.xlsx", "A 14438-2025")</f>
        <v/>
      </c>
      <c r="T4">
        <f>HYPERLINK("https://klasma.github.io/Logging_1446/kartor/A 14438-2025 karta.png", "A 14438-2025")</f>
        <v/>
      </c>
      <c r="V4">
        <f>HYPERLINK("https://klasma.github.io/Logging_1446/klagomål/A 14438-2025 FSC-klagomål.docx", "A 14438-2025")</f>
        <v/>
      </c>
      <c r="W4">
        <f>HYPERLINK("https://klasma.github.io/Logging_1446/klagomålsmail/A 14438-2025 FSC-klagomål mail.docx", "A 14438-2025")</f>
        <v/>
      </c>
      <c r="X4">
        <f>HYPERLINK("https://klasma.github.io/Logging_1446/tillsyn/A 14438-2025 tillsynsbegäran.docx", "A 14438-2025")</f>
        <v/>
      </c>
      <c r="Y4">
        <f>HYPERLINK("https://klasma.github.io/Logging_1446/tillsynsmail/A 14438-2025 tillsynsbegäran mail.docx", "A 14438-2025")</f>
        <v/>
      </c>
      <c r="Z4">
        <f>HYPERLINK("https://klasma.github.io/Logging_1446/fåglar/A 14438-2025 prioriterade fågelarter.docx", "A 14438-2025")</f>
        <v/>
      </c>
    </row>
    <row r="5" ht="15" customHeight="1">
      <c r="A5" t="inlineStr">
        <is>
          <t>A 27703-2023</t>
        </is>
      </c>
      <c r="B5" s="1" t="n">
        <v>45098</v>
      </c>
      <c r="C5" s="1" t="n">
        <v>46193</v>
      </c>
      <c r="D5" t="inlineStr">
        <is>
          <t>VÄSTRA GÖTALANDS LÄN</t>
        </is>
      </c>
      <c r="E5" t="inlineStr">
        <is>
          <t>KARLSBORG</t>
        </is>
      </c>
      <c r="G5" t="n">
        <v>2.8</v>
      </c>
      <c r="H5" t="n">
        <v>0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Blå taggsvamp
Dropptaggsvamp
Motaggsvamp
Tallriska</t>
        </is>
      </c>
      <c r="S5">
        <f>HYPERLINK("https://klasma.github.io/Logging_1446/artfynd/A 27703-2023 artfynd.xlsx", "A 27703-2023")</f>
        <v/>
      </c>
      <c r="T5">
        <f>HYPERLINK("https://klasma.github.io/Logging_1446/kartor/A 27703-2023 karta.png", "A 27703-2023")</f>
        <v/>
      </c>
      <c r="V5">
        <f>HYPERLINK("https://klasma.github.io/Logging_1446/klagomål/A 27703-2023 FSC-klagomål.docx", "A 27703-2023")</f>
        <v/>
      </c>
      <c r="W5">
        <f>HYPERLINK("https://klasma.github.io/Logging_1446/klagomålsmail/A 27703-2023 FSC-klagomål mail.docx", "A 27703-2023")</f>
        <v/>
      </c>
      <c r="X5">
        <f>HYPERLINK("https://klasma.github.io/Logging_1446/tillsyn/A 27703-2023 tillsynsbegäran.docx", "A 27703-2023")</f>
        <v/>
      </c>
      <c r="Y5">
        <f>HYPERLINK("https://klasma.github.io/Logging_1446/tillsynsmail/A 27703-2023 tillsynsbegäran mail.docx", "A 27703-2023")</f>
        <v/>
      </c>
    </row>
    <row r="6" ht="15" customHeight="1">
      <c r="A6" t="inlineStr">
        <is>
          <t>A 13359-2024</t>
        </is>
      </c>
      <c r="B6" s="1" t="n">
        <v>45387</v>
      </c>
      <c r="C6" s="1" t="n">
        <v>46193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Grönpyrola
Spillkråka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20433-2025</t>
        </is>
      </c>
      <c r="B7" s="1" t="n">
        <v>45775</v>
      </c>
      <c r="C7" s="1" t="n">
        <v>46193</v>
      </c>
      <c r="D7" t="inlineStr">
        <is>
          <t>VÄSTRA GÖTALANDS LÄN</t>
        </is>
      </c>
      <c r="E7" t="inlineStr">
        <is>
          <t>KARLSBORG</t>
        </is>
      </c>
      <c r="G7" t="n">
        <v>4.8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Tjäder</t>
        </is>
      </c>
      <c r="S7">
        <f>HYPERLINK("https://klasma.github.io/Logging_1446/artfynd/A 20433-2025 artfynd.xlsx", "A 20433-2025")</f>
        <v/>
      </c>
      <c r="T7">
        <f>HYPERLINK("https://klasma.github.io/Logging_1446/kartor/A 20433-2025 karta.png", "A 20433-2025")</f>
        <v/>
      </c>
      <c r="U7">
        <f>HYPERLINK("https://klasma.github.io/Logging_1446/knärot/A 20433-2025 karta knärot.png", "A 20433-2025")</f>
        <v/>
      </c>
      <c r="V7">
        <f>HYPERLINK("https://klasma.github.io/Logging_1446/klagomål/A 20433-2025 FSC-klagomål.docx", "A 20433-2025")</f>
        <v/>
      </c>
      <c r="W7">
        <f>HYPERLINK("https://klasma.github.io/Logging_1446/klagomålsmail/A 20433-2025 FSC-klagomål mail.docx", "A 20433-2025")</f>
        <v/>
      </c>
      <c r="X7">
        <f>HYPERLINK("https://klasma.github.io/Logging_1446/tillsyn/A 20433-2025 tillsynsbegäran.docx", "A 20433-2025")</f>
        <v/>
      </c>
      <c r="Y7">
        <f>HYPERLINK("https://klasma.github.io/Logging_1446/tillsynsmail/A 20433-2025 tillsynsbegäran mail.docx", "A 20433-2025")</f>
        <v/>
      </c>
      <c r="Z7">
        <f>HYPERLINK("https://klasma.github.io/Logging_1446/fåglar/A 20433-2025 prioriterade fågelarter.docx", "A 20433-2025")</f>
        <v/>
      </c>
    </row>
    <row r="8" ht="15" customHeight="1">
      <c r="A8" t="inlineStr">
        <is>
          <t>A 47698-2021</t>
        </is>
      </c>
      <c r="B8" s="1" t="n">
        <v>44448</v>
      </c>
      <c r="C8" s="1" t="n">
        <v>46193</v>
      </c>
      <c r="D8" t="inlineStr">
        <is>
          <t>VÄSTRA GÖTALANDS LÄN</t>
        </is>
      </c>
      <c r="E8" t="inlineStr">
        <is>
          <t>KARLSBORG</t>
        </is>
      </c>
      <c r="G8" t="n">
        <v>9.699999999999999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Orre</t>
        </is>
      </c>
      <c r="S8">
        <f>HYPERLINK("https://klasma.github.io/Logging_1446/artfynd/A 47698-2021 artfynd.xlsx", "A 47698-2021")</f>
        <v/>
      </c>
      <c r="T8">
        <f>HYPERLINK("https://klasma.github.io/Logging_1446/kartor/A 47698-2021 karta.png", "A 47698-2021")</f>
        <v/>
      </c>
      <c r="V8">
        <f>HYPERLINK("https://klasma.github.io/Logging_1446/klagomål/A 47698-2021 FSC-klagomål.docx", "A 47698-2021")</f>
        <v/>
      </c>
      <c r="W8">
        <f>HYPERLINK("https://klasma.github.io/Logging_1446/klagomålsmail/A 47698-2021 FSC-klagomål mail.docx", "A 47698-2021")</f>
        <v/>
      </c>
      <c r="X8">
        <f>HYPERLINK("https://klasma.github.io/Logging_1446/tillsyn/A 47698-2021 tillsynsbegäran.docx", "A 47698-2021")</f>
        <v/>
      </c>
      <c r="Y8">
        <f>HYPERLINK("https://klasma.github.io/Logging_1446/tillsynsmail/A 47698-2021 tillsynsbegäran mail.docx", "A 47698-2021")</f>
        <v/>
      </c>
      <c r="Z8">
        <f>HYPERLINK("https://klasma.github.io/Logging_1446/fåglar/A 47698-2021 prioriterade fågelarter.docx", "A 47698-2021")</f>
        <v/>
      </c>
    </row>
    <row r="9" ht="15" customHeight="1">
      <c r="A9" t="inlineStr">
        <is>
          <t>A 13365-2024</t>
        </is>
      </c>
      <c r="B9" s="1" t="n">
        <v>45387</v>
      </c>
      <c r="C9" s="1" t="n">
        <v>46193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</v>
      </c>
      <c r="C10" s="1" t="n">
        <v>46193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19851-2025</t>
        </is>
      </c>
      <c r="B11" s="1" t="n">
        <v>45771</v>
      </c>
      <c r="C11" s="1" t="n">
        <v>46193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35929-2025</t>
        </is>
      </c>
      <c r="B12" s="1" t="n">
        <v>45862</v>
      </c>
      <c r="C12" s="1" t="n">
        <v>46193</v>
      </c>
      <c r="D12" t="inlineStr">
        <is>
          <t>VÄSTRA GÖTALANDS LÄN</t>
        </is>
      </c>
      <c r="E12" t="inlineStr">
        <is>
          <t>KARLSBORG</t>
        </is>
      </c>
      <c r="G12" t="n">
        <v>7.5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Revlummer</t>
        </is>
      </c>
      <c r="S12">
        <f>HYPERLINK("https://klasma.github.io/Logging_1446/artfynd/A 35929-2025 artfynd.xlsx", "A 35929-2025")</f>
        <v/>
      </c>
      <c r="T12">
        <f>HYPERLINK("https://klasma.github.io/Logging_1446/kartor/A 35929-2025 karta.png", "A 35929-2025")</f>
        <v/>
      </c>
      <c r="V12">
        <f>HYPERLINK("https://klasma.github.io/Logging_1446/klagomål/A 35929-2025 FSC-klagomål.docx", "A 35929-2025")</f>
        <v/>
      </c>
      <c r="W12">
        <f>HYPERLINK("https://klasma.github.io/Logging_1446/klagomålsmail/A 35929-2025 FSC-klagomål mail.docx", "A 35929-2025")</f>
        <v/>
      </c>
      <c r="X12">
        <f>HYPERLINK("https://klasma.github.io/Logging_1446/tillsyn/A 35929-2025 tillsynsbegäran.docx", "A 35929-2025")</f>
        <v/>
      </c>
      <c r="Y12">
        <f>HYPERLINK("https://klasma.github.io/Logging_1446/tillsynsmail/A 35929-2025 tillsynsbegäran mail.docx", "A 35929-2025")</f>
        <v/>
      </c>
    </row>
    <row r="13" ht="15" customHeight="1">
      <c r="A13" t="inlineStr">
        <is>
          <t>A 52381-2024</t>
        </is>
      </c>
      <c r="B13" s="1" t="n">
        <v>45609</v>
      </c>
      <c r="C13" s="1" t="n">
        <v>46193</v>
      </c>
      <c r="D13" t="inlineStr">
        <is>
          <t>VÄSTRA GÖTALANDS LÄN</t>
        </is>
      </c>
      <c r="E13" t="inlineStr">
        <is>
          <t>KARLSBORG</t>
        </is>
      </c>
      <c r="G13" t="n">
        <v>1.4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HYPERLINK("https://klasma.github.io/Logging_1446/artfynd/A 52381-2024 artfynd.xlsx", "A 52381-2024")</f>
        <v/>
      </c>
      <c r="T13">
        <f>HYPERLINK("https://klasma.github.io/Logging_1446/kartor/A 52381-2024 karta.png", "A 52381-2024")</f>
        <v/>
      </c>
      <c r="U13">
        <f>HYPERLINK("https://klasma.github.io/Logging_1446/knärot/A 52381-2024 karta knärot.png", "A 52381-2024")</f>
        <v/>
      </c>
      <c r="V13">
        <f>HYPERLINK("https://klasma.github.io/Logging_1446/klagomål/A 52381-2024 FSC-klagomål.docx", "A 52381-2024")</f>
        <v/>
      </c>
      <c r="W13">
        <f>HYPERLINK("https://klasma.github.io/Logging_1446/klagomålsmail/A 52381-2024 FSC-klagomål mail.docx", "A 52381-2024")</f>
        <v/>
      </c>
      <c r="X13">
        <f>HYPERLINK("https://klasma.github.io/Logging_1446/tillsyn/A 52381-2024 tillsynsbegäran.docx", "A 52381-2024")</f>
        <v/>
      </c>
      <c r="Y13">
        <f>HYPERLINK("https://klasma.github.io/Logging_1446/tillsynsmail/A 52381-2024 tillsynsbegäran mail.docx", "A 52381-2024")</f>
        <v/>
      </c>
      <c r="Z13">
        <f>HYPERLINK("https://klasma.github.io/Logging_1446/fåglar/A 52381-2024 prioriterade fågelarter.docx", "A 52381-2024")</f>
        <v/>
      </c>
    </row>
    <row r="14" ht="15" customHeight="1">
      <c r="A14" t="inlineStr">
        <is>
          <t>A 43626-2023</t>
        </is>
      </c>
      <c r="B14" s="1" t="n">
        <v>45184</v>
      </c>
      <c r="C14" s="1" t="n">
        <v>46193</v>
      </c>
      <c r="D14" t="inlineStr">
        <is>
          <t>VÄSTRA GÖTALANDS LÄN</t>
        </is>
      </c>
      <c r="E14" t="inlineStr">
        <is>
          <t>KARLSBORG</t>
        </is>
      </c>
      <c r="G14" t="n">
        <v>0.7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Dropptaggsvamp
Tallfingersvamp</t>
        </is>
      </c>
      <c r="S14">
        <f>HYPERLINK("https://klasma.github.io/Logging_1446/artfynd/A 43626-2023 artfynd.xlsx", "A 43626-2023")</f>
        <v/>
      </c>
      <c r="T14">
        <f>HYPERLINK("https://klasma.github.io/Logging_1446/kartor/A 43626-2023 karta.png", "A 43626-2023")</f>
        <v/>
      </c>
      <c r="V14">
        <f>HYPERLINK("https://klasma.github.io/Logging_1446/klagomål/A 43626-2023 FSC-klagomål.docx", "A 43626-2023")</f>
        <v/>
      </c>
      <c r="W14">
        <f>HYPERLINK("https://klasma.github.io/Logging_1446/klagomålsmail/A 43626-2023 FSC-klagomål mail.docx", "A 43626-2023")</f>
        <v/>
      </c>
      <c r="X14">
        <f>HYPERLINK("https://klasma.github.io/Logging_1446/tillsyn/A 43626-2023 tillsynsbegäran.docx", "A 43626-2023")</f>
        <v/>
      </c>
      <c r="Y14">
        <f>HYPERLINK("https://klasma.github.io/Logging_1446/tillsynsmail/A 43626-2023 tillsynsbegäran mail.docx", "A 43626-2023")</f>
        <v/>
      </c>
    </row>
    <row r="15" ht="15" customHeight="1">
      <c r="A15" t="inlineStr">
        <is>
          <t>A 23268-2022</t>
        </is>
      </c>
      <c r="B15" s="1" t="n">
        <v>44720</v>
      </c>
      <c r="C15" s="1" t="n">
        <v>46193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HYPERLINK("https://klasma.github.io/Logging_1446/artfynd/A 23268-2022 artfynd.xlsx", "A 23268-2022")</f>
        <v/>
      </c>
      <c r="T15">
        <f>HYPERLINK("https://klasma.github.io/Logging_1446/kartor/A 23268-2022 karta.png", "A 23268-2022")</f>
        <v/>
      </c>
      <c r="V15">
        <f>HYPERLINK("https://klasma.github.io/Logging_1446/klagomål/A 23268-2022 FSC-klagomål.docx", "A 23268-2022")</f>
        <v/>
      </c>
      <c r="W15">
        <f>HYPERLINK("https://klasma.github.io/Logging_1446/klagomålsmail/A 23268-2022 FSC-klagomål mail.docx", "A 23268-2022")</f>
        <v/>
      </c>
      <c r="X15">
        <f>HYPERLINK("https://klasma.github.io/Logging_1446/tillsyn/A 23268-2022 tillsynsbegäran.docx", "A 23268-2022")</f>
        <v/>
      </c>
      <c r="Y15">
        <f>HYPERLINK("https://klasma.github.io/Logging_1446/tillsynsmail/A 23268-2022 tillsynsbegäran mail.docx", "A 23268-2022")</f>
        <v/>
      </c>
    </row>
    <row r="16" ht="15" customHeight="1">
      <c r="A16" t="inlineStr">
        <is>
          <t>A 23973-2023</t>
        </is>
      </c>
      <c r="B16" s="1" t="n">
        <v>45075</v>
      </c>
      <c r="C16" s="1" t="n">
        <v>46193</v>
      </c>
      <c r="D16" t="inlineStr">
        <is>
          <t>VÄSTRA GÖTALANDS LÄN</t>
        </is>
      </c>
      <c r="E16" t="inlineStr">
        <is>
          <t>KARLSBORG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HYPERLINK("https://klasma.github.io/Logging_1446/artfynd/A 23973-2023 artfynd.xlsx", "A 23973-2023")</f>
        <v/>
      </c>
      <c r="T16">
        <f>HYPERLINK("https://klasma.github.io/Logging_1446/kartor/A 23973-2023 karta.png", "A 23973-2023")</f>
        <v/>
      </c>
      <c r="V16">
        <f>HYPERLINK("https://klasma.github.io/Logging_1446/klagomål/A 23973-2023 FSC-klagomål.docx", "A 23973-2023")</f>
        <v/>
      </c>
      <c r="W16">
        <f>HYPERLINK("https://klasma.github.io/Logging_1446/klagomålsmail/A 23973-2023 FSC-klagomål mail.docx", "A 23973-2023")</f>
        <v/>
      </c>
      <c r="X16">
        <f>HYPERLINK("https://klasma.github.io/Logging_1446/tillsyn/A 23973-2023 tillsynsbegäran.docx", "A 23973-2023")</f>
        <v/>
      </c>
      <c r="Y16">
        <f>HYPERLINK("https://klasma.github.io/Logging_1446/tillsynsmail/A 23973-2023 tillsynsbegäran mail.docx", "A 23973-2023")</f>
        <v/>
      </c>
      <c r="Z16">
        <f>HYPERLINK("https://klasma.github.io/Logging_1446/fåglar/A 23973-2023 prioriterade fågelarter.docx", "A 23973-2023")</f>
        <v/>
      </c>
    </row>
    <row r="17" ht="15" customHeight="1">
      <c r="A17" t="inlineStr">
        <is>
          <t>A 8984-2025</t>
        </is>
      </c>
      <c r="B17" s="1" t="n">
        <v>45713</v>
      </c>
      <c r="C17" s="1" t="n">
        <v>46193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Övriga Aktiebolag</t>
        </is>
      </c>
      <c r="G17" t="n">
        <v>9.5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HYPERLINK("https://klasma.github.io/Logging_1446/artfynd/A 8984-2025 artfynd.xlsx", "A 8984-2025")</f>
        <v/>
      </c>
      <c r="T17">
        <f>HYPERLINK("https://klasma.github.io/Logging_1446/kartor/A 8984-2025 karta.png", "A 8984-2025")</f>
        <v/>
      </c>
      <c r="V17">
        <f>HYPERLINK("https://klasma.github.io/Logging_1446/klagomål/A 8984-2025 FSC-klagomål.docx", "A 8984-2025")</f>
        <v/>
      </c>
      <c r="W17">
        <f>HYPERLINK("https://klasma.github.io/Logging_1446/klagomålsmail/A 8984-2025 FSC-klagomål mail.docx", "A 8984-2025")</f>
        <v/>
      </c>
      <c r="X17">
        <f>HYPERLINK("https://klasma.github.io/Logging_1446/tillsyn/A 8984-2025 tillsynsbegäran.docx", "A 8984-2025")</f>
        <v/>
      </c>
      <c r="Y17">
        <f>HYPERLINK("https://klasma.github.io/Logging_1446/tillsynsmail/A 8984-2025 tillsynsbegäran mail.docx", "A 8984-2025")</f>
        <v/>
      </c>
      <c r="Z17">
        <f>HYPERLINK("https://klasma.github.io/Logging_1446/fåglar/A 8984-2025 prioriterade fågelarter.docx", "A 8984-2025")</f>
        <v/>
      </c>
    </row>
    <row r="18" ht="15" customHeight="1">
      <c r="A18" t="inlineStr">
        <is>
          <t>A 28315-2025</t>
        </is>
      </c>
      <c r="B18" s="1" t="n">
        <v>45818</v>
      </c>
      <c r="C18" s="1" t="n">
        <v>46193</v>
      </c>
      <c r="D18" t="inlineStr">
        <is>
          <t>VÄSTRA GÖTALANDS LÄN</t>
        </is>
      </c>
      <c r="E18" t="inlineStr">
        <is>
          <t>KARLSBORG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Rostfläck</t>
        </is>
      </c>
      <c r="S18">
        <f>HYPERLINK("https://klasma.github.io/Logging_1446/artfynd/A 28315-2025 artfynd.xlsx", "A 28315-2025")</f>
        <v/>
      </c>
      <c r="T18">
        <f>HYPERLINK("https://klasma.github.io/Logging_1446/kartor/A 28315-2025 karta.png", "A 28315-2025")</f>
        <v/>
      </c>
      <c r="V18">
        <f>HYPERLINK("https://klasma.github.io/Logging_1446/klagomål/A 28315-2025 FSC-klagomål.docx", "A 28315-2025")</f>
        <v/>
      </c>
      <c r="W18">
        <f>HYPERLINK("https://klasma.github.io/Logging_1446/klagomålsmail/A 28315-2025 FSC-klagomål mail.docx", "A 28315-2025")</f>
        <v/>
      </c>
      <c r="X18">
        <f>HYPERLINK("https://klasma.github.io/Logging_1446/tillsyn/A 28315-2025 tillsynsbegäran.docx", "A 28315-2025")</f>
        <v/>
      </c>
      <c r="Y18">
        <f>HYPERLINK("https://klasma.github.io/Logging_1446/tillsynsmail/A 28315-2025 tillsynsbegäran mail.docx", "A 28315-2025")</f>
        <v/>
      </c>
    </row>
    <row r="19" ht="15" customHeight="1">
      <c r="A19" t="inlineStr">
        <is>
          <t>A 59712-2021</t>
        </is>
      </c>
      <c r="B19" s="1" t="n">
        <v>44494</v>
      </c>
      <c r="C19" s="1" t="n">
        <v>46193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Sveaskog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HYPERLINK("https://klasma.github.io/Logging_1446/artfynd/A 59712-2021 artfynd.xlsx", "A 59712-2021")</f>
        <v/>
      </c>
      <c r="T19">
        <f>HYPERLINK("https://klasma.github.io/Logging_1446/kartor/A 59712-2021 karta.png", "A 59712-2021")</f>
        <v/>
      </c>
      <c r="V19">
        <f>HYPERLINK("https://klasma.github.io/Logging_1446/klagomål/A 59712-2021 FSC-klagomål.docx", "A 59712-2021")</f>
        <v/>
      </c>
      <c r="W19">
        <f>HYPERLINK("https://klasma.github.io/Logging_1446/klagomålsmail/A 59712-2021 FSC-klagomål mail.docx", "A 59712-2021")</f>
        <v/>
      </c>
      <c r="X19">
        <f>HYPERLINK("https://klasma.github.io/Logging_1446/tillsyn/A 59712-2021 tillsynsbegäran.docx", "A 59712-2021")</f>
        <v/>
      </c>
      <c r="Y19">
        <f>HYPERLINK("https://klasma.github.io/Logging_1446/tillsynsmail/A 59712-2021 tillsynsbegäran mail.docx", "A 59712-2021")</f>
        <v/>
      </c>
    </row>
    <row r="20" ht="15" customHeight="1">
      <c r="A20" t="inlineStr">
        <is>
          <t>A 9337-2025</t>
        </is>
      </c>
      <c r="B20" s="1" t="n">
        <v>45714</v>
      </c>
      <c r="C20" s="1" t="n">
        <v>46193</v>
      </c>
      <c r="D20" t="inlineStr">
        <is>
          <t>VÄSTRA GÖTALANDS LÄN</t>
        </is>
      </c>
      <c r="E20" t="inlineStr">
        <is>
          <t>KARLSBORG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HYPERLINK("https://klasma.github.io/Logging_1446/artfynd/A 9337-2025 artfynd.xlsx", "A 9337-2025")</f>
        <v/>
      </c>
      <c r="T20">
        <f>HYPERLINK("https://klasma.github.io/Logging_1446/kartor/A 9337-2025 karta.png", "A 9337-2025")</f>
        <v/>
      </c>
      <c r="V20">
        <f>HYPERLINK("https://klasma.github.io/Logging_1446/klagomål/A 9337-2025 FSC-klagomål.docx", "A 9337-2025")</f>
        <v/>
      </c>
      <c r="W20">
        <f>HYPERLINK("https://klasma.github.io/Logging_1446/klagomålsmail/A 9337-2025 FSC-klagomål mail.docx", "A 9337-2025")</f>
        <v/>
      </c>
      <c r="X20">
        <f>HYPERLINK("https://klasma.github.io/Logging_1446/tillsyn/A 9337-2025 tillsynsbegäran.docx", "A 9337-2025")</f>
        <v/>
      </c>
      <c r="Y20">
        <f>HYPERLINK("https://klasma.github.io/Logging_1446/tillsynsmail/A 9337-2025 tillsynsbegäran mail.docx", "A 9337-2025")</f>
        <v/>
      </c>
    </row>
    <row r="21" ht="15" customHeight="1">
      <c r="A21" t="inlineStr">
        <is>
          <t>A 51531-2023</t>
        </is>
      </c>
      <c r="B21" s="1" t="n">
        <v>45222</v>
      </c>
      <c r="C21" s="1" t="n">
        <v>46193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Kommuner</t>
        </is>
      </c>
      <c r="G21" t="n">
        <v>11.2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HYPERLINK("https://klasma.github.io/Logging_1446/artfynd/A 51531-2023 artfynd.xlsx", "A 51531-2023")</f>
        <v/>
      </c>
      <c r="T21">
        <f>HYPERLINK("https://klasma.github.io/Logging_1446/kartor/A 51531-2023 karta.png", "A 51531-2023")</f>
        <v/>
      </c>
      <c r="V21">
        <f>HYPERLINK("https://klasma.github.io/Logging_1446/klagomål/A 51531-2023 FSC-klagomål.docx", "A 51531-2023")</f>
        <v/>
      </c>
      <c r="W21">
        <f>HYPERLINK("https://klasma.github.io/Logging_1446/klagomålsmail/A 51531-2023 FSC-klagomål mail.docx", "A 51531-2023")</f>
        <v/>
      </c>
      <c r="X21">
        <f>HYPERLINK("https://klasma.github.io/Logging_1446/tillsyn/A 51531-2023 tillsynsbegäran.docx", "A 51531-2023")</f>
        <v/>
      </c>
      <c r="Y21">
        <f>HYPERLINK("https://klasma.github.io/Logging_1446/tillsynsmail/A 51531-2023 tillsynsbegäran mail.docx", "A 51531-2023")</f>
        <v/>
      </c>
    </row>
    <row r="22" ht="15" customHeight="1">
      <c r="A22" t="inlineStr">
        <is>
          <t>A 38103-2023</t>
        </is>
      </c>
      <c r="B22" s="1" t="n">
        <v>45161</v>
      </c>
      <c r="C22" s="1" t="n">
        <v>46193</v>
      </c>
      <c r="D22" t="inlineStr">
        <is>
          <t>VÄSTRA GÖTALANDS LÄN</t>
        </is>
      </c>
      <c r="E22" t="inlineStr">
        <is>
          <t>KARLSBORG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 (aggregat)</t>
        </is>
      </c>
      <c r="S22">
        <f>HYPERLINK("https://klasma.github.io/Logging_1446/artfynd/A 38103-2023 artfynd.xlsx", "A 38103-2023")</f>
        <v/>
      </c>
      <c r="T22">
        <f>HYPERLINK("https://klasma.github.io/Logging_1446/kartor/A 38103-2023 karta.png", "A 38103-2023")</f>
        <v/>
      </c>
      <c r="V22">
        <f>HYPERLINK("https://klasma.github.io/Logging_1446/klagomål/A 38103-2023 FSC-klagomål.docx", "A 38103-2023")</f>
        <v/>
      </c>
      <c r="W22">
        <f>HYPERLINK("https://klasma.github.io/Logging_1446/klagomålsmail/A 38103-2023 FSC-klagomål mail.docx", "A 38103-2023")</f>
        <v/>
      </c>
      <c r="X22">
        <f>HYPERLINK("https://klasma.github.io/Logging_1446/tillsyn/A 38103-2023 tillsynsbegäran.docx", "A 38103-2023")</f>
        <v/>
      </c>
      <c r="Y22">
        <f>HYPERLINK("https://klasma.github.io/Logging_1446/tillsynsmail/A 38103-2023 tillsynsbegäran mail.docx", "A 38103-2023")</f>
        <v/>
      </c>
    </row>
    <row r="23" ht="15" customHeight="1">
      <c r="A23" t="inlineStr">
        <is>
          <t>A 4448-2026</t>
        </is>
      </c>
      <c r="B23" s="1" t="n">
        <v>46045</v>
      </c>
      <c r="C23" s="1" t="n">
        <v>46193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HYPERLINK("https://klasma.github.io/Logging_1446/artfynd/A 4448-2026 artfynd.xlsx", "A 4448-2026")</f>
        <v/>
      </c>
      <c r="T23">
        <f>HYPERLINK("https://klasma.github.io/Logging_1446/kartor/A 4448-2026 karta.png", "A 4448-2026")</f>
        <v/>
      </c>
      <c r="V23">
        <f>HYPERLINK("https://klasma.github.io/Logging_1446/klagomål/A 4448-2026 FSC-klagomål.docx", "A 4448-2026")</f>
        <v/>
      </c>
      <c r="W23">
        <f>HYPERLINK("https://klasma.github.io/Logging_1446/klagomålsmail/A 4448-2026 FSC-klagomål mail.docx", "A 4448-2026")</f>
        <v/>
      </c>
      <c r="X23">
        <f>HYPERLINK("https://klasma.github.io/Logging_1446/tillsyn/A 4448-2026 tillsynsbegäran.docx", "A 4448-2026")</f>
        <v/>
      </c>
      <c r="Y23">
        <f>HYPERLINK("https://klasma.github.io/Logging_1446/tillsynsmail/A 4448-2026 tillsynsbegäran mail.docx", "A 4448-2026")</f>
        <v/>
      </c>
    </row>
    <row r="24" ht="15" customHeight="1">
      <c r="A24" t="inlineStr">
        <is>
          <t>A 18567-2026</t>
        </is>
      </c>
      <c r="B24" s="1" t="n">
        <v>46127</v>
      </c>
      <c r="C24" s="1" t="n">
        <v>46193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HYPERLINK("https://klasma.github.io/Logging_1446/artfynd/A 18567-2026 artfynd.xlsx", "A 18567-2026")</f>
        <v/>
      </c>
      <c r="T24">
        <f>HYPERLINK("https://klasma.github.io/Logging_1446/kartor/A 18567-2026 karta.png", "A 18567-2026")</f>
        <v/>
      </c>
      <c r="V24">
        <f>HYPERLINK("https://klasma.github.io/Logging_1446/klagomål/A 18567-2026 FSC-klagomål.docx", "A 18567-2026")</f>
        <v/>
      </c>
      <c r="W24">
        <f>HYPERLINK("https://klasma.github.io/Logging_1446/klagomålsmail/A 18567-2026 FSC-klagomål mail.docx", "A 18567-2026")</f>
        <v/>
      </c>
      <c r="X24">
        <f>HYPERLINK("https://klasma.github.io/Logging_1446/tillsyn/A 18567-2026 tillsynsbegäran.docx", "A 18567-2026")</f>
        <v/>
      </c>
      <c r="Y24">
        <f>HYPERLINK("https://klasma.github.io/Logging_1446/tillsynsmail/A 18567-2026 tillsynsbegäran mail.docx", "A 18567-2026")</f>
        <v/>
      </c>
    </row>
    <row r="25" ht="15" customHeight="1">
      <c r="A25" t="inlineStr">
        <is>
          <t>A 29484-2025</t>
        </is>
      </c>
      <c r="B25" s="1" t="n">
        <v>45824</v>
      </c>
      <c r="C25" s="1" t="n">
        <v>46193</v>
      </c>
      <c r="D25" t="inlineStr">
        <is>
          <t>VÄSTRA GÖTALANDS LÄN</t>
        </is>
      </c>
      <c r="E25" t="inlineStr">
        <is>
          <t>KARLSBORG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HYPERLINK("https://klasma.github.io/Logging_1446/artfynd/A 29484-2025 artfynd.xlsx", "A 29484-2025")</f>
        <v/>
      </c>
      <c r="T25">
        <f>HYPERLINK("https://klasma.github.io/Logging_1446/kartor/A 29484-2025 karta.png", "A 29484-2025")</f>
        <v/>
      </c>
      <c r="V25">
        <f>HYPERLINK("https://klasma.github.io/Logging_1446/klagomål/A 29484-2025 FSC-klagomål.docx", "A 29484-2025")</f>
        <v/>
      </c>
      <c r="W25">
        <f>HYPERLINK("https://klasma.github.io/Logging_1446/klagomålsmail/A 29484-2025 FSC-klagomål mail.docx", "A 29484-2025")</f>
        <v/>
      </c>
      <c r="X25">
        <f>HYPERLINK("https://klasma.github.io/Logging_1446/tillsyn/A 29484-2025 tillsynsbegäran.docx", "A 29484-2025")</f>
        <v/>
      </c>
      <c r="Y25">
        <f>HYPERLINK("https://klasma.github.io/Logging_1446/tillsynsmail/A 29484-2025 tillsynsbegäran mail.docx", "A 29484-2025")</f>
        <v/>
      </c>
    </row>
    <row r="26" ht="15" customHeight="1">
      <c r="A26" t="inlineStr">
        <is>
          <t>A 3290-2022</t>
        </is>
      </c>
      <c r="B26" s="1" t="n">
        <v>44584</v>
      </c>
      <c r="C26" s="1" t="n">
        <v>46193</v>
      </c>
      <c r="D26" t="inlineStr">
        <is>
          <t>VÄSTRA GÖTALANDS LÄN</t>
        </is>
      </c>
      <c r="E26" t="inlineStr">
        <is>
          <t>KARLSBORG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70450-2021</t>
        </is>
      </c>
      <c r="B27" s="1" t="n">
        <v>44536</v>
      </c>
      <c r="C27" s="1" t="n">
        <v>46193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Övriga Aktiebolag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66556-2021</t>
        </is>
      </c>
      <c r="B28" s="1" t="n">
        <v>44519</v>
      </c>
      <c r="C28" s="1" t="n">
        <v>46193</v>
      </c>
      <c r="D28" t="inlineStr">
        <is>
          <t>VÄSTRA GÖTALANDS LÄN</t>
        </is>
      </c>
      <c r="E28" t="inlineStr">
        <is>
          <t>KARLSBORG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70939-2021</t>
        </is>
      </c>
      <c r="B29" s="1" t="n">
        <v>44538</v>
      </c>
      <c r="C29" s="1" t="n">
        <v>46193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61223-2021</t>
        </is>
      </c>
      <c r="B30" s="1" t="n">
        <v>44496</v>
      </c>
      <c r="C30" s="1" t="n">
        <v>46193</v>
      </c>
      <c r="D30" t="inlineStr">
        <is>
          <t>VÄSTRA GÖTALANDS LÄN</t>
        </is>
      </c>
      <c r="E30" t="inlineStr">
        <is>
          <t>KARLSBORG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33114-2022</t>
        </is>
      </c>
      <c r="B31" s="1" t="n">
        <v>44785</v>
      </c>
      <c r="C31" s="1" t="n">
        <v>46193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47692-2021</t>
        </is>
      </c>
      <c r="B32" s="1" t="n">
        <v>44448</v>
      </c>
      <c r="C32" s="1" t="n">
        <v>46193</v>
      </c>
      <c r="D32" t="inlineStr">
        <is>
          <t>VÄSTRA GÖTALANDS LÄN</t>
        </is>
      </c>
      <c r="E32" t="inlineStr">
        <is>
          <t>KARLSBORG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53700-2021</t>
        </is>
      </c>
      <c r="B33" s="1" t="n">
        <v>44469</v>
      </c>
      <c r="C33" s="1" t="n">
        <v>46193</v>
      </c>
      <c r="D33" t="inlineStr">
        <is>
          <t>VÄSTRA GÖTALANDS LÄN</t>
        </is>
      </c>
      <c r="E33" t="inlineStr">
        <is>
          <t>KARLSBORG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42501-2021</t>
        </is>
      </c>
      <c r="B34" s="1" t="n">
        <v>44427</v>
      </c>
      <c r="C34" s="1" t="n">
        <v>46193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18625-2022</t>
        </is>
      </c>
      <c r="B35" s="1" t="n">
        <v>44687</v>
      </c>
      <c r="C35" s="1" t="n">
        <v>46193</v>
      </c>
      <c r="D35" t="inlineStr">
        <is>
          <t>VÄSTRA GÖTALANDS LÄN</t>
        </is>
      </c>
      <c r="E35" t="inlineStr">
        <is>
          <t>KARLSBORG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41954-2021</t>
        </is>
      </c>
      <c r="B36" s="1" t="n">
        <v>44426</v>
      </c>
      <c r="C36" s="1" t="n">
        <v>46193</v>
      </c>
      <c r="D36" t="inlineStr">
        <is>
          <t>VÄSTRA GÖTALANDS LÄN</t>
        </is>
      </c>
      <c r="E36" t="inlineStr">
        <is>
          <t>KARLSBORG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33117-2022</t>
        </is>
      </c>
      <c r="B37" s="1" t="n">
        <v>44785</v>
      </c>
      <c r="C37" s="1" t="n">
        <v>46193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65313-2021</t>
        </is>
      </c>
      <c r="B38" s="1" t="n">
        <v>44515</v>
      </c>
      <c r="C38" s="1" t="n">
        <v>46193</v>
      </c>
      <c r="D38" t="inlineStr">
        <is>
          <t>VÄSTRA GÖTALANDS LÄN</t>
        </is>
      </c>
      <c r="E38" t="inlineStr">
        <is>
          <t>KARLSBORG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34673-2022</t>
        </is>
      </c>
      <c r="B39" s="1" t="n">
        <v>44795</v>
      </c>
      <c r="C39" s="1" t="n">
        <v>46193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41684-2023</t>
        </is>
      </c>
      <c r="B40" s="1" t="n">
        <v>45176</v>
      </c>
      <c r="C40" s="1" t="n">
        <v>46193</v>
      </c>
      <c r="D40" t="inlineStr">
        <is>
          <t>VÄSTRA GÖTALANDS LÄN</t>
        </is>
      </c>
      <c r="E40" t="inlineStr">
        <is>
          <t>KARLSBORG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2100-2023</t>
        </is>
      </c>
      <c r="B41" s="1" t="n">
        <v>44939</v>
      </c>
      <c r="C41" s="1" t="n">
        <v>46193</v>
      </c>
      <c r="D41" t="inlineStr">
        <is>
          <t>VÄSTRA GÖTALANDS LÄN</t>
        </is>
      </c>
      <c r="E41" t="inlineStr">
        <is>
          <t>KARLSBORG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38995-2024</t>
        </is>
      </c>
      <c r="B42" s="1" t="n">
        <v>45548</v>
      </c>
      <c r="C42" s="1" t="n">
        <v>46193</v>
      </c>
      <c r="D42" t="inlineStr">
        <is>
          <t>VÄSTRA GÖTALANDS LÄN</t>
        </is>
      </c>
      <c r="E42" t="inlineStr">
        <is>
          <t>KARLSBORG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58129-2024</t>
        </is>
      </c>
      <c r="B43" s="1" t="n">
        <v>45632</v>
      </c>
      <c r="C43" s="1" t="n">
        <v>46193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25697-2023</t>
        </is>
      </c>
      <c r="B44" s="1" t="n">
        <v>45089</v>
      </c>
      <c r="C44" s="1" t="n">
        <v>46193</v>
      </c>
      <c r="D44" t="inlineStr">
        <is>
          <t>VÄSTRA GÖTALANDS LÄN</t>
        </is>
      </c>
      <c r="E44" t="inlineStr">
        <is>
          <t>KARLSBORG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70949-2021</t>
        </is>
      </c>
      <c r="B45" s="1" t="n">
        <v>44538</v>
      </c>
      <c r="C45" s="1" t="n">
        <v>46193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26017-2023</t>
        </is>
      </c>
      <c r="B46" s="1" t="n">
        <v>45090</v>
      </c>
      <c r="C46" s="1" t="n">
        <v>46193</v>
      </c>
      <c r="D46" t="inlineStr">
        <is>
          <t>VÄSTRA GÖTALANDS LÄN</t>
        </is>
      </c>
      <c r="E46" t="inlineStr">
        <is>
          <t>KARLSBORG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61211-2022</t>
        </is>
      </c>
      <c r="B47" s="1" t="n">
        <v>44908</v>
      </c>
      <c r="C47" s="1" t="n">
        <v>46193</v>
      </c>
      <c r="D47" t="inlineStr">
        <is>
          <t>VÄSTRA GÖTALANDS LÄN</t>
        </is>
      </c>
      <c r="E47" t="inlineStr">
        <is>
          <t>KARLSBORG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6068-2022</t>
        </is>
      </c>
      <c r="B48" s="1" t="n">
        <v>44599</v>
      </c>
      <c r="C48" s="1" t="n">
        <v>46193</v>
      </c>
      <c r="D48" t="inlineStr">
        <is>
          <t>VÄSTRA GÖTALANDS LÄN</t>
        </is>
      </c>
      <c r="E48" t="inlineStr">
        <is>
          <t>KARLSBORG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48175-2024</t>
        </is>
      </c>
      <c r="B49" s="1" t="n">
        <v>45589</v>
      </c>
      <c r="C49" s="1" t="n">
        <v>46193</v>
      </c>
      <c r="D49" t="inlineStr">
        <is>
          <t>VÄSTRA GÖTALANDS LÄN</t>
        </is>
      </c>
      <c r="E49" t="inlineStr">
        <is>
          <t>KARLSBORG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18623-2022</t>
        </is>
      </c>
      <c r="B50" s="1" t="n">
        <v>44687</v>
      </c>
      <c r="C50" s="1" t="n">
        <v>46193</v>
      </c>
      <c r="D50" t="inlineStr">
        <is>
          <t>VÄSTRA GÖTALANDS LÄN</t>
        </is>
      </c>
      <c r="E50" t="inlineStr">
        <is>
          <t>KARLSBORG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59399-2022</t>
        </is>
      </c>
      <c r="B51" s="1" t="n">
        <v>44906</v>
      </c>
      <c r="C51" s="1" t="n">
        <v>46193</v>
      </c>
      <c r="D51" t="inlineStr">
        <is>
          <t>VÄSTRA GÖTALANDS LÄN</t>
        </is>
      </c>
      <c r="E51" t="inlineStr">
        <is>
          <t>KARLSBORG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14703-2025</t>
        </is>
      </c>
      <c r="B52" s="1" t="n">
        <v>45742</v>
      </c>
      <c r="C52" s="1" t="n">
        <v>46193</v>
      </c>
      <c r="D52" t="inlineStr">
        <is>
          <t>VÄSTRA GÖTALANDS LÄN</t>
        </is>
      </c>
      <c r="E52" t="inlineStr">
        <is>
          <t>KARLSBORG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34676-2022</t>
        </is>
      </c>
      <c r="B53" s="1" t="n">
        <v>44795</v>
      </c>
      <c r="C53" s="1" t="n">
        <v>46193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5439-2022</t>
        </is>
      </c>
      <c r="B54" s="1" t="n">
        <v>44595</v>
      </c>
      <c r="C54" s="1" t="n">
        <v>46193</v>
      </c>
      <c r="D54" t="inlineStr">
        <is>
          <t>VÄSTRA GÖTALANDS LÄN</t>
        </is>
      </c>
      <c r="E54" t="inlineStr">
        <is>
          <t>KARLSBORG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37363-2022</t>
        </is>
      </c>
      <c r="B55" s="1" t="n">
        <v>44809</v>
      </c>
      <c r="C55" s="1" t="n">
        <v>46193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7652-2023</t>
        </is>
      </c>
      <c r="B56" s="1" t="n">
        <v>44972</v>
      </c>
      <c r="C56" s="1" t="n">
        <v>46193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42757-2024</t>
        </is>
      </c>
      <c r="B57" s="1" t="n">
        <v>45566</v>
      </c>
      <c r="C57" s="1" t="n">
        <v>46193</v>
      </c>
      <c r="D57" t="inlineStr">
        <is>
          <t>VÄSTRA GÖTALANDS LÄN</t>
        </is>
      </c>
      <c r="E57" t="inlineStr">
        <is>
          <t>KARLSBORG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42598-2024</t>
        </is>
      </c>
      <c r="B58" s="1" t="n">
        <v>45565</v>
      </c>
      <c r="C58" s="1" t="n">
        <v>46193</v>
      </c>
      <c r="D58" t="inlineStr">
        <is>
          <t>VÄSTRA GÖTALANDS LÄN</t>
        </is>
      </c>
      <c r="E58" t="inlineStr">
        <is>
          <t>KARLSBORG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39285-2023</t>
        </is>
      </c>
      <c r="B59" s="1" t="n">
        <v>45166</v>
      </c>
      <c r="C59" s="1" t="n">
        <v>46193</v>
      </c>
      <c r="D59" t="inlineStr">
        <is>
          <t>VÄSTRA GÖTALANDS LÄN</t>
        </is>
      </c>
      <c r="E59" t="inlineStr">
        <is>
          <t>KARLSBORG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39287-2023</t>
        </is>
      </c>
      <c r="B60" s="1" t="n">
        <v>45166</v>
      </c>
      <c r="C60" s="1" t="n">
        <v>46193</v>
      </c>
      <c r="D60" t="inlineStr">
        <is>
          <t>VÄSTRA GÖTALANDS LÄN</t>
        </is>
      </c>
      <c r="E60" t="inlineStr">
        <is>
          <t>KARLSBORG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13076-2023</t>
        </is>
      </c>
      <c r="B61" s="1" t="n">
        <v>45002</v>
      </c>
      <c r="C61" s="1" t="n">
        <v>46193</v>
      </c>
      <c r="D61" t="inlineStr">
        <is>
          <t>VÄSTRA GÖTALANDS LÄN</t>
        </is>
      </c>
      <c r="E61" t="inlineStr">
        <is>
          <t>KARLSBORG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32737-2021</t>
        </is>
      </c>
      <c r="B62" s="1" t="n">
        <v>44375</v>
      </c>
      <c r="C62" s="1" t="n">
        <v>46193</v>
      </c>
      <c r="D62" t="inlineStr">
        <is>
          <t>VÄSTRA GÖTALANDS LÄN</t>
        </is>
      </c>
      <c r="E62" t="inlineStr">
        <is>
          <t>KARLSBORG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1454-2023</t>
        </is>
      </c>
      <c r="B63" s="1" t="n">
        <v>44937</v>
      </c>
      <c r="C63" s="1" t="n">
        <v>46193</v>
      </c>
      <c r="D63" t="inlineStr">
        <is>
          <t>VÄSTRA GÖTALANDS LÄN</t>
        </is>
      </c>
      <c r="E63" t="inlineStr">
        <is>
          <t>KARLSBORG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42724-2024</t>
        </is>
      </c>
      <c r="B64" s="1" t="n">
        <v>45566</v>
      </c>
      <c r="C64" s="1" t="n">
        <v>46193</v>
      </c>
      <c r="D64" t="inlineStr">
        <is>
          <t>VÄSTRA GÖTALANDS LÄN</t>
        </is>
      </c>
      <c r="E64" t="inlineStr">
        <is>
          <t>KARLSBORG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25999-2023</t>
        </is>
      </c>
      <c r="B65" s="1" t="n">
        <v>45090</v>
      </c>
      <c r="C65" s="1" t="n">
        <v>46193</v>
      </c>
      <c r="D65" t="inlineStr">
        <is>
          <t>VÄSTRA GÖTALANDS LÄN</t>
        </is>
      </c>
      <c r="E65" t="inlineStr">
        <is>
          <t>KARLSBORG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14514-2024</t>
        </is>
      </c>
      <c r="B66" s="1" t="n">
        <v>45394</v>
      </c>
      <c r="C66" s="1" t="n">
        <v>46193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34670-2022</t>
        </is>
      </c>
      <c r="B67" s="1" t="n">
        <v>44795</v>
      </c>
      <c r="C67" s="1" t="n">
        <v>46193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44985-2024</t>
        </is>
      </c>
      <c r="B68" s="1" t="n">
        <v>45575</v>
      </c>
      <c r="C68" s="1" t="n">
        <v>46193</v>
      </c>
      <c r="D68" t="inlineStr">
        <is>
          <t>VÄSTRA GÖTALANDS LÄN</t>
        </is>
      </c>
      <c r="E68" t="inlineStr">
        <is>
          <t>KARLSBORG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58127-2024</t>
        </is>
      </c>
      <c r="B69" s="1" t="n">
        <v>45632</v>
      </c>
      <c r="C69" s="1" t="n">
        <v>46193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26016-2023</t>
        </is>
      </c>
      <c r="B70" s="1" t="n">
        <v>45090</v>
      </c>
      <c r="C70" s="1" t="n">
        <v>46193</v>
      </c>
      <c r="D70" t="inlineStr">
        <is>
          <t>VÄSTRA GÖTALANDS LÄN</t>
        </is>
      </c>
      <c r="E70" t="inlineStr">
        <is>
          <t>KARLSBORG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59883-2021</t>
        </is>
      </c>
      <c r="B71" s="1" t="n">
        <v>44494</v>
      </c>
      <c r="C71" s="1" t="n">
        <v>46193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Övriga statliga verk och myndigheter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55831-2021</t>
        </is>
      </c>
      <c r="B72" s="1" t="n">
        <v>44476</v>
      </c>
      <c r="C72" s="1" t="n">
        <v>46193</v>
      </c>
      <c r="D72" t="inlineStr">
        <is>
          <t>VÄSTRA GÖTALANDS LÄN</t>
        </is>
      </c>
      <c r="E72" t="inlineStr">
        <is>
          <t>KARLSBORG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59401-2022</t>
        </is>
      </c>
      <c r="B73" s="1" t="n">
        <v>44906</v>
      </c>
      <c r="C73" s="1" t="n">
        <v>46193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48888-2023</t>
        </is>
      </c>
      <c r="B74" s="1" t="n">
        <v>45209</v>
      </c>
      <c r="C74" s="1" t="n">
        <v>46193</v>
      </c>
      <c r="D74" t="inlineStr">
        <is>
          <t>VÄSTRA GÖTALANDS LÄN</t>
        </is>
      </c>
      <c r="E74" t="inlineStr">
        <is>
          <t>KARLSBORG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15220-2023</t>
        </is>
      </c>
      <c r="B75" s="1" t="n">
        <v>45019</v>
      </c>
      <c r="C75" s="1" t="n">
        <v>46193</v>
      </c>
      <c r="D75" t="inlineStr">
        <is>
          <t>VÄSTRA GÖTALANDS LÄN</t>
        </is>
      </c>
      <c r="E75" t="inlineStr">
        <is>
          <t>KARLSBORG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38290-2025</t>
        </is>
      </c>
      <c r="B76" s="1" t="n">
        <v>45883</v>
      </c>
      <c r="C76" s="1" t="n">
        <v>46193</v>
      </c>
      <c r="D76" t="inlineStr">
        <is>
          <t>VÄSTRA GÖTALANDS LÄN</t>
        </is>
      </c>
      <c r="E76" t="inlineStr">
        <is>
          <t>KARLSBORG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48174-2024</t>
        </is>
      </c>
      <c r="B77" s="1" t="n">
        <v>45589</v>
      </c>
      <c r="C77" s="1" t="n">
        <v>46193</v>
      </c>
      <c r="D77" t="inlineStr">
        <is>
          <t>VÄSTRA GÖTALANDS LÄN</t>
        </is>
      </c>
      <c r="E77" t="inlineStr">
        <is>
          <t>KARLSBORG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56541-2023</t>
        </is>
      </c>
      <c r="B78" s="1" t="n">
        <v>45243</v>
      </c>
      <c r="C78" s="1" t="n">
        <v>46193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Sveaskog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2796-2023</t>
        </is>
      </c>
      <c r="B79" s="1" t="n">
        <v>44944</v>
      </c>
      <c r="C79" s="1" t="n">
        <v>46193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34314-2024</t>
        </is>
      </c>
      <c r="B80" s="1" t="n">
        <v>45524</v>
      </c>
      <c r="C80" s="1" t="n">
        <v>46193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14522-2024</t>
        </is>
      </c>
      <c r="B81" s="1" t="n">
        <v>45394</v>
      </c>
      <c r="C81" s="1" t="n">
        <v>46193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43021-2021</t>
        </is>
      </c>
      <c r="B82" s="1" t="n">
        <v>44431</v>
      </c>
      <c r="C82" s="1" t="n">
        <v>46193</v>
      </c>
      <c r="D82" t="inlineStr">
        <is>
          <t>VÄSTRA GÖTALANDS LÄN</t>
        </is>
      </c>
      <c r="E82" t="inlineStr">
        <is>
          <t>KARLSBORG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22960-2025</t>
        </is>
      </c>
      <c r="B83" s="1" t="n">
        <v>45790</v>
      </c>
      <c r="C83" s="1" t="n">
        <v>46193</v>
      </c>
      <c r="D83" t="inlineStr">
        <is>
          <t>VÄSTRA GÖTALANDS LÄN</t>
        </is>
      </c>
      <c r="E83" t="inlineStr">
        <is>
          <t>KARLSBORG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57454-2024</t>
        </is>
      </c>
      <c r="B84" s="1" t="n">
        <v>45630</v>
      </c>
      <c r="C84" s="1" t="n">
        <v>46193</v>
      </c>
      <c r="D84" t="inlineStr">
        <is>
          <t>VÄSTRA GÖTALANDS LÄN</t>
        </is>
      </c>
      <c r="E84" t="inlineStr">
        <is>
          <t>KARLSBORG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412-2023</t>
        </is>
      </c>
      <c r="B85" s="1" t="n">
        <v>44929</v>
      </c>
      <c r="C85" s="1" t="n">
        <v>46193</v>
      </c>
      <c r="D85" t="inlineStr">
        <is>
          <t>VÄSTRA GÖTALANDS LÄN</t>
        </is>
      </c>
      <c r="E85" t="inlineStr">
        <is>
          <t>KARLSBORG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T85">
        <f>HYPERLINK("https://klasma.github.io/Logging_1446/kartor/A 412-2023 karta.png", "A 412-2023")</f>
        <v/>
      </c>
      <c r="V85">
        <f>HYPERLINK("https://klasma.github.io/Logging_1446/klagomål/A 412-2023 FSC-klagomål.docx", "A 412-2023")</f>
        <v/>
      </c>
      <c r="W85">
        <f>HYPERLINK("https://klasma.github.io/Logging_1446/klagomålsmail/A 412-2023 FSC-klagomål mail.docx", "A 412-2023")</f>
        <v/>
      </c>
      <c r="X85">
        <f>HYPERLINK("https://klasma.github.io/Logging_1446/tillsyn/A 412-2023 tillsynsbegäran.docx", "A 412-2023")</f>
        <v/>
      </c>
      <c r="Y85">
        <f>HYPERLINK("https://klasma.github.io/Logging_1446/tillsynsmail/A 412-2023 tillsynsbegäran mail.docx", "A 412-2023")</f>
        <v/>
      </c>
    </row>
    <row r="86" ht="15" customHeight="1">
      <c r="A86" t="inlineStr">
        <is>
          <t>A 53898-2023</t>
        </is>
      </c>
      <c r="B86" s="1" t="n">
        <v>45231</v>
      </c>
      <c r="C86" s="1" t="n">
        <v>46193</v>
      </c>
      <c r="D86" t="inlineStr">
        <is>
          <t>VÄSTRA GÖTALANDS LÄN</t>
        </is>
      </c>
      <c r="E86" t="inlineStr">
        <is>
          <t>KARLSBORG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8053-2023</t>
        </is>
      </c>
      <c r="B87" s="1" t="n">
        <v>44974</v>
      </c>
      <c r="C87" s="1" t="n">
        <v>46193</v>
      </c>
      <c r="D87" t="inlineStr">
        <is>
          <t>VÄSTRA GÖTALANDS LÄN</t>
        </is>
      </c>
      <c r="E87" t="inlineStr">
        <is>
          <t>KARLSBORG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10828-2024</t>
        </is>
      </c>
      <c r="B88" s="1" t="n">
        <v>45369</v>
      </c>
      <c r="C88" s="1" t="n">
        <v>46193</v>
      </c>
      <c r="D88" t="inlineStr">
        <is>
          <t>VÄSTRA GÖTALANDS LÄN</t>
        </is>
      </c>
      <c r="E88" t="inlineStr">
        <is>
          <t>KARLSBORG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8052-2023</t>
        </is>
      </c>
      <c r="B89" s="1" t="n">
        <v>44974</v>
      </c>
      <c r="C89" s="1" t="n">
        <v>46193</v>
      </c>
      <c r="D89" t="inlineStr">
        <is>
          <t>VÄSTRA GÖTALANDS LÄN</t>
        </is>
      </c>
      <c r="E89" t="inlineStr">
        <is>
          <t>KARLSBORG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58533-2023</t>
        </is>
      </c>
      <c r="B90" s="1" t="n">
        <v>45251</v>
      </c>
      <c r="C90" s="1" t="n">
        <v>46193</v>
      </c>
      <c r="D90" t="inlineStr">
        <is>
          <t>VÄSTRA GÖTALANDS LÄN</t>
        </is>
      </c>
      <c r="E90" t="inlineStr">
        <is>
          <t>KARLSBORG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53251-2024</t>
        </is>
      </c>
      <c r="B91" s="1" t="n">
        <v>45614</v>
      </c>
      <c r="C91" s="1" t="n">
        <v>46193</v>
      </c>
      <c r="D91" t="inlineStr">
        <is>
          <t>VÄSTRA GÖTALANDS LÄN</t>
        </is>
      </c>
      <c r="E91" t="inlineStr">
        <is>
          <t>KARLSBORG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26914-2024</t>
        </is>
      </c>
      <c r="B92" s="1" t="n">
        <v>45470</v>
      </c>
      <c r="C92" s="1" t="n">
        <v>46193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48884-2023</t>
        </is>
      </c>
      <c r="B93" s="1" t="n">
        <v>45209</v>
      </c>
      <c r="C93" s="1" t="n">
        <v>46193</v>
      </c>
      <c r="D93" t="inlineStr">
        <is>
          <t>VÄSTRA GÖTALANDS LÄN</t>
        </is>
      </c>
      <c r="E93" t="inlineStr">
        <is>
          <t>KARLSBORG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56495-2023</t>
        </is>
      </c>
      <c r="B94" s="1" t="n">
        <v>45243</v>
      </c>
      <c r="C94" s="1" t="n">
        <v>46193</v>
      </c>
      <c r="D94" t="inlineStr">
        <is>
          <t>VÄSTRA GÖTALANDS LÄN</t>
        </is>
      </c>
      <c r="E94" t="inlineStr">
        <is>
          <t>KARLSBORG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29357-2024</t>
        </is>
      </c>
      <c r="B95" s="1" t="n">
        <v>45483</v>
      </c>
      <c r="C95" s="1" t="n">
        <v>46193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59845-2023</t>
        </is>
      </c>
      <c r="B96" s="1" t="n">
        <v>45257</v>
      </c>
      <c r="C96" s="1" t="n">
        <v>46193</v>
      </c>
      <c r="D96" t="inlineStr">
        <is>
          <t>VÄSTRA GÖTALANDS LÄN</t>
        </is>
      </c>
      <c r="E96" t="inlineStr">
        <is>
          <t>KARLSBORG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51111-2024</t>
        </is>
      </c>
      <c r="B97" s="1" t="n">
        <v>45603</v>
      </c>
      <c r="C97" s="1" t="n">
        <v>46193</v>
      </c>
      <c r="D97" t="inlineStr">
        <is>
          <t>VÄSTRA GÖTALANDS LÄN</t>
        </is>
      </c>
      <c r="E97" t="inlineStr">
        <is>
          <t>KARLSBORG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13077-2023</t>
        </is>
      </c>
      <c r="B98" s="1" t="n">
        <v>45002</v>
      </c>
      <c r="C98" s="1" t="n">
        <v>46193</v>
      </c>
      <c r="D98" t="inlineStr">
        <is>
          <t>VÄSTRA GÖTALANDS LÄN</t>
        </is>
      </c>
      <c r="E98" t="inlineStr">
        <is>
          <t>KARLSBORG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61542-2023</t>
        </is>
      </c>
      <c r="B99" s="1" t="n">
        <v>45265</v>
      </c>
      <c r="C99" s="1" t="n">
        <v>46193</v>
      </c>
      <c r="D99" t="inlineStr">
        <is>
          <t>VÄSTRA GÖTALANDS LÄN</t>
        </is>
      </c>
      <c r="E99" t="inlineStr">
        <is>
          <t>KARLSBORG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42661-2021</t>
        </is>
      </c>
      <c r="B100" s="1" t="n">
        <v>44428</v>
      </c>
      <c r="C100" s="1" t="n">
        <v>46193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Kyrkan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58152-2022</t>
        </is>
      </c>
      <c r="B101" s="1" t="n">
        <v>44900</v>
      </c>
      <c r="C101" s="1" t="n">
        <v>46193</v>
      </c>
      <c r="D101" t="inlineStr">
        <is>
          <t>VÄSTRA GÖTALANDS LÄN</t>
        </is>
      </c>
      <c r="E101" t="inlineStr">
        <is>
          <t>KARLSBORG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38073-2023</t>
        </is>
      </c>
      <c r="B102" s="1" t="n">
        <v>45160</v>
      </c>
      <c r="C102" s="1" t="n">
        <v>46193</v>
      </c>
      <c r="D102" t="inlineStr">
        <is>
          <t>VÄSTRA GÖTALANDS LÄN</t>
        </is>
      </c>
      <c r="E102" t="inlineStr">
        <is>
          <t>KARLSBORG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29685-2022</t>
        </is>
      </c>
      <c r="B103" s="1" t="n">
        <v>44755</v>
      </c>
      <c r="C103" s="1" t="n">
        <v>46193</v>
      </c>
      <c r="D103" t="inlineStr">
        <is>
          <t>VÄSTRA GÖTALANDS LÄN</t>
        </is>
      </c>
      <c r="E103" t="inlineStr">
        <is>
          <t>KARLSBORG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24594-2022</t>
        </is>
      </c>
      <c r="B104" s="1" t="n">
        <v>44727</v>
      </c>
      <c r="C104" s="1" t="n">
        <v>46193</v>
      </c>
      <c r="D104" t="inlineStr">
        <is>
          <t>VÄSTRA GÖTALANDS LÄN</t>
        </is>
      </c>
      <c r="E104" t="inlineStr">
        <is>
          <t>KARLSBORG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29490-2025</t>
        </is>
      </c>
      <c r="B105" s="1" t="n">
        <v>45824</v>
      </c>
      <c r="C105" s="1" t="n">
        <v>46193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Övriga Aktiebolag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28460-2023</t>
        </is>
      </c>
      <c r="B106" s="1" t="n">
        <v>45103</v>
      </c>
      <c r="C106" s="1" t="n">
        <v>46193</v>
      </c>
      <c r="D106" t="inlineStr">
        <is>
          <t>VÄSTRA GÖTALANDS LÄN</t>
        </is>
      </c>
      <c r="E106" t="inlineStr">
        <is>
          <t>KARLSBORG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41350-2025</t>
        </is>
      </c>
      <c r="B107" s="1" t="n">
        <v>45899</v>
      </c>
      <c r="C107" s="1" t="n">
        <v>46193</v>
      </c>
      <c r="D107" t="inlineStr">
        <is>
          <t>VÄSTRA GÖTALANDS LÄN</t>
        </is>
      </c>
      <c r="E107" t="inlineStr">
        <is>
          <t>KARLSBORG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40128-2023</t>
        </is>
      </c>
      <c r="B108" s="1" t="n">
        <v>45169</v>
      </c>
      <c r="C108" s="1" t="n">
        <v>46193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25977-2026</t>
        </is>
      </c>
      <c r="B109" s="1" t="n">
        <v>46181</v>
      </c>
      <c r="C109" s="1" t="n">
        <v>46193</v>
      </c>
      <c r="D109" t="inlineStr">
        <is>
          <t>VÄSTRA GÖTALANDS LÄN</t>
        </is>
      </c>
      <c r="E109" t="inlineStr">
        <is>
          <t>KARLSBORG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42757-2025</t>
        </is>
      </c>
      <c r="B110" s="1" t="n">
        <v>45908</v>
      </c>
      <c r="C110" s="1" t="n">
        <v>46193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Kyrkan</t>
        </is>
      </c>
      <c r="G110" t="n">
        <v>8.5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28528-2024</t>
        </is>
      </c>
      <c r="B111" s="1" t="n">
        <v>45478</v>
      </c>
      <c r="C111" s="1" t="n">
        <v>46193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23469-2024</t>
        </is>
      </c>
      <c r="B112" s="1" t="n">
        <v>45453</v>
      </c>
      <c r="C112" s="1" t="n">
        <v>46193</v>
      </c>
      <c r="D112" t="inlineStr">
        <is>
          <t>VÄSTRA GÖTALANDS LÄN</t>
        </is>
      </c>
      <c r="E112" t="inlineStr">
        <is>
          <t>KARLSBORG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13252-2024</t>
        </is>
      </c>
      <c r="B113" s="1" t="n">
        <v>45386</v>
      </c>
      <c r="C113" s="1" t="n">
        <v>46193</v>
      </c>
      <c r="D113" t="inlineStr">
        <is>
          <t>VÄSTRA GÖTALANDS LÄN</t>
        </is>
      </c>
      <c r="E113" t="inlineStr">
        <is>
          <t>KARLSBORG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41943-2024</t>
        </is>
      </c>
      <c r="B114" s="1" t="n">
        <v>45561</v>
      </c>
      <c r="C114" s="1" t="n">
        <v>46193</v>
      </c>
      <c r="D114" t="inlineStr">
        <is>
          <t>VÄSTRA GÖTALANDS LÄN</t>
        </is>
      </c>
      <c r="E114" t="inlineStr">
        <is>
          <t>KARLSBORG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7977-2025</t>
        </is>
      </c>
      <c r="B115" s="1" t="n">
        <v>45707</v>
      </c>
      <c r="C115" s="1" t="n">
        <v>46193</v>
      </c>
      <c r="D115" t="inlineStr">
        <is>
          <t>VÄSTRA GÖTALANDS LÄN</t>
        </is>
      </c>
      <c r="E115" t="inlineStr">
        <is>
          <t>KARLSBORG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44366-2025</t>
        </is>
      </c>
      <c r="B116" s="1" t="n">
        <v>45916</v>
      </c>
      <c r="C116" s="1" t="n">
        <v>46193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Kyrkan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39699-2025</t>
        </is>
      </c>
      <c r="B117" s="1" t="n">
        <v>45890</v>
      </c>
      <c r="C117" s="1" t="n">
        <v>46193</v>
      </c>
      <c r="D117" t="inlineStr">
        <is>
          <t>VÄSTRA GÖTALANDS LÄN</t>
        </is>
      </c>
      <c r="E117" t="inlineStr">
        <is>
          <t>KARLSBORG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53247-2023</t>
        </is>
      </c>
      <c r="B118" s="1" t="n">
        <v>45229</v>
      </c>
      <c r="C118" s="1" t="n">
        <v>46193</v>
      </c>
      <c r="D118" t="inlineStr">
        <is>
          <t>VÄSTRA GÖTALANDS LÄN</t>
        </is>
      </c>
      <c r="E118" t="inlineStr">
        <is>
          <t>KARLSBORG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57915-2024</t>
        </is>
      </c>
      <c r="B119" s="1" t="n">
        <v>45631</v>
      </c>
      <c r="C119" s="1" t="n">
        <v>46193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Sveaskog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45247-2025</t>
        </is>
      </c>
      <c r="B120" s="1" t="n">
        <v>45919</v>
      </c>
      <c r="C120" s="1" t="n">
        <v>46193</v>
      </c>
      <c r="D120" t="inlineStr">
        <is>
          <t>VÄSTRA GÖTALANDS LÄN</t>
        </is>
      </c>
      <c r="E120" t="inlineStr">
        <is>
          <t>KARLSBORG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45256-2025</t>
        </is>
      </c>
      <c r="B121" s="1" t="n">
        <v>45919</v>
      </c>
      <c r="C121" s="1" t="n">
        <v>46193</v>
      </c>
      <c r="D121" t="inlineStr">
        <is>
          <t>VÄSTRA GÖTALANDS LÄN</t>
        </is>
      </c>
      <c r="E121" t="inlineStr">
        <is>
          <t>KARLSBORG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4433-2026</t>
        </is>
      </c>
      <c r="B122" s="1" t="n">
        <v>46045</v>
      </c>
      <c r="C122" s="1" t="n">
        <v>46193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Övriga Aktiebolag</t>
        </is>
      </c>
      <c r="G122" t="n">
        <v>10.2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53898-2021</t>
        </is>
      </c>
      <c r="B123" s="1" t="n">
        <v>44469</v>
      </c>
      <c r="C123" s="1" t="n">
        <v>46193</v>
      </c>
      <c r="D123" t="inlineStr">
        <is>
          <t>VÄSTRA GÖTALANDS LÄN</t>
        </is>
      </c>
      <c r="E123" t="inlineStr">
        <is>
          <t>KARLSBORG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45224-2021</t>
        </is>
      </c>
      <c r="B124" s="1" t="n">
        <v>44439</v>
      </c>
      <c r="C124" s="1" t="n">
        <v>46193</v>
      </c>
      <c r="D124" t="inlineStr">
        <is>
          <t>VÄSTRA GÖTALANDS LÄN</t>
        </is>
      </c>
      <c r="E124" t="inlineStr">
        <is>
          <t>KARLSBORG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35441-2024</t>
        </is>
      </c>
      <c r="B125" s="1" t="n">
        <v>45531</v>
      </c>
      <c r="C125" s="1" t="n">
        <v>46193</v>
      </c>
      <c r="D125" t="inlineStr">
        <is>
          <t>VÄSTRA GÖTALANDS LÄN</t>
        </is>
      </c>
      <c r="E125" t="inlineStr">
        <is>
          <t>KARLSBORG</t>
        </is>
      </c>
      <c r="F125" t="inlineStr">
        <is>
          <t>Sveaskog</t>
        </is>
      </c>
      <c r="G125" t="n">
        <v>9.800000000000001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20937-2026</t>
        </is>
      </c>
      <c r="B126" s="1" t="n">
        <v>46142</v>
      </c>
      <c r="C126" s="1" t="n">
        <v>46193</v>
      </c>
      <c r="D126" t="inlineStr">
        <is>
          <t>VÄSTRA GÖTALANDS LÄN</t>
        </is>
      </c>
      <c r="E126" t="inlineStr">
        <is>
          <t>KARLSBORG</t>
        </is>
      </c>
      <c r="F126" t="inlineStr">
        <is>
          <t>Sveaskog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47265-2025</t>
        </is>
      </c>
      <c r="B127" s="1" t="n">
        <v>45930</v>
      </c>
      <c r="C127" s="1" t="n">
        <v>46193</v>
      </c>
      <c r="D127" t="inlineStr">
        <is>
          <t>VÄSTRA GÖTALANDS LÄN</t>
        </is>
      </c>
      <c r="E127" t="inlineStr">
        <is>
          <t>KARLSBORG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47262-2025</t>
        </is>
      </c>
      <c r="B128" s="1" t="n">
        <v>45930</v>
      </c>
      <c r="C128" s="1" t="n">
        <v>46193</v>
      </c>
      <c r="D128" t="inlineStr">
        <is>
          <t>VÄSTRA GÖTALANDS LÄN</t>
        </is>
      </c>
      <c r="E128" t="inlineStr">
        <is>
          <t>KARLSBORG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54416-2024</t>
        </is>
      </c>
      <c r="B129" s="1" t="n">
        <v>45617</v>
      </c>
      <c r="C129" s="1" t="n">
        <v>46193</v>
      </c>
      <c r="D129" t="inlineStr">
        <is>
          <t>VÄSTRA GÖTALANDS LÄN</t>
        </is>
      </c>
      <c r="E129" t="inlineStr">
        <is>
          <t>KARLSBORG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22435-2025</t>
        </is>
      </c>
      <c r="B130" s="1" t="n">
        <v>45786</v>
      </c>
      <c r="C130" s="1" t="n">
        <v>46193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22761-2025</t>
        </is>
      </c>
      <c r="B131" s="1" t="n">
        <v>45789</v>
      </c>
      <c r="C131" s="1" t="n">
        <v>46193</v>
      </c>
      <c r="D131" t="inlineStr">
        <is>
          <t>VÄSTRA GÖTALANDS LÄN</t>
        </is>
      </c>
      <c r="E131" t="inlineStr">
        <is>
          <t>KARLSBORG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48129-2025</t>
        </is>
      </c>
      <c r="B132" s="1" t="n">
        <v>45933</v>
      </c>
      <c r="C132" s="1" t="n">
        <v>46193</v>
      </c>
      <c r="D132" t="inlineStr">
        <is>
          <t>VÄSTRA GÖTALANDS LÄN</t>
        </is>
      </c>
      <c r="E132" t="inlineStr">
        <is>
          <t>KARLSBORG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58573-2023</t>
        </is>
      </c>
      <c r="B133" s="1" t="n">
        <v>45251</v>
      </c>
      <c r="C133" s="1" t="n">
        <v>46193</v>
      </c>
      <c r="D133" t="inlineStr">
        <is>
          <t>VÄSTRA GÖTALANDS LÄN</t>
        </is>
      </c>
      <c r="E133" t="inlineStr">
        <is>
          <t>KARLSBORG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10667-2025</t>
        </is>
      </c>
      <c r="B134" s="1" t="n">
        <v>45721</v>
      </c>
      <c r="C134" s="1" t="n">
        <v>46193</v>
      </c>
      <c r="D134" t="inlineStr">
        <is>
          <t>VÄSTRA GÖTALANDS LÄN</t>
        </is>
      </c>
      <c r="E134" t="inlineStr">
        <is>
          <t>KARLSBORG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70945-2021</t>
        </is>
      </c>
      <c r="B135" s="1" t="n">
        <v>44538</v>
      </c>
      <c r="C135" s="1" t="n">
        <v>46193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Övriga Aktiebolag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49866-2025</t>
        </is>
      </c>
      <c r="B136" s="1" t="n">
        <v>45940</v>
      </c>
      <c r="C136" s="1" t="n">
        <v>46193</v>
      </c>
      <c r="D136" t="inlineStr">
        <is>
          <t>VÄSTRA GÖTALANDS LÄN</t>
        </is>
      </c>
      <c r="E136" t="inlineStr">
        <is>
          <t>KARLSBORG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49864-2025</t>
        </is>
      </c>
      <c r="B137" s="1" t="n">
        <v>45940</v>
      </c>
      <c r="C137" s="1" t="n">
        <v>46193</v>
      </c>
      <c r="D137" t="inlineStr">
        <is>
          <t>VÄSTRA GÖTALANDS LÄN</t>
        </is>
      </c>
      <c r="E137" t="inlineStr">
        <is>
          <t>KARLSBORG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42710-2024</t>
        </is>
      </c>
      <c r="B138" s="1" t="n">
        <v>45566</v>
      </c>
      <c r="C138" s="1" t="n">
        <v>46193</v>
      </c>
      <c r="D138" t="inlineStr">
        <is>
          <t>VÄSTRA GÖTALANDS LÄN</t>
        </is>
      </c>
      <c r="E138" t="inlineStr">
        <is>
          <t>KARLSBORG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3575-2025</t>
        </is>
      </c>
      <c r="B139" s="1" t="n">
        <v>45680</v>
      </c>
      <c r="C139" s="1" t="n">
        <v>46193</v>
      </c>
      <c r="D139" t="inlineStr">
        <is>
          <t>VÄSTRA GÖTALANDS LÄN</t>
        </is>
      </c>
      <c r="E139" t="inlineStr">
        <is>
          <t>KARLSBORG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35040-2024</t>
        </is>
      </c>
      <c r="B140" s="1" t="n">
        <v>45527</v>
      </c>
      <c r="C140" s="1" t="n">
        <v>46193</v>
      </c>
      <c r="D140" t="inlineStr">
        <is>
          <t>VÄSTRA GÖTALANDS LÄN</t>
        </is>
      </c>
      <c r="E140" t="inlineStr">
        <is>
          <t>KARLSBORG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49985-2025</t>
        </is>
      </c>
      <c r="B141" s="1" t="n">
        <v>45942</v>
      </c>
      <c r="C141" s="1" t="n">
        <v>46193</v>
      </c>
      <c r="D141" t="inlineStr">
        <is>
          <t>VÄSTRA GÖTALANDS LÄN</t>
        </is>
      </c>
      <c r="E141" t="inlineStr">
        <is>
          <t>KARLSBORG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25696-2023</t>
        </is>
      </c>
      <c r="B142" s="1" t="n">
        <v>45089</v>
      </c>
      <c r="C142" s="1" t="n">
        <v>46193</v>
      </c>
      <c r="D142" t="inlineStr">
        <is>
          <t>VÄSTRA GÖTALANDS LÄN</t>
        </is>
      </c>
      <c r="E142" t="inlineStr">
        <is>
          <t>KARLSBORG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57727-2024</t>
        </is>
      </c>
      <c r="B143" s="1" t="n">
        <v>45630</v>
      </c>
      <c r="C143" s="1" t="n">
        <v>46193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Övriga Aktiebolag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42778-2024</t>
        </is>
      </c>
      <c r="B144" s="1" t="n">
        <v>45566</v>
      </c>
      <c r="C144" s="1" t="n">
        <v>46193</v>
      </c>
      <c r="D144" t="inlineStr">
        <is>
          <t>VÄSTRA GÖTALANDS LÄN</t>
        </is>
      </c>
      <c r="E144" t="inlineStr">
        <is>
          <t>KARLSBORG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20940-2026</t>
        </is>
      </c>
      <c r="B145" s="1" t="n">
        <v>46142</v>
      </c>
      <c r="C145" s="1" t="n">
        <v>46193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Sveaskog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25982-2025</t>
        </is>
      </c>
      <c r="B146" s="1" t="n">
        <v>45804</v>
      </c>
      <c r="C146" s="1" t="n">
        <v>46193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Övriga Aktiebolag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2784-2023</t>
        </is>
      </c>
      <c r="B147" s="1" t="n">
        <v>44944</v>
      </c>
      <c r="C147" s="1" t="n">
        <v>46193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Övriga Aktiebolag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27823-2023</t>
        </is>
      </c>
      <c r="B148" s="1" t="n">
        <v>45098</v>
      </c>
      <c r="C148" s="1" t="n">
        <v>46193</v>
      </c>
      <c r="D148" t="inlineStr">
        <is>
          <t>VÄSTRA GÖTALANDS LÄN</t>
        </is>
      </c>
      <c r="E148" t="inlineStr">
        <is>
          <t>KARLSBORG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40129-2023</t>
        </is>
      </c>
      <c r="B149" s="1" t="n">
        <v>45169</v>
      </c>
      <c r="C149" s="1" t="n">
        <v>46193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14525-2024</t>
        </is>
      </c>
      <c r="B150" s="1" t="n">
        <v>45394</v>
      </c>
      <c r="C150" s="1" t="n">
        <v>46193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24008-2023</t>
        </is>
      </c>
      <c r="B151" s="1" t="n">
        <v>45078</v>
      </c>
      <c r="C151" s="1" t="n">
        <v>46193</v>
      </c>
      <c r="D151" t="inlineStr">
        <is>
          <t>VÄSTRA GÖTALANDS LÄN</t>
        </is>
      </c>
      <c r="E151" t="inlineStr">
        <is>
          <t>KARLSBORG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70783-2021</t>
        </is>
      </c>
      <c r="B152" s="1" t="n">
        <v>44537</v>
      </c>
      <c r="C152" s="1" t="n">
        <v>46193</v>
      </c>
      <c r="D152" t="inlineStr">
        <is>
          <t>VÄSTRA GÖTALANDS LÄN</t>
        </is>
      </c>
      <c r="E152" t="inlineStr">
        <is>
          <t>KARLSBORG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7978-2025</t>
        </is>
      </c>
      <c r="B153" s="1" t="n">
        <v>45707</v>
      </c>
      <c r="C153" s="1" t="n">
        <v>46193</v>
      </c>
      <c r="D153" t="inlineStr">
        <is>
          <t>VÄSTRA GÖTALANDS LÄN</t>
        </is>
      </c>
      <c r="E153" t="inlineStr">
        <is>
          <t>KARLSBORG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2791-2023</t>
        </is>
      </c>
      <c r="B154" s="1" t="n">
        <v>44944</v>
      </c>
      <c r="C154" s="1" t="n">
        <v>46193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Aktiebolag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54454-2025</t>
        </is>
      </c>
      <c r="B155" s="1" t="n">
        <v>45965</v>
      </c>
      <c r="C155" s="1" t="n">
        <v>46193</v>
      </c>
      <c r="D155" t="inlineStr">
        <is>
          <t>VÄSTRA GÖTALANDS LÄN</t>
        </is>
      </c>
      <c r="E155" t="inlineStr">
        <is>
          <t>KARLSBORG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45019-2024</t>
        </is>
      </c>
      <c r="B156" s="1" t="n">
        <v>45575</v>
      </c>
      <c r="C156" s="1" t="n">
        <v>46193</v>
      </c>
      <c r="D156" t="inlineStr">
        <is>
          <t>VÄSTRA GÖTALANDS LÄN</t>
        </is>
      </c>
      <c r="E156" t="inlineStr">
        <is>
          <t>KARLSBORG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56110-2025</t>
        </is>
      </c>
      <c r="B157" s="1" t="n">
        <v>45973</v>
      </c>
      <c r="C157" s="1" t="n">
        <v>46193</v>
      </c>
      <c r="D157" t="inlineStr">
        <is>
          <t>VÄSTRA GÖTALANDS LÄN</t>
        </is>
      </c>
      <c r="E157" t="inlineStr">
        <is>
          <t>KARLSBORG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21014-2026</t>
        </is>
      </c>
      <c r="B158" s="1" t="n">
        <v>46143</v>
      </c>
      <c r="C158" s="1" t="n">
        <v>46193</v>
      </c>
      <c r="D158" t="inlineStr">
        <is>
          <t>VÄSTRA GÖTALANDS LÄN</t>
        </is>
      </c>
      <c r="E158" t="inlineStr">
        <is>
          <t>KARLSBORG</t>
        </is>
      </c>
      <c r="G158" t="n">
        <v>14.6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31770-2025</t>
        </is>
      </c>
      <c r="B159" s="1" t="n">
        <v>45834</v>
      </c>
      <c r="C159" s="1" t="n">
        <v>46193</v>
      </c>
      <c r="D159" t="inlineStr">
        <is>
          <t>VÄSTRA GÖTALANDS LÄN</t>
        </is>
      </c>
      <c r="E159" t="inlineStr">
        <is>
          <t>KARLSBORG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31701-2025</t>
        </is>
      </c>
      <c r="B160" s="1" t="n">
        <v>45834</v>
      </c>
      <c r="C160" s="1" t="n">
        <v>46193</v>
      </c>
      <c r="D160" t="inlineStr">
        <is>
          <t>VÄSTRA GÖTALANDS LÄN</t>
        </is>
      </c>
      <c r="E160" t="inlineStr">
        <is>
          <t>KARLSBORG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34120-2024</t>
        </is>
      </c>
      <c r="B161" s="1" t="n">
        <v>45524</v>
      </c>
      <c r="C161" s="1" t="n">
        <v>46193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Aktiebolag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34123-2024</t>
        </is>
      </c>
      <c r="B162" s="1" t="n">
        <v>45524</v>
      </c>
      <c r="C162" s="1" t="n">
        <v>46193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Övriga Aktiebolag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34125-2024</t>
        </is>
      </c>
      <c r="B163" s="1" t="n">
        <v>45524</v>
      </c>
      <c r="C163" s="1" t="n">
        <v>46193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57581-2025</t>
        </is>
      </c>
      <c r="B164" s="1" t="n">
        <v>45980</v>
      </c>
      <c r="C164" s="1" t="n">
        <v>46193</v>
      </c>
      <c r="D164" t="inlineStr">
        <is>
          <t>VÄSTRA GÖTALANDS LÄN</t>
        </is>
      </c>
      <c r="E164" t="inlineStr">
        <is>
          <t>KARLSBORG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32128-2025</t>
        </is>
      </c>
      <c r="B165" s="1" t="n">
        <v>45835</v>
      </c>
      <c r="C165" s="1" t="n">
        <v>46193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27332-2026</t>
        </is>
      </c>
      <c r="B166" s="1" t="n">
        <v>46188</v>
      </c>
      <c r="C166" s="1" t="n">
        <v>46193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Sveaskog</t>
        </is>
      </c>
      <c r="G166" t="n">
        <v>12.6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27333-2026</t>
        </is>
      </c>
      <c r="B167" s="1" t="n">
        <v>46188</v>
      </c>
      <c r="C167" s="1" t="n">
        <v>46193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27349-2026</t>
        </is>
      </c>
      <c r="B168" s="1" t="n">
        <v>46188</v>
      </c>
      <c r="C168" s="1" t="n">
        <v>46193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59887-2021</t>
        </is>
      </c>
      <c r="B169" s="1" t="n">
        <v>44494</v>
      </c>
      <c r="C169" s="1" t="n">
        <v>46193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statliga verk och myndigheter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59890-2021</t>
        </is>
      </c>
      <c r="B170" s="1" t="n">
        <v>44494</v>
      </c>
      <c r="C170" s="1" t="n">
        <v>46193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statliga verk och myndigheter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10007-2025</t>
        </is>
      </c>
      <c r="B171" s="1" t="n">
        <v>45719</v>
      </c>
      <c r="C171" s="1" t="n">
        <v>46193</v>
      </c>
      <c r="D171" t="inlineStr">
        <is>
          <t>VÄSTRA GÖTALANDS LÄN</t>
        </is>
      </c>
      <c r="E171" t="inlineStr">
        <is>
          <t>KARLSBORG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53439-2025</t>
        </is>
      </c>
      <c r="B172" s="1" t="n">
        <v>45959</v>
      </c>
      <c r="C172" s="1" t="n">
        <v>46193</v>
      </c>
      <c r="D172" t="inlineStr">
        <is>
          <t>VÄSTRA GÖTALANDS LÄN</t>
        </is>
      </c>
      <c r="E172" t="inlineStr">
        <is>
          <t>KARLSBORG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59111-2025</t>
        </is>
      </c>
      <c r="B173" s="1" t="n">
        <v>45988</v>
      </c>
      <c r="C173" s="1" t="n">
        <v>46193</v>
      </c>
      <c r="D173" t="inlineStr">
        <is>
          <t>VÄSTRA GÖTALANDS LÄN</t>
        </is>
      </c>
      <c r="E173" t="inlineStr">
        <is>
          <t>KARLSBORG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59697-2025</t>
        </is>
      </c>
      <c r="B174" s="1" t="n">
        <v>45992</v>
      </c>
      <c r="C174" s="1" t="n">
        <v>46193</v>
      </c>
      <c r="D174" t="inlineStr">
        <is>
          <t>VÄSTRA GÖTALANDS LÄN</t>
        </is>
      </c>
      <c r="E174" t="inlineStr">
        <is>
          <t>KARLSBORG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18248-2025</t>
        </is>
      </c>
      <c r="B175" s="1" t="n">
        <v>45761</v>
      </c>
      <c r="C175" s="1" t="n">
        <v>46193</v>
      </c>
      <c r="D175" t="inlineStr">
        <is>
          <t>VÄSTRA GÖTALANDS LÄN</t>
        </is>
      </c>
      <c r="E175" t="inlineStr">
        <is>
          <t>KARLSBORG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9788-2025</t>
        </is>
      </c>
      <c r="B176" s="1" t="n">
        <v>45716</v>
      </c>
      <c r="C176" s="1" t="n">
        <v>46193</v>
      </c>
      <c r="D176" t="inlineStr">
        <is>
          <t>VÄSTRA GÖTALANDS LÄN</t>
        </is>
      </c>
      <c r="E176" t="inlineStr">
        <is>
          <t>KARLSBORG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61559-2023</t>
        </is>
      </c>
      <c r="B177" s="1" t="n">
        <v>45265</v>
      </c>
      <c r="C177" s="1" t="n">
        <v>46193</v>
      </c>
      <c r="D177" t="inlineStr">
        <is>
          <t>VÄSTRA GÖTALANDS LÄN</t>
        </is>
      </c>
      <c r="E177" t="inlineStr">
        <is>
          <t>KARLSBORG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35930-2025</t>
        </is>
      </c>
      <c r="B178" s="1" t="n">
        <v>45862</v>
      </c>
      <c r="C178" s="1" t="n">
        <v>46193</v>
      </c>
      <c r="D178" t="inlineStr">
        <is>
          <t>VÄSTRA GÖTALANDS LÄN</t>
        </is>
      </c>
      <c r="E178" t="inlineStr">
        <is>
          <t>KARLSBORG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60878-2025</t>
        </is>
      </c>
      <c r="B179" s="1" t="n">
        <v>45999</v>
      </c>
      <c r="C179" s="1" t="n">
        <v>46193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Sveaskog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69341-2021</t>
        </is>
      </c>
      <c r="B180" s="1" t="n">
        <v>44531</v>
      </c>
      <c r="C180" s="1" t="n">
        <v>46193</v>
      </c>
      <c r="D180" t="inlineStr">
        <is>
          <t>VÄSTRA GÖTALANDS LÄN</t>
        </is>
      </c>
      <c r="E180" t="inlineStr">
        <is>
          <t>KARLSBORG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43709-2024</t>
        </is>
      </c>
      <c r="B181" s="1" t="n">
        <v>45569</v>
      </c>
      <c r="C181" s="1" t="n">
        <v>46193</v>
      </c>
      <c r="D181" t="inlineStr">
        <is>
          <t>VÄSTRA GÖTALANDS LÄN</t>
        </is>
      </c>
      <c r="E181" t="inlineStr">
        <is>
          <t>KARLSBORG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62068-2025</t>
        </is>
      </c>
      <c r="B182" s="1" t="n">
        <v>46006</v>
      </c>
      <c r="C182" s="1" t="n">
        <v>46193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62072-2025</t>
        </is>
      </c>
      <c r="B183" s="1" t="n">
        <v>46006</v>
      </c>
      <c r="C183" s="1" t="n">
        <v>46193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57913-2024</t>
        </is>
      </c>
      <c r="B184" s="1" t="n">
        <v>45631</v>
      </c>
      <c r="C184" s="1" t="n">
        <v>46193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14738-2025</t>
        </is>
      </c>
      <c r="B185" s="1" t="n">
        <v>45742</v>
      </c>
      <c r="C185" s="1" t="n">
        <v>46193</v>
      </c>
      <c r="D185" t="inlineStr">
        <is>
          <t>VÄSTRA GÖTALANDS LÄN</t>
        </is>
      </c>
      <c r="E185" t="inlineStr">
        <is>
          <t>KARLSBORG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23500-2023</t>
        </is>
      </c>
      <c r="B186" s="1" t="n">
        <v>45076</v>
      </c>
      <c r="C186" s="1" t="n">
        <v>46193</v>
      </c>
      <c r="D186" t="inlineStr">
        <is>
          <t>VÄSTRA GÖTALANDS LÄN</t>
        </is>
      </c>
      <c r="E186" t="inlineStr">
        <is>
          <t>KARLSBORG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41937-2024</t>
        </is>
      </c>
      <c r="B187" s="1" t="n">
        <v>45561</v>
      </c>
      <c r="C187" s="1" t="n">
        <v>46193</v>
      </c>
      <c r="D187" t="inlineStr">
        <is>
          <t>VÄSTRA GÖTALANDS LÄN</t>
        </is>
      </c>
      <c r="E187" t="inlineStr">
        <is>
          <t>KARLSBORG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54444-2023</t>
        </is>
      </c>
      <c r="B188" s="1" t="n">
        <v>45233</v>
      </c>
      <c r="C188" s="1" t="n">
        <v>46193</v>
      </c>
      <c r="D188" t="inlineStr">
        <is>
          <t>VÄSTRA GÖTALANDS LÄN</t>
        </is>
      </c>
      <c r="E188" t="inlineStr">
        <is>
          <t>KARLSBORG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50985-2023</t>
        </is>
      </c>
      <c r="B189" s="1" t="n">
        <v>45218</v>
      </c>
      <c r="C189" s="1" t="n">
        <v>46193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64011-2025</t>
        </is>
      </c>
      <c r="B190" s="1" t="n">
        <v>46021</v>
      </c>
      <c r="C190" s="1" t="n">
        <v>46193</v>
      </c>
      <c r="D190" t="inlineStr">
        <is>
          <t>VÄSTRA GÖTALANDS LÄN</t>
        </is>
      </c>
      <c r="E190" t="inlineStr">
        <is>
          <t>KARLSBORG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64012-2025</t>
        </is>
      </c>
      <c r="B191" s="1" t="n">
        <v>46021</v>
      </c>
      <c r="C191" s="1" t="n">
        <v>46193</v>
      </c>
      <c r="D191" t="inlineStr">
        <is>
          <t>VÄSTRA GÖTALANDS LÄN</t>
        </is>
      </c>
      <c r="E191" t="inlineStr">
        <is>
          <t>KARLSBORG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64025-2025</t>
        </is>
      </c>
      <c r="B192" s="1" t="n">
        <v>46021</v>
      </c>
      <c r="C192" s="1" t="n">
        <v>46193</v>
      </c>
      <c r="D192" t="inlineStr">
        <is>
          <t>VÄSTRA GÖTALANDS LÄN</t>
        </is>
      </c>
      <c r="E192" t="inlineStr">
        <is>
          <t>KARLSBORG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27906-2026</t>
        </is>
      </c>
      <c r="B193" s="1" t="n">
        <v>46191</v>
      </c>
      <c r="C193" s="1" t="n">
        <v>46193</v>
      </c>
      <c r="D193" t="inlineStr">
        <is>
          <t>VÄSTRA GÖTALANDS LÄN</t>
        </is>
      </c>
      <c r="E193" t="inlineStr">
        <is>
          <t>KARLSBORG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56545-2023</t>
        </is>
      </c>
      <c r="B194" s="1" t="n">
        <v>45243</v>
      </c>
      <c r="C194" s="1" t="n">
        <v>46193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4430-2026</t>
        </is>
      </c>
      <c r="B195" s="1" t="n">
        <v>46045</v>
      </c>
      <c r="C195" s="1" t="n">
        <v>46193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4454-2026</t>
        </is>
      </c>
      <c r="B196" s="1" t="n">
        <v>46045</v>
      </c>
      <c r="C196" s="1" t="n">
        <v>46193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Aktiebolag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53909-2023</t>
        </is>
      </c>
      <c r="B197" s="1" t="n">
        <v>45231</v>
      </c>
      <c r="C197" s="1" t="n">
        <v>46193</v>
      </c>
      <c r="D197" t="inlineStr">
        <is>
          <t>VÄSTRA GÖTALANDS LÄN</t>
        </is>
      </c>
      <c r="E197" t="inlineStr">
        <is>
          <t>KARLSBORG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4439-2026</t>
        </is>
      </c>
      <c r="B198" s="1" t="n">
        <v>46045</v>
      </c>
      <c r="C198" s="1" t="n">
        <v>46193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Övriga Aktiebolag</t>
        </is>
      </c>
      <c r="G198" t="n">
        <v>14.3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44577-2023</t>
        </is>
      </c>
      <c r="B199" s="1" t="n">
        <v>45183</v>
      </c>
      <c r="C199" s="1" t="n">
        <v>46193</v>
      </c>
      <c r="D199" t="inlineStr">
        <is>
          <t>VÄSTRA GÖTALANDS LÄN</t>
        </is>
      </c>
      <c r="E199" t="inlineStr">
        <is>
          <t>KARLSBORG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10415-2025</t>
        </is>
      </c>
      <c r="B200" s="1" t="n">
        <v>45720</v>
      </c>
      <c r="C200" s="1" t="n">
        <v>46193</v>
      </c>
      <c r="D200" t="inlineStr">
        <is>
          <t>VÄSTRA GÖTALANDS LÄN</t>
        </is>
      </c>
      <c r="E200" t="inlineStr">
        <is>
          <t>KARLSBORG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59047-2023</t>
        </is>
      </c>
      <c r="B201" s="1" t="n">
        <v>45252</v>
      </c>
      <c r="C201" s="1" t="n">
        <v>46193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Övriga Aktiebolag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6035-2026</t>
        </is>
      </c>
      <c r="B202" s="1" t="n">
        <v>46052</v>
      </c>
      <c r="C202" s="1" t="n">
        <v>46193</v>
      </c>
      <c r="D202" t="inlineStr">
        <is>
          <t>VÄSTRA GÖTALANDS LÄN</t>
        </is>
      </c>
      <c r="E202" t="inlineStr">
        <is>
          <t>KARLSBORG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6408-2026</t>
        </is>
      </c>
      <c r="B203" s="1" t="n">
        <v>46055</v>
      </c>
      <c r="C203" s="1" t="n">
        <v>46193</v>
      </c>
      <c r="D203" t="inlineStr">
        <is>
          <t>VÄSTRA GÖTALANDS LÄN</t>
        </is>
      </c>
      <c r="E203" t="inlineStr">
        <is>
          <t>KARLSBORG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37383-2022</t>
        </is>
      </c>
      <c r="B204" s="1" t="n">
        <v>44809</v>
      </c>
      <c r="C204" s="1" t="n">
        <v>46193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63732-2025</t>
        </is>
      </c>
      <c r="B205" s="1" t="n">
        <v>46010</v>
      </c>
      <c r="C205" s="1" t="n">
        <v>46193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Övriga statliga verk och myndigheter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63733-2025</t>
        </is>
      </c>
      <c r="B206" s="1" t="n">
        <v>46010</v>
      </c>
      <c r="C206" s="1" t="n">
        <v>46193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Övriga statliga verk och myndigheter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7644-2026</t>
        </is>
      </c>
      <c r="B207" s="1" t="n">
        <v>46062</v>
      </c>
      <c r="C207" s="1" t="n">
        <v>46193</v>
      </c>
      <c r="D207" t="inlineStr">
        <is>
          <t>VÄSTRA GÖTALANDS LÄN</t>
        </is>
      </c>
      <c r="E207" t="inlineStr">
        <is>
          <t>KARLSBORG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63731-2025</t>
        </is>
      </c>
      <c r="B208" s="1" t="n">
        <v>46010</v>
      </c>
      <c r="C208" s="1" t="n">
        <v>46193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Övriga statliga verk och myndigheter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63734-2025</t>
        </is>
      </c>
      <c r="B209" s="1" t="n">
        <v>46010</v>
      </c>
      <c r="C209" s="1" t="n">
        <v>46193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Övriga statliga verk och myndigheter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9130-2026</t>
        </is>
      </c>
      <c r="B210" s="1" t="n">
        <v>46069</v>
      </c>
      <c r="C210" s="1" t="n">
        <v>46193</v>
      </c>
      <c r="D210" t="inlineStr">
        <is>
          <t>VÄSTRA GÖTALANDS LÄN</t>
        </is>
      </c>
      <c r="E210" t="inlineStr">
        <is>
          <t>KARLSBORG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16918-2025</t>
        </is>
      </c>
      <c r="B211" s="1" t="n">
        <v>45755</v>
      </c>
      <c r="C211" s="1" t="n">
        <v>46193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42825-2024</t>
        </is>
      </c>
      <c r="B212" s="1" t="n">
        <v>45566</v>
      </c>
      <c r="C212" s="1" t="n">
        <v>46193</v>
      </c>
      <c r="D212" t="inlineStr">
        <is>
          <t>VÄSTRA GÖTALANDS LÄN</t>
        </is>
      </c>
      <c r="E212" t="inlineStr">
        <is>
          <t>KARLSBORG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59045-2023</t>
        </is>
      </c>
      <c r="B213" s="1" t="n">
        <v>45252</v>
      </c>
      <c r="C213" s="1" t="n">
        <v>46193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Övriga Aktiebolag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10907-2026</t>
        </is>
      </c>
      <c r="B214" s="1" t="n">
        <v>46079</v>
      </c>
      <c r="C214" s="1" t="n">
        <v>46193</v>
      </c>
      <c r="D214" t="inlineStr">
        <is>
          <t>VÄSTRA GÖTALANDS LÄN</t>
        </is>
      </c>
      <c r="E214" t="inlineStr">
        <is>
          <t>KARLSBORG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57235-2022</t>
        </is>
      </c>
      <c r="B215" s="1" t="n">
        <v>44895</v>
      </c>
      <c r="C215" s="1" t="n">
        <v>46193</v>
      </c>
      <c r="D215" t="inlineStr">
        <is>
          <t>VÄSTRA GÖTALANDS LÄN</t>
        </is>
      </c>
      <c r="E215" t="inlineStr">
        <is>
          <t>KARLSBORG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59404-2022</t>
        </is>
      </c>
      <c r="B216" s="1" t="n">
        <v>44906</v>
      </c>
      <c r="C216" s="1" t="n">
        <v>46193</v>
      </c>
      <c r="D216" t="inlineStr">
        <is>
          <t>VÄSTRA GÖTALANDS LÄN</t>
        </is>
      </c>
      <c r="E216" t="inlineStr">
        <is>
          <t>KARLSBORG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62304-2021</t>
        </is>
      </c>
      <c r="B217" s="1" t="n">
        <v>44503</v>
      </c>
      <c r="C217" s="1" t="n">
        <v>46193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15958-2022</t>
        </is>
      </c>
      <c r="B218" s="1" t="n">
        <v>44664</v>
      </c>
      <c r="C218" s="1" t="n">
        <v>46193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Övriga Aktiebolag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15396-2024</t>
        </is>
      </c>
      <c r="B219" s="1" t="n">
        <v>45401</v>
      </c>
      <c r="C219" s="1" t="n">
        <v>46193</v>
      </c>
      <c r="D219" t="inlineStr">
        <is>
          <t>VÄSTRA GÖTALANDS LÄN</t>
        </is>
      </c>
      <c r="E219" t="inlineStr">
        <is>
          <t>KARLSBORG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30136-2024</t>
        </is>
      </c>
      <c r="B220" s="1" t="n">
        <v>45489</v>
      </c>
      <c r="C220" s="1" t="n">
        <v>46193</v>
      </c>
      <c r="D220" t="inlineStr">
        <is>
          <t>VÄSTRA GÖTALANDS LÄN</t>
        </is>
      </c>
      <c r="E220" t="inlineStr">
        <is>
          <t>KARLSBORG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59877-2021</t>
        </is>
      </c>
      <c r="B221" s="1" t="n">
        <v>44494</v>
      </c>
      <c r="C221" s="1" t="n">
        <v>46193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statliga verk och myndigheter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20564-2024</t>
        </is>
      </c>
      <c r="B222" s="1" t="n">
        <v>45436</v>
      </c>
      <c r="C222" s="1" t="n">
        <v>46193</v>
      </c>
      <c r="D222" t="inlineStr">
        <is>
          <t>VÄSTRA GÖTALANDS LÄN</t>
        </is>
      </c>
      <c r="E222" t="inlineStr">
        <is>
          <t>KARLSBORG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21988-2026</t>
        </is>
      </c>
      <c r="B223" s="1" t="n">
        <v>46153</v>
      </c>
      <c r="C223" s="1" t="n">
        <v>46193</v>
      </c>
      <c r="D223" t="inlineStr">
        <is>
          <t>VÄSTRA GÖTALANDS LÄN</t>
        </is>
      </c>
      <c r="E223" t="inlineStr">
        <is>
          <t>KARLSBORG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22877-2026</t>
        </is>
      </c>
      <c r="B224" s="1" t="n">
        <v>46160</v>
      </c>
      <c r="C224" s="1" t="n">
        <v>46193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20.6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18519-2026</t>
        </is>
      </c>
      <c r="B225" s="1" t="n">
        <v>46127</v>
      </c>
      <c r="C225" s="1" t="n">
        <v>46193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18541-2026</t>
        </is>
      </c>
      <c r="B226" s="1" t="n">
        <v>46127</v>
      </c>
      <c r="C226" s="1" t="n">
        <v>46193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18544-2026</t>
        </is>
      </c>
      <c r="B227" s="1" t="n">
        <v>46127</v>
      </c>
      <c r="C227" s="1" t="n">
        <v>46193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18546-2026</t>
        </is>
      </c>
      <c r="B228" s="1" t="n">
        <v>46127</v>
      </c>
      <c r="C228" s="1" t="n">
        <v>46193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18518-2026</t>
        </is>
      </c>
      <c r="B229" s="1" t="n">
        <v>46127</v>
      </c>
      <c r="C229" s="1" t="n">
        <v>46193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18564-2026</t>
        </is>
      </c>
      <c r="B230" s="1" t="n">
        <v>46127</v>
      </c>
      <c r="C230" s="1" t="n">
        <v>46193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22890-2026</t>
        </is>
      </c>
      <c r="B231" s="1" t="n">
        <v>46160</v>
      </c>
      <c r="C231" s="1" t="n">
        <v>46193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24541-2026</t>
        </is>
      </c>
      <c r="B232" s="1" t="n">
        <v>46170</v>
      </c>
      <c r="C232" s="1" t="n">
        <v>46193</v>
      </c>
      <c r="D232" t="inlineStr">
        <is>
          <t>VÄSTRA GÖTALANDS LÄN</t>
        </is>
      </c>
      <c r="E232" t="inlineStr">
        <is>
          <t>KARLSBORG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24725-2026</t>
        </is>
      </c>
      <c r="B233" s="1" t="n">
        <v>46171</v>
      </c>
      <c r="C233" s="1" t="n">
        <v>46193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22886-2026</t>
        </is>
      </c>
      <c r="B234" s="1" t="n">
        <v>46160</v>
      </c>
      <c r="C234" s="1" t="n">
        <v>46193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24724-2026</t>
        </is>
      </c>
      <c r="B235" s="1" t="n">
        <v>46171</v>
      </c>
      <c r="C235" s="1" t="n">
        <v>46193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Sveaskog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25327-2026</t>
        </is>
      </c>
      <c r="B236" s="1" t="n">
        <v>46176</v>
      </c>
      <c r="C236" s="1" t="n">
        <v>46193</v>
      </c>
      <c r="D236" t="inlineStr">
        <is>
          <t>VÄSTRA GÖTALANDS LÄN</t>
        </is>
      </c>
      <c r="E236" t="inlineStr">
        <is>
          <t>KARLSBORG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48385-2025</t>
        </is>
      </c>
      <c r="B237" s="1" t="n">
        <v>45933</v>
      </c>
      <c r="C237" s="1" t="n">
        <v>46193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Sveaskog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17002-2025</t>
        </is>
      </c>
      <c r="B238" s="1" t="n">
        <v>45755</v>
      </c>
      <c r="C238" s="1" t="n">
        <v>46193</v>
      </c>
      <c r="D238" t="inlineStr">
        <is>
          <t>VÄSTRA GÖTALANDS LÄN</t>
        </is>
      </c>
      <c r="E238" t="inlineStr">
        <is>
          <t>KARLSBORG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33122-2022</t>
        </is>
      </c>
      <c r="B239" s="1" t="n">
        <v>44785</v>
      </c>
      <c r="C239" s="1" t="n">
        <v>46193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2026-06-20T00:43:33Z</dcterms:created>
  <dcterms:modified xmlns:dcterms="http://purl.org/dc/terms/" xmlns:xsi="http://www.w3.org/2001/XMLSchema-instance" xsi:type="dcterms:W3CDTF">2026-06-20T00:43:33Z</dcterms:modified>
</cp:coreProperties>
</file>