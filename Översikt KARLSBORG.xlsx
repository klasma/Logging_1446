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46237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46237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22877-2026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46237</v>
      </c>
      <c r="F4" t="inlineStr">
        <is>
          <t>VÄSTRA GÖTALANDS LÄN</t>
        </is>
      </c>
      <c r="G4" t="inlineStr">
        <is>
          <t>KARLSBORG</t>
        </is>
      </c>
      <c r="H4" t="inlineStr">
        <is>
          <t>Sveaskog</t>
        </is>
      </c>
      <c r="I4" t="n">
        <v>20.6</v>
      </c>
      <c r="J4" t="n">
        <v>2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t="n">
        <v>10</v>
      </c>
      <c r="V4" s="2" t="inlineStr">
        <is>
          <t>Talltita
Älg
Mindre märgborre
Vågbandad barkbock
Tjäder</t>
        </is>
      </c>
      <c r="W4">
        <f>HYPERLINK("https://klasma.github.io/Logging_1446/artfynd/A 22877-2026 artfynd.xlsx", "A 22877-2026")</f>
        <v/>
      </c>
      <c r="X4">
        <f>HYPERLINK("https://klasma.github.io/Logging_1446/kartor/A 22877-2026 karta.png", "A 22877-2026")</f>
        <v/>
      </c>
      <c r="Y4">
        <f>HYPERLINK("https://klasma.github.io/Logging_1446/kartor_geotiff/A 22877-2026 georefererad karta.tif", "A 22877-2026")</f>
        <v/>
      </c>
      <c r="AA4">
        <f>HYPERLINK("https://klasma.github.io/Logging_1446/klagomål/A 22877-2026 FSC-klagomål.docx", "A 22877-2026")</f>
        <v/>
      </c>
      <c r="AB4">
        <f>HYPERLINK("https://klasma.github.io/Logging_1446/klagomålsmail/A 22877-2026 FSC-klagomål mail.docx", "A 22877-2026")</f>
        <v/>
      </c>
      <c r="AC4">
        <f>HYPERLINK("https://klasma.github.io/Logging_1446/tillsyn/A 22877-2026 tillsynsbegäran.docx", "A 22877-2026")</f>
        <v/>
      </c>
      <c r="AD4">
        <f>HYPERLINK("https://klasma.github.io/Logging_1446/tillsynsmail/A 22877-2026 tillsynsbegäran mail.docx", "A 22877-2026")</f>
        <v/>
      </c>
      <c r="AE4">
        <f>HYPERLINK("https://klasma.github.io/Logging_1446/fåglar/A 22877-2026 prioriterade fågelarter.docx", "A 22877-2026")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46237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45741</v>
      </c>
      <c r="E6" s="1" t="n">
        <v>46237</v>
      </c>
      <c r="F6" t="inlineStr">
        <is>
          <t>VÄSTRA GÖTALANDS LÄN</t>
        </is>
      </c>
      <c r="G6" t="inlineStr">
        <is>
          <t>KARLSBORG</t>
        </is>
      </c>
      <c r="I6" t="n">
        <v>7.9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Järnsparv
Talltita
Spillkråka
Kungsfågel
Åkergroda</t>
        </is>
      </c>
      <c r="W6">
        <f>HYPERLINK("https://klasma.github.io/Logging_1446/artfynd/A 14438-2025 artfynd.xlsx", "A 14438-2025")</f>
        <v/>
      </c>
      <c r="X6">
        <f>HYPERLINK("https://klasma.github.io/Logging_1446/kartor/A 14438-2025 karta.png", "A 14438-2025")</f>
        <v/>
      </c>
      <c r="Y6">
        <f>HYPERLINK("https://klasma.github.io/Logging_1446/kartor_geotiff/A 14438-2025 georefererad karta.tif", "A 14438-2025")</f>
        <v/>
      </c>
      <c r="AA6">
        <f>HYPERLINK("https://klasma.github.io/Logging_1446/klagomål/A 14438-2025 FSC-klagomål.docx", "A 14438-2025")</f>
        <v/>
      </c>
      <c r="AB6">
        <f>HYPERLINK("https://klasma.github.io/Logging_1446/klagomålsmail/A 14438-2025 FSC-klagomål mail.docx", "A 14438-2025")</f>
        <v/>
      </c>
      <c r="AC6">
        <f>HYPERLINK("https://klasma.github.io/Logging_1446/tillsyn/A 14438-2025 tillsynsbegäran.docx", "A 14438-2025")</f>
        <v/>
      </c>
      <c r="AD6">
        <f>HYPERLINK("https://klasma.github.io/Logging_1446/tillsynsmail/A 14438-2025 tillsynsbegäran mail.docx", "A 14438-2025")</f>
        <v/>
      </c>
      <c r="AE6">
        <f>HYPERLINK("https://klasma.github.io/Logging_1446/fåglar/A 14438-2025 prioriterade fågelarter.docx", "A 14438-2025")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46237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46237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46237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46237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46237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46237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13365-2024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45387</v>
      </c>
      <c r="E13" s="1" t="n">
        <v>46237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Övriga Aktiebolag</t>
        </is>
      </c>
      <c r="I13" t="n">
        <v>2.5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15</v>
      </c>
      <c r="U13" t="n">
        <v>15</v>
      </c>
      <c r="V13" s="2" t="inlineStr">
        <is>
          <t>Grönpyrola
Tjäder</t>
        </is>
      </c>
      <c r="W13">
        <f>HYPERLINK("https://klasma.github.io/Logging_1446/artfynd/A 13365-2024 artfynd.xlsx", "A 13365-2024")</f>
        <v/>
      </c>
      <c r="X13">
        <f>HYPERLINK("https://klasma.github.io/Logging_1446/kartor/A 13365-2024 karta.png", "A 13365-2024")</f>
        <v/>
      </c>
      <c r="Y13">
        <f>HYPERLINK("https://klasma.github.io/Logging_1446/kartor_geotiff/A 13365-2024 georefererad karta.tif", "A 13365-2024")</f>
        <v/>
      </c>
      <c r="AA13">
        <f>HYPERLINK("https://klasma.github.io/Logging_1446/klagomål/A 13365-2024 FSC-klagomål.docx", "A 13365-2024")</f>
        <v/>
      </c>
      <c r="AB13">
        <f>HYPERLINK("https://klasma.github.io/Logging_1446/klagomålsmail/A 13365-2024 FSC-klagomål mail.docx", "A 13365-2024")</f>
        <v/>
      </c>
      <c r="AC13">
        <f>HYPERLINK("https://klasma.github.io/Logging_1446/tillsyn/A 13365-2024 tillsynsbegäran.docx", "A 13365-2024")</f>
        <v/>
      </c>
      <c r="AD13">
        <f>HYPERLINK("https://klasma.github.io/Logging_1446/tillsynsmail/A 13365-2024 tillsynsbegäran mail.docx", "A 13365-2024")</f>
        <v/>
      </c>
      <c r="AE13">
        <f>HYPERLINK("https://klasma.github.io/Logging_1446/fåglar/A 13365-2024 prioriterade fågelarter.docx", "A 13365-2024")</f>
        <v/>
      </c>
    </row>
    <row r="14" ht="15" customHeight="1">
      <c r="A14" t="inlineStr">
        <is>
          <t>A 38204-2024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45545</v>
      </c>
      <c r="E14" s="1" t="n">
        <v>46237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5.4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6</v>
      </c>
      <c r="V14" s="2" t="inlineStr">
        <is>
          <t>Knärot
Kungsfågel</t>
        </is>
      </c>
      <c r="W14">
        <f>HYPERLINK("https://klasma.github.io/Logging_1446/artfynd/A 38204-2024 artfynd.xlsx", "A 38204-2024")</f>
        <v/>
      </c>
      <c r="X14">
        <f>HYPERLINK("https://klasma.github.io/Logging_1446/kartor/A 38204-2024 karta.png", "A 38204-2024")</f>
        <v/>
      </c>
      <c r="Y14">
        <f>HYPERLINK("https://klasma.github.io/Logging_1446/kartor_geotiff/A 38204-2024 georefererad karta.tif", "A 38204-2024")</f>
        <v/>
      </c>
      <c r="Z14">
        <f>HYPERLINK("https://klasma.github.io/Logging_1446/knärot/A 38204-2024 karta knärot.png", "A 38204-2024")</f>
        <v/>
      </c>
      <c r="AA14">
        <f>HYPERLINK("https://klasma.github.io/Logging_1446/klagomål/A 38204-2024 FSC-klagomål.docx", "A 38204-2024")</f>
        <v/>
      </c>
      <c r="AB14">
        <f>HYPERLINK("https://klasma.github.io/Logging_1446/klagomålsmail/A 38204-2024 FSC-klagomål mail.docx", "A 38204-2024")</f>
        <v/>
      </c>
      <c r="AC14">
        <f>HYPERLINK("https://klasma.github.io/Logging_1446/tillsyn/A 38204-2024 tillsynsbegäran.docx", "A 38204-2024")</f>
        <v/>
      </c>
      <c r="AD14">
        <f>HYPERLINK("https://klasma.github.io/Logging_1446/tillsynsmail/A 38204-2024 tillsynsbegäran mail.docx", "A 38204-2024")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46237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A 52381-2024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45609</v>
      </c>
      <c r="E16" s="1" t="n">
        <v>46237</v>
      </c>
      <c r="F16" t="inlineStr">
        <is>
          <t>VÄSTRA GÖTALANDS LÄN</t>
        </is>
      </c>
      <c r="G16" t="inlineStr">
        <is>
          <t>KARLSBORG</t>
        </is>
      </c>
      <c r="I16" t="n">
        <v>1.4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Knärot
Spillkråka</t>
        </is>
      </c>
      <c r="W16">
        <f>HYPERLINK("https://klasma.github.io/Logging_1446/artfynd/A 52381-2024 artfynd.xlsx", "A 52381-2024")</f>
        <v/>
      </c>
      <c r="X16">
        <f>HYPERLINK("https://klasma.github.io/Logging_1446/kartor/A 52381-2024 karta.png", "A 52381-2024")</f>
        <v/>
      </c>
      <c r="Y16">
        <f>HYPERLINK("https://klasma.github.io/Logging_1446/kartor_geotiff/A 52381-2024 georefererad karta.tif", "A 52381-2024")</f>
        <v/>
      </c>
      <c r="Z16">
        <f>HYPERLINK("https://klasma.github.io/Logging_1446/knärot/A 52381-2024 karta knärot.png", "A 52381-2024")</f>
        <v/>
      </c>
      <c r="AA16">
        <f>HYPERLINK("https://klasma.github.io/Logging_1446/klagomål/A 52381-2024 FSC-klagomål.docx", "A 52381-2024")</f>
        <v/>
      </c>
      <c r="AB16">
        <f>HYPERLINK("https://klasma.github.io/Logging_1446/klagomålsmail/A 52381-2024 FSC-klagomål mail.docx", "A 52381-2024")</f>
        <v/>
      </c>
      <c r="AC16">
        <f>HYPERLINK("https://klasma.github.io/Logging_1446/tillsyn/A 52381-2024 tillsynsbegäran.docx", "A 52381-2024")</f>
        <v/>
      </c>
      <c r="AD16">
        <f>HYPERLINK("https://klasma.github.io/Logging_1446/tillsynsmail/A 52381-2024 tillsynsbegäran mail.docx", "A 52381-2024")</f>
        <v/>
      </c>
      <c r="AE16">
        <f>HYPERLINK("https://klasma.github.io/Logging_1446/fåglar/A 52381-2024 prioriterade fågelarter.docx", "A 52381-2024")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46237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46237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8984-2025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46237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Tjäder</t>
        </is>
      </c>
      <c r="W19">
        <f>HYPERLINK("https://klasma.github.io/Logging_1446/artfynd/A 8984-2025 artfynd.xlsx", "A 8984-2025")</f>
        <v/>
      </c>
      <c r="X19">
        <f>HYPERLINK("https://klasma.github.io/Logging_1446/kartor/A 8984-2025 karta.png", "A 8984-2025")</f>
        <v/>
      </c>
      <c r="Y19">
        <f>HYPERLINK("https://klasma.github.io/Logging_1446/kartor_geotiff/A 8984-2025 georefererad karta.tif", "A 8984-2025")</f>
        <v/>
      </c>
      <c r="AA19">
        <f>HYPERLINK("https://klasma.github.io/Logging_1446/klagomål/A 8984-2025 FSC-klagomål.docx", "A 8984-2025")</f>
        <v/>
      </c>
      <c r="AB19">
        <f>HYPERLINK("https://klasma.github.io/Logging_1446/klagomålsmail/A 8984-2025 FSC-klagomål mail.docx", "A 8984-2025")</f>
        <v/>
      </c>
      <c r="AC19">
        <f>HYPERLINK("https://klasma.github.io/Logging_1446/tillsyn/A 8984-2025 tillsynsbegäran.docx", "A 8984-2025")</f>
        <v/>
      </c>
      <c r="AD19">
        <f>HYPERLINK("https://klasma.github.io/Logging_1446/tillsynsmail/A 8984-2025 tillsynsbegäran mail.docx", "A 8984-2025")</f>
        <v/>
      </c>
      <c r="AE19">
        <f>HYPERLINK("https://klasma.github.io/Logging_1446/fåglar/A 8984-2025 prioriterade fågelarter.docx", "A 8984-2025")</f>
        <v/>
      </c>
    </row>
    <row r="20" ht="15" customHeight="1">
      <c r="A20" t="inlineStr">
        <is>
          <t>A 23973-2023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45075</v>
      </c>
      <c r="E20" s="1" t="n">
        <v>46237</v>
      </c>
      <c r="F20" t="inlineStr">
        <is>
          <t>VÄSTRA GÖTALANDS LÄN</t>
        </is>
      </c>
      <c r="G20" t="inlineStr">
        <is>
          <t>KARLSBORG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Orre</t>
        </is>
      </c>
      <c r="W20">
        <f>HYPERLINK("https://klasma.github.io/Logging_1446/artfynd/A 23973-2023 artfynd.xlsx", "A 23973-2023")</f>
        <v/>
      </c>
      <c r="X20">
        <f>HYPERLINK("https://klasma.github.io/Logging_1446/kartor/A 23973-2023 karta.png", "A 23973-2023")</f>
        <v/>
      </c>
      <c r="Y20">
        <f>HYPERLINK("https://klasma.github.io/Logging_1446/kartor_geotiff/A 23973-2023 georefererad karta.tif", "A 23973-2023")</f>
        <v/>
      </c>
      <c r="AA20">
        <f>HYPERLINK("https://klasma.github.io/Logging_1446/klagomål/A 23973-2023 FSC-klagomål.docx", "A 23973-2023")</f>
        <v/>
      </c>
      <c r="AB20">
        <f>HYPERLINK("https://klasma.github.io/Logging_1446/klagomålsmail/A 23973-2023 FSC-klagomål mail.docx", "A 23973-2023")</f>
        <v/>
      </c>
      <c r="AC20">
        <f>HYPERLINK("https://klasma.github.io/Logging_1446/tillsyn/A 23973-2023 tillsynsbegäran.docx", "A 23973-2023")</f>
        <v/>
      </c>
      <c r="AD20">
        <f>HYPERLINK("https://klasma.github.io/Logging_1446/tillsynsmail/A 23973-2023 tillsynsbegäran mail.docx", "A 23973-2023")</f>
        <v/>
      </c>
      <c r="AE20">
        <f>HYPERLINK("https://klasma.github.io/Logging_1446/fåglar/A 23973-2023 prioriterade fågelarter.docx", "A 23973-2023")</f>
        <v/>
      </c>
    </row>
    <row r="21" ht="15" customHeight="1">
      <c r="A21" t="inlineStr">
        <is>
          <t>A 29156-2026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46202</v>
      </c>
      <c r="E21" s="1" t="n">
        <v>46237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1.2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Spindelblomster</t>
        </is>
      </c>
      <c r="W21">
        <f>HYPERLINK("https://klasma.github.io/Logging_1446/artfynd/A 29156-2026 artfynd.xlsx", "A 29156-2026")</f>
        <v/>
      </c>
      <c r="X21">
        <f>HYPERLINK("https://klasma.github.io/Logging_1446/kartor/A 29156-2026 karta.png", "A 29156-2026")</f>
        <v/>
      </c>
      <c r="Y21">
        <f>HYPERLINK("https://klasma.github.io/Logging_1446/kartor_geotiff/A 29156-2026 georefererad karta.tif", "A 29156-2026")</f>
        <v/>
      </c>
      <c r="AA21">
        <f>HYPERLINK("https://klasma.github.io/Logging_1446/klagomål/A 29156-2026 FSC-klagomål.docx", "A 29156-2026")</f>
        <v/>
      </c>
      <c r="AB21">
        <f>HYPERLINK("https://klasma.github.io/Logging_1446/klagomålsmail/A 29156-2026 FSC-klagomål mail.docx", "A 29156-2026")</f>
        <v/>
      </c>
      <c r="AC21">
        <f>HYPERLINK("https://klasma.github.io/Logging_1446/tillsyn/A 29156-2026 tillsynsbegäran.docx", "A 29156-2026")</f>
        <v/>
      </c>
      <c r="AD21">
        <f>HYPERLINK("https://klasma.github.io/Logging_1446/tillsynsmail/A 29156-2026 tillsynsbegäran mail.docx", "A 29156-2026")</f>
        <v/>
      </c>
    </row>
    <row r="22" ht="15" customHeight="1">
      <c r="A22" t="inlineStr">
        <is>
          <t>A 4448-2026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46045</v>
      </c>
      <c r="E22" s="1" t="n">
        <v>46237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trolldruva</t>
        </is>
      </c>
      <c r="W22">
        <f>HYPERLINK("https://klasma.github.io/Logging_1446/artfynd/A 4448-2026 artfynd.xlsx", "A 4448-2026")</f>
        <v/>
      </c>
      <c r="X22">
        <f>HYPERLINK("https://klasma.github.io/Logging_1446/kartor/A 4448-2026 karta.png", "A 4448-2026")</f>
        <v/>
      </c>
      <c r="Y22">
        <f>HYPERLINK("https://klasma.github.io/Logging_1446/kartor_geotiff/A 4448-2026 georefererad karta.tif", "A 4448-2026")</f>
        <v/>
      </c>
      <c r="AA22">
        <f>HYPERLINK("https://klasma.github.io/Logging_1446/klagomål/A 4448-2026 FSC-klagomål.docx", "A 4448-2026")</f>
        <v/>
      </c>
      <c r="AB22">
        <f>HYPERLINK("https://klasma.github.io/Logging_1446/klagomålsmail/A 4448-2026 FSC-klagomål mail.docx", "A 4448-2026")</f>
        <v/>
      </c>
      <c r="AC22">
        <f>HYPERLINK("https://klasma.github.io/Logging_1446/tillsyn/A 4448-2026 tillsynsbegäran.docx", "A 4448-2026")</f>
        <v/>
      </c>
      <c r="AD22">
        <f>HYPERLINK("https://klasma.github.io/Logging_1446/tillsynsmail/A 4448-2026 tillsynsbegäran mail.docx", "A 4448-2026")</f>
        <v/>
      </c>
    </row>
    <row r="23" ht="15" customHeight="1">
      <c r="A23" t="inlineStr">
        <is>
          <t>A 31801-2026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46230</v>
      </c>
      <c r="E23" s="1" t="n">
        <v>46237</v>
      </c>
      <c r="F23" t="inlineStr">
        <is>
          <t>VÄSTRA GÖTALANDS LÄN</t>
        </is>
      </c>
      <c r="G23" t="inlineStr">
        <is>
          <t>KARLSBORG</t>
        </is>
      </c>
      <c r="I23" t="n">
        <v>1.3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5</v>
      </c>
      <c r="U23" t="n">
        <v>0</v>
      </c>
      <c r="V23" s="2" t="inlineStr">
        <is>
          <t>Knärot</t>
        </is>
      </c>
      <c r="W23">
        <f>HYPERLINK("https://klasma.github.io/Logging_1446/artfynd/A 31801-2026 artfynd.xlsx", "A 31801-2026")</f>
        <v/>
      </c>
      <c r="X23">
        <f>HYPERLINK("https://klasma.github.io/Logging_1446/kartor/A 31801-2026 karta.png", "A 31801-2026")</f>
        <v/>
      </c>
      <c r="Y23">
        <f>HYPERLINK("https://klasma.github.io/Logging_1446/kartor_geotiff/A 31801-2026 georefererad karta.tif", "A 31801-2026")</f>
        <v/>
      </c>
      <c r="Z23">
        <f>HYPERLINK("https://klasma.github.io/Logging_1446/knärot/A 31801-2026 karta knärot.png", "A 31801-2026")</f>
        <v/>
      </c>
      <c r="AA23">
        <f>HYPERLINK("https://klasma.github.io/Logging_1446/klagomål/A 31801-2026 FSC-klagomål.docx", "A 31801-2026")</f>
        <v/>
      </c>
      <c r="AB23">
        <f>HYPERLINK("https://klasma.github.io/Logging_1446/klagomålsmail/A 31801-2026 FSC-klagomål mail.docx", "A 31801-2026")</f>
        <v/>
      </c>
      <c r="AC23">
        <f>HYPERLINK("https://klasma.github.io/Logging_1446/tillsyn/A 31801-2026 tillsynsbegäran.docx", "A 31801-2026")</f>
        <v/>
      </c>
      <c r="AD23">
        <f>HYPERLINK("https://klasma.github.io/Logging_1446/tillsynsmail/A 31801-2026 tillsynsbegäran mail.docx", "A 31801-2026")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46237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Ask</t>
        </is>
      </c>
      <c r="W24">
        <f>HYPERLINK("https://klasma.github.io/Logging_1446/artfynd/A 59712-2021 artfynd.xlsx", "A 59712-2021")</f>
        <v/>
      </c>
      <c r="X24">
        <f>HYPERLINK("https://klasma.github.io/Logging_1446/kartor/A 59712-2021 karta.png", "A 59712-2021")</f>
        <v/>
      </c>
      <c r="Y24">
        <f>HYPERLINK("https://klasma.github.io/Logging_1446/kartor_geotiff/A 59712-2021 georefererad karta.tif", "A 59712-2021")</f>
        <v/>
      </c>
      <c r="AA24">
        <f>HYPERLINK("https://klasma.github.io/Logging_1446/klagomål/A 59712-2021 FSC-klagomål.docx", "A 59712-2021")</f>
        <v/>
      </c>
      <c r="AB24">
        <f>HYPERLINK("https://klasma.github.io/Logging_1446/klagomålsmail/A 59712-2021 FSC-klagomål mail.docx", "A 59712-2021")</f>
        <v/>
      </c>
      <c r="AC24">
        <f>HYPERLINK("https://klasma.github.io/Logging_1446/tillsyn/A 59712-2021 tillsynsbegäran.docx", "A 59712-2021")</f>
        <v/>
      </c>
      <c r="AD24">
        <f>HYPERLINK("https://klasma.github.io/Logging_1446/tillsynsmail/A 59712-2021 tillsynsbegäran mail.docx", "A 59712-2021")</f>
        <v/>
      </c>
    </row>
    <row r="25" ht="15" customHeight="1">
      <c r="A25" t="inlineStr">
        <is>
          <t>A 9337-2025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45714</v>
      </c>
      <c r="E25" s="1" t="n">
        <v>46237</v>
      </c>
      <c r="F25" t="inlineStr">
        <is>
          <t>VÄSTRA GÖTALANDS LÄN</t>
        </is>
      </c>
      <c r="G25" t="inlineStr">
        <is>
          <t>KARLSBORG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HYPERLINK("https://klasma.github.io/Logging_1446/artfynd/A 9337-2025 artfynd.xlsx", "A 9337-2025")</f>
        <v/>
      </c>
      <c r="X25">
        <f>HYPERLINK("https://klasma.github.io/Logging_1446/kartor/A 9337-2025 karta.png", "A 9337-2025")</f>
        <v/>
      </c>
      <c r="Y25">
        <f>HYPERLINK("https://klasma.github.io/Logging_1446/kartor_geotiff/A 9337-2025 georefererad karta.tif", "A 9337-2025")</f>
        <v/>
      </c>
      <c r="AA25">
        <f>HYPERLINK("https://klasma.github.io/Logging_1446/klagomål/A 9337-2025 FSC-klagomål.docx", "A 9337-2025")</f>
        <v/>
      </c>
      <c r="AB25">
        <f>HYPERLINK("https://klasma.github.io/Logging_1446/klagomålsmail/A 9337-2025 FSC-klagomål mail.docx", "A 9337-2025")</f>
        <v/>
      </c>
      <c r="AC25">
        <f>HYPERLINK("https://klasma.github.io/Logging_1446/tillsyn/A 9337-2025 tillsynsbegäran.docx", "A 9337-2025")</f>
        <v/>
      </c>
      <c r="AD25">
        <f>HYPERLINK("https://klasma.github.io/Logging_1446/tillsynsmail/A 9337-2025 tillsynsbegäran mail.docx", "A 9337-2025")</f>
        <v/>
      </c>
    </row>
    <row r="26" ht="15" customHeight="1">
      <c r="A26" t="inlineStr">
        <is>
          <t>A 51531-2023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45222</v>
      </c>
      <c r="E26" s="1" t="n">
        <v>46237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Kommuner</t>
        </is>
      </c>
      <c r="I26" t="n">
        <v>11.2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HYPERLINK("https://klasma.github.io/Logging_1446/artfynd/A 51531-2023 artfynd.xlsx", "A 51531-2023")</f>
        <v/>
      </c>
      <c r="X26">
        <f>HYPERLINK("https://klasma.github.io/Logging_1446/kartor/A 51531-2023 karta.png", "A 51531-2023")</f>
        <v/>
      </c>
      <c r="Y26">
        <f>HYPERLINK("https://klasma.github.io/Logging_1446/kartor_geotiff/A 51531-2023 georefererad karta.tif", "A 51531-2023")</f>
        <v/>
      </c>
      <c r="AA26">
        <f>HYPERLINK("https://klasma.github.io/Logging_1446/klagomål/A 51531-2023 FSC-klagomål.docx", "A 51531-2023")</f>
        <v/>
      </c>
      <c r="AB26">
        <f>HYPERLINK("https://klasma.github.io/Logging_1446/klagomålsmail/A 51531-2023 FSC-klagomål mail.docx", "A 51531-2023")</f>
        <v/>
      </c>
      <c r="AC26">
        <f>HYPERLINK("https://klasma.github.io/Logging_1446/tillsyn/A 51531-2023 tillsynsbegäran.docx", "A 51531-2023")</f>
        <v/>
      </c>
      <c r="AD26">
        <f>HYPERLINK("https://klasma.github.io/Logging_1446/tillsynsmail/A 51531-2023 tillsynsbegäran mail.docx", "A 51531-2023")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46237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18567-2026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46237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2.6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18567-2026 artfynd.xlsx", "A 18567-2026")</f>
        <v/>
      </c>
      <c r="X28">
        <f>HYPERLINK("https://klasma.github.io/Logging_1446/kartor/A 18567-2026 karta.png", "A 18567-2026")</f>
        <v/>
      </c>
      <c r="Y28">
        <f>HYPERLINK("https://klasma.github.io/Logging_1446/kartor_geotiff/A 18567-2026 georefererad karta.tif", "A 18567-2026")</f>
        <v/>
      </c>
      <c r="AA28">
        <f>HYPERLINK("https://klasma.github.io/Logging_1446/klagomål/A 18567-2026 FSC-klagomål.docx", "A 18567-2026")</f>
        <v/>
      </c>
      <c r="AB28">
        <f>HYPERLINK("https://klasma.github.io/Logging_1446/klagomålsmail/A 18567-2026 FSC-klagomål mail.docx", "A 18567-2026")</f>
        <v/>
      </c>
      <c r="AC28">
        <f>HYPERLINK("https://klasma.github.io/Logging_1446/tillsyn/A 18567-2026 tillsynsbegäran.docx", "A 18567-2026")</f>
        <v/>
      </c>
      <c r="AD28">
        <f>HYPERLINK("https://klasma.github.io/Logging_1446/tillsynsmail/A 18567-2026 tillsynsbegäran mail.docx", "A 18567-2026")</f>
        <v/>
      </c>
    </row>
    <row r="29" ht="15" customHeight="1">
      <c r="A29" t="inlineStr">
        <is>
          <t>A 29484-2025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45824</v>
      </c>
      <c r="E29" s="1" t="n">
        <v>46237</v>
      </c>
      <c r="F29" t="inlineStr">
        <is>
          <t>VÄSTRA GÖTALANDS LÄN</t>
        </is>
      </c>
      <c r="G29" t="inlineStr">
        <is>
          <t>KARLSBORG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Blåsippa</t>
        </is>
      </c>
      <c r="W29">
        <f>HYPERLINK("https://klasma.github.io/Logging_1446/artfynd/A 29484-2025 artfynd.xlsx", "A 29484-2025")</f>
        <v/>
      </c>
      <c r="X29">
        <f>HYPERLINK("https://klasma.github.io/Logging_1446/kartor/A 29484-2025 karta.png", "A 29484-2025")</f>
        <v/>
      </c>
      <c r="Y29">
        <f>HYPERLINK("https://klasma.github.io/Logging_1446/kartor_geotiff/A 29484-2025 georefererad karta.tif", "A 29484-2025")</f>
        <v/>
      </c>
      <c r="AA29">
        <f>HYPERLINK("https://klasma.github.io/Logging_1446/klagomål/A 29484-2025 FSC-klagomål.docx", "A 29484-2025")</f>
        <v/>
      </c>
      <c r="AB29">
        <f>HYPERLINK("https://klasma.github.io/Logging_1446/klagomålsmail/A 29484-2025 FSC-klagomål mail.docx", "A 29484-2025")</f>
        <v/>
      </c>
      <c r="AC29">
        <f>HYPERLINK("https://klasma.github.io/Logging_1446/tillsyn/A 29484-2025 tillsynsbegäran.docx", "A 29484-2025")</f>
        <v/>
      </c>
      <c r="AD29">
        <f>HYPERLINK("https://klasma.github.io/Logging_1446/tillsynsmail/A 29484-2025 tillsynsbegäran mail.docx", "A 29484-2025")</f>
        <v/>
      </c>
    </row>
    <row r="30" ht="15" customHeight="1">
      <c r="A30" t="inlineStr">
        <is>
          <t>A 28315-2025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45818</v>
      </c>
      <c r="E30" s="1" t="n">
        <v>46237</v>
      </c>
      <c r="F30" t="inlineStr">
        <is>
          <t>VÄSTRA GÖTALANDS LÄN</t>
        </is>
      </c>
      <c r="G30" t="inlineStr">
        <is>
          <t>KARLSBORG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Rostfläck</t>
        </is>
      </c>
      <c r="W30">
        <f>HYPERLINK("https://klasma.github.io/Logging_1446/artfynd/A 28315-2025 artfynd.xlsx", "A 28315-2025")</f>
        <v/>
      </c>
      <c r="X30">
        <f>HYPERLINK("https://klasma.github.io/Logging_1446/kartor/A 28315-2025 karta.png", "A 28315-2025")</f>
        <v/>
      </c>
      <c r="Y30">
        <f>HYPERLINK("https://klasma.github.io/Logging_1446/kartor_geotiff/A 28315-2025 georefererad karta.tif", "A 28315-2025")</f>
        <v/>
      </c>
      <c r="AA30">
        <f>HYPERLINK("https://klasma.github.io/Logging_1446/klagomål/A 28315-2025 FSC-klagomål.docx", "A 28315-2025")</f>
        <v/>
      </c>
      <c r="AB30">
        <f>HYPERLINK("https://klasma.github.io/Logging_1446/klagomålsmail/A 28315-2025 FSC-klagomål mail.docx", "A 28315-2025")</f>
        <v/>
      </c>
      <c r="AC30">
        <f>HYPERLINK("https://klasma.github.io/Logging_1446/tillsyn/A 28315-2025 tillsynsbegäran.docx", "A 28315-2025")</f>
        <v/>
      </c>
      <c r="AD30">
        <f>HYPERLINK("https://klasma.github.io/Logging_1446/tillsynsmail/A 28315-2025 tillsynsbegäran mail.docx", "A 28315-2025")</f>
        <v/>
      </c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46237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3290-2022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44584</v>
      </c>
      <c r="E32" s="1" t="n">
        <v>46237</v>
      </c>
      <c r="F32" t="inlineStr">
        <is>
          <t>VÄSTRA GÖTALANDS LÄN</t>
        </is>
      </c>
      <c r="G32" t="inlineStr">
        <is>
          <t>KARLSBORG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46237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70939-2021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46237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61223-2021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44496</v>
      </c>
      <c r="E35" s="1" t="n">
        <v>46237</v>
      </c>
      <c r="F35" t="inlineStr">
        <is>
          <t>VÄSTRA GÖTALANDS LÄN</t>
        </is>
      </c>
      <c r="G35" t="inlineStr">
        <is>
          <t>KARLSBORG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46237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Sveaskog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47692-2021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46237</v>
      </c>
      <c r="F37" t="inlineStr">
        <is>
          <t>VÄSTRA GÖTALANDS LÄN</t>
        </is>
      </c>
      <c r="G37" t="inlineStr">
        <is>
          <t>KARLSBORG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53700-2021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44469</v>
      </c>
      <c r="E38" s="1" t="n">
        <v>46237</v>
      </c>
      <c r="F38" t="inlineStr">
        <is>
          <t>VÄSTRA GÖTALANDS LÄN</t>
        </is>
      </c>
      <c r="G38" t="inlineStr">
        <is>
          <t>KARLSBORG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46237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Aktiebolag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46237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44426</v>
      </c>
      <c r="E41" s="1" t="n">
        <v>46237</v>
      </c>
      <c r="F41" t="inlineStr">
        <is>
          <t>VÄSTRA GÖTALANDS LÄN</t>
        </is>
      </c>
      <c r="G41" t="inlineStr">
        <is>
          <t>KARLSBORG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8052-2023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46237</v>
      </c>
      <c r="F42" t="inlineStr">
        <is>
          <t>VÄSTRA GÖTALANDS LÄN</t>
        </is>
      </c>
      <c r="G42" t="inlineStr">
        <is>
          <t>KARLSBORG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58533-2023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45251</v>
      </c>
      <c r="E43" s="1" t="n">
        <v>46237</v>
      </c>
      <c r="F43" t="inlineStr">
        <is>
          <t>VÄSTRA GÖTALANDS LÄN</t>
        </is>
      </c>
      <c r="G43" t="inlineStr">
        <is>
          <t>KARLSBORG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46237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46237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46237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44538</v>
      </c>
      <c r="E47" s="1" t="n">
        <v>46237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26914-2024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45470</v>
      </c>
      <c r="E48" s="1" t="n">
        <v>46237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44599</v>
      </c>
      <c r="E49" s="1" t="n">
        <v>46237</v>
      </c>
      <c r="F49" t="inlineStr">
        <is>
          <t>VÄSTRA GÖTALANDS LÄN</t>
        </is>
      </c>
      <c r="G49" t="inlineStr">
        <is>
          <t>KARLSBORG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15396-2024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45401</v>
      </c>
      <c r="E50" s="1" t="n">
        <v>46237</v>
      </c>
      <c r="F50" t="inlineStr">
        <is>
          <t>VÄSTRA GÖTALANDS LÄN</t>
        </is>
      </c>
      <c r="G50" t="inlineStr">
        <is>
          <t>KARLSBORG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44795</v>
      </c>
      <c r="E51" s="1" t="n">
        <v>46237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30136-2024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45489</v>
      </c>
      <c r="E52" s="1" t="n">
        <v>46237</v>
      </c>
      <c r="F52" t="inlineStr">
        <is>
          <t>VÄSTRA GÖTALANDS LÄN</t>
        </is>
      </c>
      <c r="G52" t="inlineStr">
        <is>
          <t>KARLSBORG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29357-2024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45483</v>
      </c>
      <c r="E53" s="1" t="n">
        <v>46237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59877-2021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46237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Övriga statliga verk och myndigheter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61542-2023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45265</v>
      </c>
      <c r="E55" s="1" t="n">
        <v>46237</v>
      </c>
      <c r="F55" t="inlineStr">
        <is>
          <t>VÄSTRA GÖTALANDS LÄN</t>
        </is>
      </c>
      <c r="G55" t="inlineStr">
        <is>
          <t>KARLSBORG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45436</v>
      </c>
      <c r="E56" s="1" t="n">
        <v>46237</v>
      </c>
      <c r="F56" t="inlineStr">
        <is>
          <t>VÄSTRA GÖTALANDS LÄN</t>
        </is>
      </c>
      <c r="G56" t="inlineStr">
        <is>
          <t>KARLSBORG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46237</v>
      </c>
      <c r="F57" t="inlineStr">
        <is>
          <t>VÄSTRA GÖTALANDS LÄN</t>
        </is>
      </c>
      <c r="G57" t="inlineStr">
        <is>
          <t>KARLSBORG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41684-2023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45176</v>
      </c>
      <c r="E58" s="1" t="n">
        <v>46237</v>
      </c>
      <c r="F58" t="inlineStr">
        <is>
          <t>VÄSTRA GÖTALANDS LÄN</t>
        </is>
      </c>
      <c r="G58" t="inlineStr">
        <is>
          <t>KARLSBORG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38995-2024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45548</v>
      </c>
      <c r="E59" s="1" t="n">
        <v>46237</v>
      </c>
      <c r="F59" t="inlineStr">
        <is>
          <t>VÄSTRA GÖTALANDS LÄN</t>
        </is>
      </c>
      <c r="G59" t="inlineStr">
        <is>
          <t>KARLSBORG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44939</v>
      </c>
      <c r="E60" s="1" t="n">
        <v>46237</v>
      </c>
      <c r="F60" t="inlineStr">
        <is>
          <t>VÄSTRA GÖTALANDS LÄN</t>
        </is>
      </c>
      <c r="G60" t="inlineStr">
        <is>
          <t>KARLSBORG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58129-2024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45632</v>
      </c>
      <c r="E61" s="1" t="n">
        <v>46237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25999-2023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45090</v>
      </c>
      <c r="E62" s="1" t="n">
        <v>46237</v>
      </c>
      <c r="F62" t="inlineStr">
        <is>
          <t>VÄSTRA GÖTALANDS LÄN</t>
        </is>
      </c>
      <c r="G62" t="inlineStr">
        <is>
          <t>KARLSBORG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46237</v>
      </c>
      <c r="F63" t="inlineStr">
        <is>
          <t>VÄSTRA GÖTALANDS LÄN</t>
        </is>
      </c>
      <c r="G63" t="inlineStr">
        <is>
          <t>KARLSBORG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26016-2023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45090</v>
      </c>
      <c r="E64" s="1" t="n">
        <v>46237</v>
      </c>
      <c r="F64" t="inlineStr">
        <is>
          <t>VÄSTRA GÖTALANDS LÄN</t>
        </is>
      </c>
      <c r="G64" t="inlineStr">
        <is>
          <t>KARLSBORG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46237</v>
      </c>
      <c r="F65" t="inlineStr">
        <is>
          <t>VÄSTRA GÖTALANDS LÄN</t>
        </is>
      </c>
      <c r="G65" t="inlineStr">
        <is>
          <t>KARLSBORG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25697-2023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46237</v>
      </c>
      <c r="F66" t="inlineStr">
        <is>
          <t>VÄSTRA GÖTALANDS LÄN</t>
        </is>
      </c>
      <c r="G66" t="inlineStr">
        <is>
          <t>KARLSBORG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45589</v>
      </c>
      <c r="E67" s="1" t="n">
        <v>46237</v>
      </c>
      <c r="F67" t="inlineStr">
        <is>
          <t>VÄSTRA GÖTALANDS LÄN</t>
        </is>
      </c>
      <c r="G67" t="inlineStr">
        <is>
          <t>KARLSBORG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45090</v>
      </c>
      <c r="E68" s="1" t="n">
        <v>46237</v>
      </c>
      <c r="F68" t="inlineStr">
        <is>
          <t>VÄSTRA GÖTALANDS LÄN</t>
        </is>
      </c>
      <c r="G68" t="inlineStr">
        <is>
          <t>KARLSBORG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56541-2023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46237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45394</v>
      </c>
      <c r="E70" s="1" t="n">
        <v>46237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Sveaskog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14703-2025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45742</v>
      </c>
      <c r="E71" s="1" t="n">
        <v>46237</v>
      </c>
      <c r="F71" t="inlineStr">
        <is>
          <t>VÄSTRA GÖTALANDS LÄN</t>
        </is>
      </c>
      <c r="G71" t="inlineStr">
        <is>
          <t>KARLSBORG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46237</v>
      </c>
      <c r="F72" t="inlineStr">
        <is>
          <t>VÄSTRA GÖTALANDS LÄN</t>
        </is>
      </c>
      <c r="G72" t="inlineStr">
        <is>
          <t>KARLSBORG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44595</v>
      </c>
      <c r="E73" s="1" t="n">
        <v>46237</v>
      </c>
      <c r="F73" t="inlineStr">
        <is>
          <t>VÄSTRA GÖTALANDS LÄN</t>
        </is>
      </c>
      <c r="G73" t="inlineStr">
        <is>
          <t>KARLSBORG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46237</v>
      </c>
      <c r="F74" t="inlineStr">
        <is>
          <t>VÄSTRA GÖTALANDS LÄN</t>
        </is>
      </c>
      <c r="G74" t="inlineStr">
        <is>
          <t>KARLSBORG</t>
        </is>
      </c>
      <c r="I74" t="n">
        <v>9.5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42757-2024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45566</v>
      </c>
      <c r="E75" s="1" t="n">
        <v>46237</v>
      </c>
      <c r="F75" t="inlineStr">
        <is>
          <t>VÄSTRA GÖTALANDS LÄN</t>
        </is>
      </c>
      <c r="G75" t="inlineStr">
        <is>
          <t>KARLSBORG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42598-2024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45565</v>
      </c>
      <c r="E76" s="1" t="n">
        <v>46237</v>
      </c>
      <c r="F76" t="inlineStr">
        <is>
          <t>VÄSTRA GÖTALANDS LÄN</t>
        </is>
      </c>
      <c r="G76" t="inlineStr">
        <is>
          <t>KARLSBORG</t>
        </is>
      </c>
      <c r="I76" t="n">
        <v>8.9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29490-2025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45824</v>
      </c>
      <c r="E77" s="1" t="n">
        <v>46237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Aktiebolag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46237</v>
      </c>
      <c r="F78" t="inlineStr">
        <is>
          <t>VÄSTRA GÖTALANDS LÄN</t>
        </is>
      </c>
      <c r="G78" t="inlineStr">
        <is>
          <t>KARLSBORG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45002</v>
      </c>
      <c r="E79" s="1" t="n">
        <v>46237</v>
      </c>
      <c r="F79" t="inlineStr">
        <is>
          <t>VÄSTRA GÖTALANDS LÄN</t>
        </is>
      </c>
      <c r="G79" t="inlineStr">
        <is>
          <t>KARLSBORG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8053-2023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46237</v>
      </c>
      <c r="F80" t="inlineStr">
        <is>
          <t>VÄSTRA GÖTALANDS LÄN</t>
        </is>
      </c>
      <c r="G80" t="inlineStr">
        <is>
          <t>KARLSBORG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18623-2022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44687</v>
      </c>
      <c r="E81" s="1" t="n">
        <v>46237</v>
      </c>
      <c r="F81" t="inlineStr">
        <is>
          <t>VÄSTRA GÖTALANDS LÄN</t>
        </is>
      </c>
      <c r="G81" t="inlineStr">
        <is>
          <t>KARLSBORG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44937</v>
      </c>
      <c r="E82" s="1" t="n">
        <v>46237</v>
      </c>
      <c r="F82" t="inlineStr">
        <is>
          <t>VÄSTRA GÖTALANDS LÄN</t>
        </is>
      </c>
      <c r="G82" t="inlineStr">
        <is>
          <t>KARLSBORG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46237</v>
      </c>
      <c r="F83" t="inlineStr">
        <is>
          <t>VÄSTRA GÖTALANDS LÄN</t>
        </is>
      </c>
      <c r="G83" t="inlineStr">
        <is>
          <t>KARLSBORG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42724-2024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46237</v>
      </c>
      <c r="F84" t="inlineStr">
        <is>
          <t>VÄSTRA GÖTALANDS LÄN</t>
        </is>
      </c>
      <c r="G84" t="inlineStr">
        <is>
          <t>KARLSBORG</t>
        </is>
      </c>
      <c r="I84" t="n">
        <v>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45575</v>
      </c>
      <c r="E85" s="1" t="n">
        <v>46237</v>
      </c>
      <c r="F85" t="inlineStr">
        <is>
          <t>VÄSTRA GÖTALANDS LÄN</t>
        </is>
      </c>
      <c r="G85" t="inlineStr">
        <is>
          <t>KARLSBORG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46237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Kyrkan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45755</v>
      </c>
      <c r="E87" s="1" t="n">
        <v>46237</v>
      </c>
      <c r="F87" t="inlineStr">
        <is>
          <t>VÄSTRA GÖTALANDS LÄN</t>
        </is>
      </c>
      <c r="G87" t="inlineStr">
        <is>
          <t>KARLSBORG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59399-2022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44906</v>
      </c>
      <c r="E88" s="1" t="n">
        <v>46237</v>
      </c>
      <c r="F88" t="inlineStr">
        <is>
          <t>VÄSTRA GÖTALANDS LÄN</t>
        </is>
      </c>
      <c r="G88" t="inlineStr">
        <is>
          <t>KARLSBORG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33122-2022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46237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44906</v>
      </c>
      <c r="E90" s="1" t="n">
        <v>46237</v>
      </c>
      <c r="F90" t="inlineStr">
        <is>
          <t>VÄSTRA GÖTALANDS LÄN</t>
        </is>
      </c>
      <c r="G90" t="inlineStr">
        <is>
          <t>KARLSBORG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48888-2023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45209</v>
      </c>
      <c r="E91" s="1" t="n">
        <v>46237</v>
      </c>
      <c r="F91" t="inlineStr">
        <is>
          <t>VÄSTRA GÖTALANDS LÄN</t>
        </is>
      </c>
      <c r="G91" t="inlineStr">
        <is>
          <t>KARLSBORG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45916</v>
      </c>
      <c r="E92" s="1" t="n">
        <v>46237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48174-2024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45589</v>
      </c>
      <c r="E93" s="1" t="n">
        <v>46237</v>
      </c>
      <c r="F93" t="inlineStr">
        <is>
          <t>VÄSTRA GÖTALANDS LÄN</t>
        </is>
      </c>
      <c r="G93" t="inlineStr">
        <is>
          <t>KARLSBORG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45524</v>
      </c>
      <c r="E94" s="1" t="n">
        <v>46237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Aktiebolag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46237</v>
      </c>
      <c r="F95" t="inlineStr">
        <is>
          <t>VÄSTRA GÖTALANDS LÄN</t>
        </is>
      </c>
      <c r="G95" t="inlineStr">
        <is>
          <t>KARLSBORG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45256-2025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46237</v>
      </c>
      <c r="F96" t="inlineStr">
        <is>
          <t>VÄSTRA GÖTALANDS LÄN</t>
        </is>
      </c>
      <c r="G96" t="inlineStr">
        <is>
          <t>KARLSBORG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46045</v>
      </c>
      <c r="E97" s="1" t="n">
        <v>46237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Övriga Aktiebolag</t>
        </is>
      </c>
      <c r="I97" t="n">
        <v>10.2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35441-2024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45531</v>
      </c>
      <c r="E98" s="1" t="n">
        <v>46237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9.800000000000001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20937-2026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46142</v>
      </c>
      <c r="E99" s="1" t="n">
        <v>46237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Sveaskog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47265-2025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46237</v>
      </c>
      <c r="F100" t="inlineStr">
        <is>
          <t>VÄSTRA GÖTALANDS LÄN</t>
        </is>
      </c>
      <c r="G100" t="inlineStr">
        <is>
          <t>KARLSBORG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46237</v>
      </c>
      <c r="F101" t="inlineStr">
        <is>
          <t>VÄSTRA GÖTALANDS LÄN</t>
        </is>
      </c>
      <c r="G101" t="inlineStr">
        <is>
          <t>KARLSBORG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44929</v>
      </c>
      <c r="E102" s="1" t="n">
        <v>46237</v>
      </c>
      <c r="F102" t="inlineStr">
        <is>
          <t>VÄSTRA GÖTALANDS LÄN</t>
        </is>
      </c>
      <c r="G102" t="inlineStr">
        <is>
          <t>KARLSBORG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  <c r="X102">
        <f>HYPERLINK("https://klasma.github.io/Logging_1446/kartor/A 412-2023 karta.png", "A 412-2023")</f>
        <v/>
      </c>
      <c r="Y102">
        <f>HYPERLINK("https://klasma.github.io/Logging_1446/kartor_geotiff/A 412-2023 georefererad karta.tif", "A 412-2023")</f>
        <v/>
      </c>
      <c r="AA102">
        <f>HYPERLINK("https://klasma.github.io/Logging_1446/klagomål/A 412-2023 FSC-klagomål.docx", "A 412-2023")</f>
        <v/>
      </c>
      <c r="AB102">
        <f>HYPERLINK("https://klasma.github.io/Logging_1446/klagomålsmail/A 412-2023 FSC-klagomål mail.docx", "A 412-2023")</f>
        <v/>
      </c>
      <c r="AC102">
        <f>HYPERLINK("https://klasma.github.io/Logging_1446/tillsyn/A 412-2023 tillsynsbegäran.docx", "A 412-2023")</f>
        <v/>
      </c>
      <c r="AD102">
        <f>HYPERLINK("https://klasma.github.io/Logging_1446/tillsynsmail/A 412-2023 tillsynsbegäran mail.docx", "A 412-2023")</f>
        <v/>
      </c>
    </row>
    <row r="103" ht="15" customHeight="1">
      <c r="A103" t="inlineStr">
        <is>
          <t>A 20940-2026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46142</v>
      </c>
      <c r="E103" s="1" t="n">
        <v>46237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Sveaskog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10828-2024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45369</v>
      </c>
      <c r="E104" s="1" t="n">
        <v>46237</v>
      </c>
      <c r="F104" t="inlineStr">
        <is>
          <t>VÄSTRA GÖTALANDS LÄN</t>
        </is>
      </c>
      <c r="G104" t="inlineStr">
        <is>
          <t>KARLSBORG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45614</v>
      </c>
      <c r="E105" s="1" t="n">
        <v>46237</v>
      </c>
      <c r="F105" t="inlineStr">
        <is>
          <t>VÄSTRA GÖTALANDS LÄN</t>
        </is>
      </c>
      <c r="G105" t="inlineStr">
        <is>
          <t>KARLSBORG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45933</v>
      </c>
      <c r="E106" s="1" t="n">
        <v>46237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21014-2026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46143</v>
      </c>
      <c r="E107" s="1" t="n">
        <v>46237</v>
      </c>
      <c r="F107" t="inlineStr">
        <is>
          <t>VÄSTRA GÖTALANDS LÄN</t>
        </is>
      </c>
      <c r="G107" t="inlineStr">
        <is>
          <t>KARLSBORG</t>
        </is>
      </c>
      <c r="I107" t="n">
        <v>14.6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37363-2022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44809</v>
      </c>
      <c r="E108" s="1" t="n">
        <v>46237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Sveaskog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7652-2023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44972</v>
      </c>
      <c r="E109" s="1" t="n">
        <v>46237</v>
      </c>
      <c r="F109" t="inlineStr">
        <is>
          <t>VÄSTRA GÖTALANDS LÄN</t>
        </is>
      </c>
      <c r="G109" t="inlineStr">
        <is>
          <t>KARLSBORG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49866-2025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45940</v>
      </c>
      <c r="E110" s="1" t="n">
        <v>46237</v>
      </c>
      <c r="F110" t="inlineStr">
        <is>
          <t>VÄSTRA GÖTALANDS LÄN</t>
        </is>
      </c>
      <c r="G110" t="inlineStr">
        <is>
          <t>KARLSBORG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45942</v>
      </c>
      <c r="E111" s="1" t="n">
        <v>46237</v>
      </c>
      <c r="F111" t="inlineStr">
        <is>
          <t>VÄSTRA GÖTALANDS LÄN</t>
        </is>
      </c>
      <c r="G111" t="inlineStr">
        <is>
          <t>KARLSBORG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45166</v>
      </c>
      <c r="E112" s="1" t="n">
        <v>46237</v>
      </c>
      <c r="F112" t="inlineStr">
        <is>
          <t>VÄSTRA GÖTALANDS LÄN</t>
        </is>
      </c>
      <c r="G112" t="inlineStr">
        <is>
          <t>KARLSBORG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45166</v>
      </c>
      <c r="E113" s="1" t="n">
        <v>46237</v>
      </c>
      <c r="F113" t="inlineStr">
        <is>
          <t>VÄSTRA GÖTALANDS LÄN</t>
        </is>
      </c>
      <c r="G113" t="inlineStr">
        <is>
          <t>KARLSBORG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21988-2026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46237</v>
      </c>
      <c r="F114" t="inlineStr">
        <is>
          <t>VÄSTRA GÖTALANDS LÄN</t>
        </is>
      </c>
      <c r="G114" t="inlineStr">
        <is>
          <t>KARLSBORG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46237</v>
      </c>
      <c r="F115" t="inlineStr">
        <is>
          <t>VÄSTRA GÖTALANDS LÄN</t>
        </is>
      </c>
      <c r="G115" t="inlineStr">
        <is>
          <t>KARLSBORG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13077-2023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45002</v>
      </c>
      <c r="E116" s="1" t="n">
        <v>46237</v>
      </c>
      <c r="F116" t="inlineStr">
        <is>
          <t>VÄSTRA GÖTALANDS LÄN</t>
        </is>
      </c>
      <c r="G116" t="inlineStr">
        <is>
          <t>KARLSBORG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44900</v>
      </c>
      <c r="E117" s="1" t="n">
        <v>46237</v>
      </c>
      <c r="F117" t="inlineStr">
        <is>
          <t>VÄSTRA GÖTALANDS LÄN</t>
        </is>
      </c>
      <c r="G117" t="inlineStr">
        <is>
          <t>KARLSBORG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44755</v>
      </c>
      <c r="E118" s="1" t="n">
        <v>46237</v>
      </c>
      <c r="F118" t="inlineStr">
        <is>
          <t>VÄSTRA GÖTALANDS LÄN</t>
        </is>
      </c>
      <c r="G118" t="inlineStr">
        <is>
          <t>KARLSBORG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24594-2022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44727</v>
      </c>
      <c r="E119" s="1" t="n">
        <v>46237</v>
      </c>
      <c r="F119" t="inlineStr">
        <is>
          <t>VÄSTRA GÖTALANDS LÄN</t>
        </is>
      </c>
      <c r="G119" t="inlineStr">
        <is>
          <t>KARLSBORG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45394</v>
      </c>
      <c r="E120" s="1" t="n">
        <v>46237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34670-2022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44795</v>
      </c>
      <c r="E121" s="1" t="n">
        <v>46237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46237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58127-2024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45632</v>
      </c>
      <c r="E123" s="1" t="n">
        <v>46237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45453</v>
      </c>
      <c r="E124" s="1" t="n">
        <v>46237</v>
      </c>
      <c r="F124" t="inlineStr">
        <is>
          <t>VÄSTRA GÖTALANDS LÄN</t>
        </is>
      </c>
      <c r="G124" t="inlineStr">
        <is>
          <t>KARLSBORG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46237</v>
      </c>
      <c r="F125" t="inlineStr">
        <is>
          <t>VÄSTRA GÖTALANDS LÄN</t>
        </is>
      </c>
      <c r="G125" t="inlineStr">
        <is>
          <t>KARLSBORG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45229</v>
      </c>
      <c r="E126" s="1" t="n">
        <v>46237</v>
      </c>
      <c r="F126" t="inlineStr">
        <is>
          <t>VÄSTRA GÖTALANDS LÄN</t>
        </is>
      </c>
      <c r="G126" t="inlineStr">
        <is>
          <t>KARLSBORG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22886-2026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46160</v>
      </c>
      <c r="E127" s="1" t="n">
        <v>46237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45973</v>
      </c>
      <c r="E128" s="1" t="n">
        <v>46237</v>
      </c>
      <c r="F128" t="inlineStr">
        <is>
          <t>VÄSTRA GÖTALANDS LÄN</t>
        </is>
      </c>
      <c r="G128" t="inlineStr">
        <is>
          <t>KARLSBORG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22890-2026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46160</v>
      </c>
      <c r="E129" s="1" t="n">
        <v>46237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45980</v>
      </c>
      <c r="E130" s="1" t="n">
        <v>46237</v>
      </c>
      <c r="F130" t="inlineStr">
        <is>
          <t>VÄSTRA GÖTALANDS LÄN</t>
        </is>
      </c>
      <c r="G130" t="inlineStr">
        <is>
          <t>KARLSBORG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46237</v>
      </c>
      <c r="F131" t="inlineStr">
        <is>
          <t>VÄSTRA GÖTALANDS LÄN</t>
        </is>
      </c>
      <c r="G131" t="inlineStr">
        <is>
          <t>KARLSBORG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46206</v>
      </c>
      <c r="E132" s="1" t="n">
        <v>46237</v>
      </c>
      <c r="F132" t="inlineStr">
        <is>
          <t>VÄSTRA GÖTALANDS LÄN</t>
        </is>
      </c>
      <c r="G132" t="inlineStr">
        <is>
          <t>KARLSBORG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45988</v>
      </c>
      <c r="E133" s="1" t="n">
        <v>46237</v>
      </c>
      <c r="F133" t="inlineStr">
        <is>
          <t>VÄSTRA GÖTALANDS LÄN</t>
        </is>
      </c>
      <c r="G133" t="inlineStr">
        <is>
          <t>KARLSBORG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46237</v>
      </c>
      <c r="F134" t="inlineStr">
        <is>
          <t>VÄSTRA GÖTALANDS LÄN</t>
        </is>
      </c>
      <c r="G134" t="inlineStr">
        <is>
          <t>KARLSBORG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45019</v>
      </c>
      <c r="E135" s="1" t="n">
        <v>46237</v>
      </c>
      <c r="F135" t="inlineStr">
        <is>
          <t>VÄSTRA GÖTALANDS LÄN</t>
        </is>
      </c>
      <c r="G135" t="inlineStr">
        <is>
          <t>KARLSBORG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70945-2021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44538</v>
      </c>
      <c r="E136" s="1" t="n">
        <v>46237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Övriga Aktiebolag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45566</v>
      </c>
      <c r="E137" s="1" t="n">
        <v>46237</v>
      </c>
      <c r="F137" t="inlineStr">
        <is>
          <t>VÄSTRA GÖTALANDS LÄN</t>
        </is>
      </c>
      <c r="G137" t="inlineStr">
        <is>
          <t>KARLSBORG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45089</v>
      </c>
      <c r="E138" s="1" t="n">
        <v>46237</v>
      </c>
      <c r="F138" t="inlineStr">
        <is>
          <t>VÄSTRA GÖTALANDS LÄN</t>
        </is>
      </c>
      <c r="G138" t="inlineStr">
        <is>
          <t>KARLSBORG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45566</v>
      </c>
      <c r="E139" s="1" t="n">
        <v>46237</v>
      </c>
      <c r="F139" t="inlineStr">
        <is>
          <t>VÄSTRA GÖTALANDS LÄN</t>
        </is>
      </c>
      <c r="G139" t="inlineStr">
        <is>
          <t>KARLSBORG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46237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46210</v>
      </c>
      <c r="E141" s="1" t="n">
        <v>46237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46237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46237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30609-2026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46210</v>
      </c>
      <c r="E144" s="1" t="n">
        <v>46237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44944</v>
      </c>
      <c r="E145" s="1" t="n">
        <v>46237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Aktiebolag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27823-2023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46237</v>
      </c>
      <c r="F146" t="inlineStr">
        <is>
          <t>VÄSTRA GÖTALANDS LÄN</t>
        </is>
      </c>
      <c r="G146" t="inlineStr">
        <is>
          <t>KARLSBORG</t>
        </is>
      </c>
      <c r="I146" t="n">
        <v>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45169</v>
      </c>
      <c r="E147" s="1" t="n">
        <v>46237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Aktiebolag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45394</v>
      </c>
      <c r="E148" s="1" t="n">
        <v>46237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24541-2026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46170</v>
      </c>
      <c r="E149" s="1" t="n">
        <v>46237</v>
      </c>
      <c r="F149" t="inlineStr">
        <is>
          <t>VÄSTRA GÖTALANDS LÄN</t>
        </is>
      </c>
      <c r="G149" t="inlineStr">
        <is>
          <t>KARLSBORG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24008-2023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45078</v>
      </c>
      <c r="E150" s="1" t="n">
        <v>46237</v>
      </c>
      <c r="F150" t="inlineStr">
        <is>
          <t>VÄSTRA GÖTALANDS LÄN</t>
        </is>
      </c>
      <c r="G150" t="inlineStr">
        <is>
          <t>KARLSBORG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70783-2021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44537</v>
      </c>
      <c r="E151" s="1" t="n">
        <v>46237</v>
      </c>
      <c r="F151" t="inlineStr">
        <is>
          <t>VÄSTRA GÖTALANDS LÄN</t>
        </is>
      </c>
      <c r="G151" t="inlineStr">
        <is>
          <t>KARLSBORG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57454-2024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45630</v>
      </c>
      <c r="E152" s="1" t="n">
        <v>46237</v>
      </c>
      <c r="F152" t="inlineStr">
        <is>
          <t>VÄSTRA GÖTALANDS LÄN</t>
        </is>
      </c>
      <c r="G152" t="inlineStr">
        <is>
          <t>KARLSBORG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46171</v>
      </c>
      <c r="E153" s="1" t="n">
        <v>46237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46171</v>
      </c>
      <c r="E154" s="1" t="n">
        <v>46237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44944</v>
      </c>
      <c r="E155" s="1" t="n">
        <v>46237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Aktiebolag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64011-2025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46021</v>
      </c>
      <c r="E156" s="1" t="n">
        <v>46237</v>
      </c>
      <c r="F156" t="inlineStr">
        <is>
          <t>VÄSTRA GÖTALANDS LÄN</t>
        </is>
      </c>
      <c r="G156" t="inlineStr">
        <is>
          <t>KARLSBORG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46237</v>
      </c>
      <c r="F157" t="inlineStr">
        <is>
          <t>VÄSTRA GÖTALANDS LÄN</t>
        </is>
      </c>
      <c r="G157" t="inlineStr">
        <is>
          <t>KARLSBORG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46237</v>
      </c>
      <c r="F158" t="inlineStr">
        <is>
          <t>VÄSTRA GÖTALANDS LÄN</t>
        </is>
      </c>
      <c r="G158" t="inlineStr">
        <is>
          <t>KARLSBORG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45019-2024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45575</v>
      </c>
      <c r="E159" s="1" t="n">
        <v>46237</v>
      </c>
      <c r="F159" t="inlineStr">
        <is>
          <t>VÄSTRA GÖTALANDS LÄN</t>
        </is>
      </c>
      <c r="G159" t="inlineStr">
        <is>
          <t>KARLSBORG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46237</v>
      </c>
      <c r="F160" t="inlineStr">
        <is>
          <t>VÄSTRA GÖTALANDS LÄN</t>
        </is>
      </c>
      <c r="G160" t="inlineStr">
        <is>
          <t>KARLSBORG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46045</v>
      </c>
      <c r="E161" s="1" t="n">
        <v>46237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Aktiebolag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46045</v>
      </c>
      <c r="E162" s="1" t="n">
        <v>46237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Övriga Aktiebolag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4439-2026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46045</v>
      </c>
      <c r="E163" s="1" t="n">
        <v>46237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Övriga Aktiebolag</t>
        </is>
      </c>
      <c r="I163" t="n">
        <v>14.3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45524</v>
      </c>
      <c r="E164" s="1" t="n">
        <v>46237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Aktiebolag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45524</v>
      </c>
      <c r="E165" s="1" t="n">
        <v>46237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Aktiebolag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46237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46237</v>
      </c>
      <c r="F167" t="inlineStr">
        <is>
          <t>VÄSTRA GÖTALANDS LÄN</t>
        </is>
      </c>
      <c r="G167" t="inlineStr">
        <is>
          <t>KARLSBORG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6035-2026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46237</v>
      </c>
      <c r="F168" t="inlineStr">
        <is>
          <t>VÄSTRA GÖTALANDS LÄN</t>
        </is>
      </c>
      <c r="G168" t="inlineStr">
        <is>
          <t>KARLSBORG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59887-2021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44494</v>
      </c>
      <c r="E169" s="1" t="n">
        <v>46237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statliga verk och myndigheter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59890-2021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44494</v>
      </c>
      <c r="E170" s="1" t="n">
        <v>46237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Övriga statliga verk och myndigheter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10007-2025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45719</v>
      </c>
      <c r="E171" s="1" t="n">
        <v>46237</v>
      </c>
      <c r="F171" t="inlineStr">
        <is>
          <t>VÄSTRA GÖTALANDS LÄN</t>
        </is>
      </c>
      <c r="G171" t="inlineStr">
        <is>
          <t>KARLSBORG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46237</v>
      </c>
      <c r="F172" t="inlineStr">
        <is>
          <t>VÄSTRA GÖTALANDS LÄN</t>
        </is>
      </c>
      <c r="G172" t="inlineStr">
        <is>
          <t>KARLSBORG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46010</v>
      </c>
      <c r="E173" s="1" t="n">
        <v>46237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Övriga statliga verk och myndigheter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46010</v>
      </c>
      <c r="E174" s="1" t="n">
        <v>46237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statliga verk och myndigheter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46237</v>
      </c>
      <c r="F175" t="inlineStr">
        <is>
          <t>VÄSTRA GÖTALANDS LÄN</t>
        </is>
      </c>
      <c r="G175" t="inlineStr">
        <is>
          <t>KARLSBORG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46237</v>
      </c>
      <c r="F176" t="inlineStr">
        <is>
          <t>VÄSTRA GÖTALANDS LÄN</t>
        </is>
      </c>
      <c r="G176" t="inlineStr">
        <is>
          <t>KARLSBORG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63731-2025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46010</v>
      </c>
      <c r="E177" s="1" t="n">
        <v>46237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Övriga statliga verk och myndigheter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46010</v>
      </c>
      <c r="E178" s="1" t="n">
        <v>46237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Övriga statliga verk och myndigheter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46230</v>
      </c>
      <c r="E179" s="1" t="n">
        <v>46237</v>
      </c>
      <c r="F179" t="inlineStr">
        <is>
          <t>VÄSTRA GÖTALANDS LÄN</t>
        </is>
      </c>
      <c r="G179" t="inlineStr">
        <is>
          <t>KARLSBORG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46188</v>
      </c>
      <c r="E180" s="1" t="n">
        <v>46237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69341-2021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44531</v>
      </c>
      <c r="E181" s="1" t="n">
        <v>46237</v>
      </c>
      <c r="F181" t="inlineStr">
        <is>
          <t>VÄSTRA GÖTALANDS LÄN</t>
        </is>
      </c>
      <c r="G181" t="inlineStr">
        <is>
          <t>KARLSBORG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46237</v>
      </c>
      <c r="F182" t="inlineStr">
        <is>
          <t>VÄSTRA GÖTALANDS LÄN</t>
        </is>
      </c>
      <c r="G182" t="inlineStr">
        <is>
          <t>KARLSBORG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43709-2024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45569</v>
      </c>
      <c r="E183" s="1" t="n">
        <v>46237</v>
      </c>
      <c r="F183" t="inlineStr">
        <is>
          <t>VÄSTRA GÖTALANDS LÄN</t>
        </is>
      </c>
      <c r="G183" t="inlineStr">
        <is>
          <t>KARLSBORG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27332-2026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46188</v>
      </c>
      <c r="E184" s="1" t="n">
        <v>46237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12.6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27349-2026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46188</v>
      </c>
      <c r="E185" s="1" t="n">
        <v>46237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45603</v>
      </c>
      <c r="E186" s="1" t="n">
        <v>46237</v>
      </c>
      <c r="F186" t="inlineStr">
        <is>
          <t>VÄSTRA GÖTALANDS LÄN</t>
        </is>
      </c>
      <c r="G186" t="inlineStr">
        <is>
          <t>KARLSBORG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27906-2026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46191</v>
      </c>
      <c r="E187" s="1" t="n">
        <v>46237</v>
      </c>
      <c r="F187" t="inlineStr">
        <is>
          <t>VÄSTRA GÖTALANDS LÄN</t>
        </is>
      </c>
      <c r="G187" t="inlineStr">
        <is>
          <t>KARLSBORG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57913-2024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45631</v>
      </c>
      <c r="E188" s="1" t="n">
        <v>46237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45742</v>
      </c>
      <c r="E189" s="1" t="n">
        <v>46237</v>
      </c>
      <c r="F189" t="inlineStr">
        <is>
          <t>VÄSTRA GÖTALANDS LÄN</t>
        </is>
      </c>
      <c r="G189" t="inlineStr">
        <is>
          <t>KARLSBORG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44428</v>
      </c>
      <c r="E190" s="1" t="n">
        <v>46237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Kyrkan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10907-2026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46079</v>
      </c>
      <c r="E191" s="1" t="n">
        <v>46237</v>
      </c>
      <c r="F191" t="inlineStr">
        <is>
          <t>VÄSTRA GÖTALANDS LÄN</t>
        </is>
      </c>
      <c r="G191" t="inlineStr">
        <is>
          <t>KARLSBORG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23500-2023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45076</v>
      </c>
      <c r="E192" s="1" t="n">
        <v>46237</v>
      </c>
      <c r="F192" t="inlineStr">
        <is>
          <t>VÄSTRA GÖTALANDS LÄN</t>
        </is>
      </c>
      <c r="G192" t="inlineStr">
        <is>
          <t>KARLSBORG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46237</v>
      </c>
      <c r="F193" t="inlineStr">
        <is>
          <t>VÄSTRA GÖTALANDS LÄN</t>
        </is>
      </c>
      <c r="G193" t="inlineStr">
        <is>
          <t>KARLSBORG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45561</v>
      </c>
      <c r="E194" s="1" t="n">
        <v>46237</v>
      </c>
      <c r="F194" t="inlineStr">
        <is>
          <t>VÄSTRA GÖTALANDS LÄN</t>
        </is>
      </c>
      <c r="G194" t="inlineStr">
        <is>
          <t>KARLSBORG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54444-2023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45233</v>
      </c>
      <c r="E195" s="1" t="n">
        <v>46237</v>
      </c>
      <c r="F195" t="inlineStr">
        <is>
          <t>VÄSTRA GÖTALANDS LÄN</t>
        </is>
      </c>
      <c r="G195" t="inlineStr">
        <is>
          <t>KARLSBORG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45218</v>
      </c>
      <c r="E196" s="1" t="n">
        <v>46237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45478</v>
      </c>
      <c r="E197" s="1" t="n">
        <v>46237</v>
      </c>
      <c r="F197" t="inlineStr">
        <is>
          <t>VÄSTRA GÖTALANDS LÄN</t>
        </is>
      </c>
      <c r="G197" t="inlineStr">
        <is>
          <t>KARLSBORG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45386</v>
      </c>
      <c r="E198" s="1" t="n">
        <v>46237</v>
      </c>
      <c r="F198" t="inlineStr">
        <is>
          <t>VÄSTRA GÖTALANDS LÄN</t>
        </is>
      </c>
      <c r="G198" t="inlineStr">
        <is>
          <t>KARLSBORG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45561</v>
      </c>
      <c r="E199" s="1" t="n">
        <v>46237</v>
      </c>
      <c r="F199" t="inlineStr">
        <is>
          <t>VÄSTRA GÖTALANDS LÄN</t>
        </is>
      </c>
      <c r="G199" t="inlineStr">
        <is>
          <t>KARLSBORG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46237</v>
      </c>
      <c r="F200" t="inlineStr">
        <is>
          <t>VÄSTRA GÖTALANDS LÄN</t>
        </is>
      </c>
      <c r="G200" t="inlineStr">
        <is>
          <t>KARLSBORG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56545-2023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46237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57915-2024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45631</v>
      </c>
      <c r="E202" s="1" t="n">
        <v>46237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45231</v>
      </c>
      <c r="E203" s="1" t="n">
        <v>46237</v>
      </c>
      <c r="F203" t="inlineStr">
        <is>
          <t>VÄSTRA GÖTALANDS LÄN</t>
        </is>
      </c>
      <c r="G203" t="inlineStr">
        <is>
          <t>KARLSBORG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45183</v>
      </c>
      <c r="E204" s="1" t="n">
        <v>46237</v>
      </c>
      <c r="F204" t="inlineStr">
        <is>
          <t>VÄSTRA GÖTALANDS LÄN</t>
        </is>
      </c>
      <c r="G204" t="inlineStr">
        <is>
          <t>KARLSBORG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44469</v>
      </c>
      <c r="E205" s="1" t="n">
        <v>46237</v>
      </c>
      <c r="F205" t="inlineStr">
        <is>
          <t>VÄSTRA GÖTALANDS LÄN</t>
        </is>
      </c>
      <c r="G205" t="inlineStr">
        <is>
          <t>KARLSBORG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18519-2026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46127</v>
      </c>
      <c r="E206" s="1" t="n">
        <v>46237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45224-2021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44439</v>
      </c>
      <c r="E207" s="1" t="n">
        <v>46237</v>
      </c>
      <c r="F207" t="inlineStr">
        <is>
          <t>VÄSTRA GÖTALANDS LÄN</t>
        </is>
      </c>
      <c r="G207" t="inlineStr">
        <is>
          <t>KARLSBORG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18541-2026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46127</v>
      </c>
      <c r="E208" s="1" t="n">
        <v>46237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18544-2026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46127</v>
      </c>
      <c r="E209" s="1" t="n">
        <v>46237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46127</v>
      </c>
      <c r="E210" s="1" t="n">
        <v>46237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46127</v>
      </c>
      <c r="E211" s="1" t="n">
        <v>46237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18564-2026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46127</v>
      </c>
      <c r="E212" s="1" t="n">
        <v>46237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46237</v>
      </c>
      <c r="F213" t="inlineStr">
        <is>
          <t>VÄSTRA GÖTALANDS LÄN</t>
        </is>
      </c>
      <c r="G213" t="inlineStr">
        <is>
          <t>KARLSBORG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45252</v>
      </c>
      <c r="E214" s="1" t="n">
        <v>46237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54416-2024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46237</v>
      </c>
      <c r="F215" t="inlineStr">
        <is>
          <t>VÄSTRA GÖTALANDS LÄN</t>
        </is>
      </c>
      <c r="G215" t="inlineStr">
        <is>
          <t>KARLSBORG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44809</v>
      </c>
      <c r="E216" s="1" t="n">
        <v>46237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45786</v>
      </c>
      <c r="E217" s="1" t="n">
        <v>46237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46237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9.4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45789</v>
      </c>
      <c r="E219" s="1" t="n">
        <v>46237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45566</v>
      </c>
      <c r="E220" s="1" t="n">
        <v>46237</v>
      </c>
      <c r="F220" t="inlineStr">
        <is>
          <t>VÄSTRA GÖTALANDS LÄN</t>
        </is>
      </c>
      <c r="G220" t="inlineStr">
        <is>
          <t>KARLSBORG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45252</v>
      </c>
      <c r="E221" s="1" t="n">
        <v>46237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Aktiebolag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44895</v>
      </c>
      <c r="E222" s="1" t="n">
        <v>46237</v>
      </c>
      <c r="F222" t="inlineStr">
        <is>
          <t>VÄSTRA GÖTALANDS LÄN</t>
        </is>
      </c>
      <c r="G222" t="inlineStr">
        <is>
          <t>KARLSBORG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45721</v>
      </c>
      <c r="E223" s="1" t="n">
        <v>46237</v>
      </c>
      <c r="F223" t="inlineStr">
        <is>
          <t>VÄSTRA GÖTALANDS LÄN</t>
        </is>
      </c>
      <c r="G223" t="inlineStr">
        <is>
          <t>KARLSBORG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45680</v>
      </c>
      <c r="E224" s="1" t="n">
        <v>46237</v>
      </c>
      <c r="F224" t="inlineStr">
        <is>
          <t>VÄSTRA GÖTALANDS LÄN</t>
        </is>
      </c>
      <c r="G224" t="inlineStr">
        <is>
          <t>KARLSBORG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45527</v>
      </c>
      <c r="E225" s="1" t="n">
        <v>46237</v>
      </c>
      <c r="F225" t="inlineStr">
        <is>
          <t>VÄSTRA GÖTALANDS LÄN</t>
        </is>
      </c>
      <c r="G225" t="inlineStr">
        <is>
          <t>KARLSBORG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44906</v>
      </c>
      <c r="E226" s="1" t="n">
        <v>46237</v>
      </c>
      <c r="F226" t="inlineStr">
        <is>
          <t>VÄSTRA GÖTALANDS LÄN</t>
        </is>
      </c>
      <c r="G226" t="inlineStr">
        <is>
          <t>KARLSBORG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46237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Övriga Aktiebolag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62304-2021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44503</v>
      </c>
      <c r="E228" s="1" t="n">
        <v>46237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Sveaskog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44664</v>
      </c>
      <c r="E229" s="1" t="n">
        <v>46237</v>
      </c>
      <c r="F229" t="inlineStr">
        <is>
          <t>VÄSTRA GÖTALANDS LÄN</t>
        </is>
      </c>
      <c r="G229" t="inlineStr">
        <is>
          <t>KARLSBORG</t>
        </is>
      </c>
      <c r="H229" t="inlineStr">
        <is>
          <t>Övriga Aktiebolag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25982-2025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45804</v>
      </c>
      <c r="E230" s="1" t="n">
        <v>46237</v>
      </c>
      <c r="F230" t="inlineStr">
        <is>
          <t>VÄSTRA GÖTALANDS LÄN</t>
        </is>
      </c>
      <c r="G230" t="inlineStr">
        <is>
          <t>KARLSBORG</t>
        </is>
      </c>
      <c r="H230" t="inlineStr">
        <is>
          <t>Övriga Aktiebolag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45707</v>
      </c>
      <c r="E231" s="1" t="n">
        <v>46237</v>
      </c>
      <c r="F231" t="inlineStr">
        <is>
          <t>VÄSTRA GÖTALANDS LÄN</t>
        </is>
      </c>
      <c r="G231" t="inlineStr">
        <is>
          <t>KARLSBORG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45834</v>
      </c>
      <c r="E232" s="1" t="n">
        <v>46237</v>
      </c>
      <c r="F232" t="inlineStr">
        <is>
          <t>VÄSTRA GÖTALANDS LÄN</t>
        </is>
      </c>
      <c r="G232" t="inlineStr">
        <is>
          <t>KARLSBORG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31701-2025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45834</v>
      </c>
      <c r="E233" s="1" t="n">
        <v>46237</v>
      </c>
      <c r="F233" t="inlineStr">
        <is>
          <t>VÄSTRA GÖTALANDS LÄN</t>
        </is>
      </c>
      <c r="G233" t="inlineStr">
        <is>
          <t>KARLSBORG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32128-2025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45835</v>
      </c>
      <c r="E234" s="1" t="n">
        <v>46237</v>
      </c>
      <c r="F234" t="inlineStr">
        <is>
          <t>VÄSTRA GÖTALANDS LÄN</t>
        </is>
      </c>
      <c r="G234" t="inlineStr">
        <is>
          <t>KARLSBORG</t>
        </is>
      </c>
      <c r="H234" t="inlineStr">
        <is>
          <t>Sveaskog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45716</v>
      </c>
      <c r="E235" s="1" t="n">
        <v>46237</v>
      </c>
      <c r="F235" t="inlineStr">
        <is>
          <t>VÄSTRA GÖTALANDS LÄN</t>
        </is>
      </c>
      <c r="G235" t="inlineStr">
        <is>
          <t>KARLSBORG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45265</v>
      </c>
      <c r="E236" s="1" t="n">
        <v>46237</v>
      </c>
      <c r="F236" t="inlineStr">
        <is>
          <t>VÄSTRA GÖTALANDS LÄN</t>
        </is>
      </c>
      <c r="G236" t="inlineStr">
        <is>
          <t>KARLSBORG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35930-2025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45862</v>
      </c>
      <c r="E237" s="1" t="n">
        <v>46237</v>
      </c>
      <c r="F237" t="inlineStr">
        <is>
          <t>VÄSTRA GÖTALANDS LÄN</t>
        </is>
      </c>
      <c r="G237" t="inlineStr">
        <is>
          <t>KARLSBORG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2395-2024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45468</v>
      </c>
      <c r="E238" s="1" t="n">
        <v>46237</v>
      </c>
      <c r="F238" t="inlineStr">
        <is>
          <t>VÄSTRA GÖTALANDS LÄN</t>
        </is>
      </c>
      <c r="G238" t="inlineStr">
        <is>
          <t>KARLSBORG</t>
        </is>
      </c>
      <c r="H238" t="inlineStr">
        <is>
          <t>Sveaskog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343-2026</t>
        </is>
      </c>
      <c r="B239" t="inlineStr">
        <is>
          <t>samrådsanmälan</t>
        </is>
      </c>
      <c r="C239" t="inlineStr">
        <is>
          <t>Skogsgödsling</t>
        </is>
      </c>
      <c r="D239" s="1" t="n">
        <v>46059</v>
      </c>
      <c r="E239" s="1" t="n">
        <v>46237</v>
      </c>
      <c r="F239" t="inlineStr">
        <is>
          <t>VÄSTRA GÖTALANDS LÄN</t>
        </is>
      </c>
      <c r="G239" t="inlineStr">
        <is>
          <t>KARLSBORG</t>
        </is>
      </c>
      <c r="I239" t="n">
        <v>25.7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2026-08-03T01:58:16Z</dcterms:created>
  <dcterms:modified xmlns:dcterms="http://purl.org/dc/terms/" xmlns:xsi="http://www.w3.org/2001/XMLSchema-instance" xsi:type="dcterms:W3CDTF">2026-08-03T01:58:16Z</dcterms:modified>
</cp:coreProperties>
</file>