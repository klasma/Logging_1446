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46241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46241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46241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46241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22877-2026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46241</v>
      </c>
      <c r="F6" t="inlineStr">
        <is>
          <t>VÄSTRA GÖTALANDS LÄN</t>
        </is>
      </c>
      <c r="G6" t="inlineStr">
        <is>
          <t>KARLSBORG</t>
        </is>
      </c>
      <c r="H6" t="inlineStr">
        <is>
          <t>Sveaskog</t>
        </is>
      </c>
      <c r="I6" t="n">
        <v>20.6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Talltita
Älg
Mindre märgborre
Vågbandad barkbock
Tjäder</t>
        </is>
      </c>
      <c r="W6">
        <f>HYPERLINK("https://klasma.github.io/Logging_1446/artfynd/A 22877-2026 artfynd.xlsx", "A 22877-2026")</f>
        <v/>
      </c>
      <c r="X6">
        <f>HYPERLINK("https://klasma.github.io/Logging_1446/kartor/A 22877-2026 karta.png", "A 22877-2026")</f>
        <v/>
      </c>
      <c r="Y6">
        <f>HYPERLINK("https://klasma.github.io/Logging_1446/kartor_geotiff/A 22877-2026 georefererad karta.tif", "A 22877-2026")</f>
        <v/>
      </c>
      <c r="AA6">
        <f>HYPERLINK("https://klasma.github.io/Logging_1446/klagomål/A 22877-2026 FSC-klagomål.docx", "A 22877-2026")</f>
        <v/>
      </c>
      <c r="AB6">
        <f>HYPERLINK("https://klasma.github.io/Logging_1446/klagomålsmail/A 22877-2026 FSC-klagomål mail.docx", "A 22877-2026")</f>
        <v/>
      </c>
      <c r="AC6">
        <f>HYPERLINK("https://klasma.github.io/Logging_1446/tillsyn/A 22877-2026 tillsynsbegäran.docx", "A 22877-2026")</f>
        <v/>
      </c>
      <c r="AD6">
        <f>HYPERLINK("https://klasma.github.io/Logging_1446/tillsynsmail/A 22877-2026 tillsynsbegäran mail.docx", "A 22877-2026")</f>
        <v/>
      </c>
      <c r="AE6">
        <f>HYPERLINK("https://klasma.github.io/Logging_1446/fåglar/A 22877-2026 prioriterade fågelarter.docx", "A 22877-2026")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46241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46241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46241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46241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46241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46241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46241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46241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46241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Spillkråka</t>
        </is>
      </c>
      <c r="W15">
        <f>HYPERLINK("https://klasma.github.io/Logging_1446/artfynd/A 52381-2024 artfynd.xlsx", "A 52381-2024")</f>
        <v/>
      </c>
      <c r="X15">
        <f>HYPERLINK("https://klasma.github.io/Logging_1446/kartor/A 52381-2024 karta.png", "A 52381-2024")</f>
        <v/>
      </c>
      <c r="Y15">
        <f>HYPERLINK("https://klasma.github.io/Logging_1446/kartor_geotiff/A 52381-2024 georefererad karta.tif", "A 52381-2024")</f>
        <v/>
      </c>
      <c r="Z15">
        <f>HYPERLINK("https://klasma.github.io/Logging_1446/knärot/A 52381-2024 karta knärot.png", "A 52381-2024")</f>
        <v/>
      </c>
      <c r="AA15">
        <f>HYPERLINK("https://klasma.github.io/Logging_1446/klagomål/A 52381-2024 FSC-klagomål.docx", "A 52381-2024")</f>
        <v/>
      </c>
      <c r="AB15">
        <f>HYPERLINK("https://klasma.github.io/Logging_1446/klagomålsmail/A 52381-2024 FSC-klagomål mail.docx", "A 52381-2024")</f>
        <v/>
      </c>
      <c r="AC15">
        <f>HYPERLINK("https://klasma.github.io/Logging_1446/tillsyn/A 52381-2024 tillsynsbegäran.docx", "A 52381-2024")</f>
        <v/>
      </c>
      <c r="AD15">
        <f>HYPERLINK("https://klasma.github.io/Logging_1446/tillsynsmail/A 52381-2024 tillsynsbegäran mail.docx", "A 52381-2024")</f>
        <v/>
      </c>
      <c r="AE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46241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Dropptaggsvamp
Tallfingersvamp</t>
        </is>
      </c>
      <c r="W16">
        <f>HYPERLINK("https://klasma.github.io/Logging_1446/artfynd/A 43626-2023 artfynd.xlsx", "A 43626-2023")</f>
        <v/>
      </c>
      <c r="X16">
        <f>HYPERLINK("https://klasma.github.io/Logging_1446/kartor/A 43626-2023 karta.png", "A 43626-2023")</f>
        <v/>
      </c>
      <c r="Y16">
        <f>HYPERLINK("https://klasma.github.io/Logging_1446/kartor_geotiff/A 43626-2023 georefererad karta.tif", "A 43626-2023")</f>
        <v/>
      </c>
      <c r="AA16">
        <f>HYPERLINK("https://klasma.github.io/Logging_1446/klagomål/A 43626-2023 FSC-klagomål.docx", "A 43626-2023")</f>
        <v/>
      </c>
      <c r="AB16">
        <f>HYPERLINK("https://klasma.github.io/Logging_1446/klagomålsmail/A 43626-2023 FSC-klagomål mail.docx", "A 43626-2023")</f>
        <v/>
      </c>
      <c r="AC16">
        <f>HYPERLINK("https://klasma.github.io/Logging_1446/tillsyn/A 43626-2023 tillsynsbegäran.docx", "A 43626-2023")</f>
        <v/>
      </c>
      <c r="AD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46241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46241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46241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46241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46241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46241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46241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46241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46241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4448-2026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46241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HYPERLINK("https://klasma.github.io/Logging_1446/artfynd/A 4448-2026 artfynd.xlsx", "A 4448-2026")</f>
        <v/>
      </c>
      <c r="X26">
        <f>HYPERLINK("https://klasma.github.io/Logging_1446/kartor/A 4448-2026 karta.png", "A 4448-2026")</f>
        <v/>
      </c>
      <c r="Y26">
        <f>HYPERLINK("https://klasma.github.io/Logging_1446/kartor_geotiff/A 4448-2026 georefererad karta.tif", "A 4448-2026")</f>
        <v/>
      </c>
      <c r="AA26">
        <f>HYPERLINK("https://klasma.github.io/Logging_1446/klagomål/A 4448-2026 FSC-klagomål.docx", "A 4448-2026")</f>
        <v/>
      </c>
      <c r="AB26">
        <f>HYPERLINK("https://klasma.github.io/Logging_1446/klagomålsmail/A 4448-2026 FSC-klagomål mail.docx", "A 4448-2026")</f>
        <v/>
      </c>
      <c r="AC26">
        <f>HYPERLINK("https://klasma.github.io/Logging_1446/tillsyn/A 4448-2026 tillsynsbegäran.docx", "A 4448-2026")</f>
        <v/>
      </c>
      <c r="AD26">
        <f>HYPERLINK("https://klasma.github.io/Logging_1446/tillsynsmail/A 4448-2026 tillsynsbegäran mail.docx", "A 4448-2026")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46241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HYPERLINK("https://klasma.github.io/Logging_1446/artfynd/A 51531-2023 artfynd.xlsx", "A 51531-2023")</f>
        <v/>
      </c>
      <c r="X27">
        <f>HYPERLINK("https://klasma.github.io/Logging_1446/kartor/A 51531-2023 karta.png", "A 51531-2023")</f>
        <v/>
      </c>
      <c r="Y27">
        <f>HYPERLINK("https://klasma.github.io/Logging_1446/kartor_geotiff/A 51531-2023 georefererad karta.tif", "A 51531-2023")</f>
        <v/>
      </c>
      <c r="AA27">
        <f>HYPERLINK("https://klasma.github.io/Logging_1446/klagomål/A 51531-2023 FSC-klagomål.docx", "A 51531-2023")</f>
        <v/>
      </c>
      <c r="AB27">
        <f>HYPERLINK("https://klasma.github.io/Logging_1446/klagomålsmail/A 51531-2023 FSC-klagomål mail.docx", "A 51531-2023")</f>
        <v/>
      </c>
      <c r="AC27">
        <f>HYPERLINK("https://klasma.github.io/Logging_1446/tillsyn/A 51531-2023 tillsynsbegäran.docx", "A 51531-2023")</f>
        <v/>
      </c>
      <c r="AD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46241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HYPERLINK("https://klasma.github.io/Logging_1446/artfynd/A 38103-2023 artfynd.xlsx", "A 38103-2023")</f>
        <v/>
      </c>
      <c r="X28">
        <f>HYPERLINK("https://klasma.github.io/Logging_1446/kartor/A 38103-2023 karta.png", "A 38103-2023")</f>
        <v/>
      </c>
      <c r="Y28">
        <f>HYPERLINK("https://klasma.github.io/Logging_1446/kartor_geotiff/A 38103-2023 georefererad karta.tif", "A 38103-2023")</f>
        <v/>
      </c>
      <c r="AA28">
        <f>HYPERLINK("https://klasma.github.io/Logging_1446/klagomål/A 38103-2023 FSC-klagomål.docx", "A 38103-2023")</f>
        <v/>
      </c>
      <c r="AB28">
        <f>HYPERLINK("https://klasma.github.io/Logging_1446/klagomålsmail/A 38103-2023 FSC-klagomål mail.docx", "A 38103-2023")</f>
        <v/>
      </c>
      <c r="AC28">
        <f>HYPERLINK("https://klasma.github.io/Logging_1446/tillsyn/A 38103-2023 tillsynsbegäran.docx", "A 38103-2023")</f>
        <v/>
      </c>
      <c r="AD28">
        <f>HYPERLINK("https://klasma.github.io/Logging_1446/tillsynsmail/A 38103-2023 tillsynsbegäran mail.docx", "A 38103-2023")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46241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28315-2025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45818</v>
      </c>
      <c r="E30" s="1" t="n">
        <v>46241</v>
      </c>
      <c r="F30" t="inlineStr">
        <is>
          <t>VÄSTRA GÖTALANDS LÄN</t>
        </is>
      </c>
      <c r="G30" t="inlineStr">
        <is>
          <t>KARLSBORG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Rostfläck</t>
        </is>
      </c>
      <c r="W30">
        <f>HYPERLINK("https://klasma.github.io/Logging_1446/artfynd/A 28315-2025 artfynd.xlsx", "A 28315-2025")</f>
        <v/>
      </c>
      <c r="X30">
        <f>HYPERLINK("https://klasma.github.io/Logging_1446/kartor/A 28315-2025 karta.png", "A 28315-2025")</f>
        <v/>
      </c>
      <c r="Y30">
        <f>HYPERLINK("https://klasma.github.io/Logging_1446/kartor_geotiff/A 28315-2025 georefererad karta.tif", "A 28315-2025")</f>
        <v/>
      </c>
      <c r="AA30">
        <f>HYPERLINK("https://klasma.github.io/Logging_1446/klagomål/A 28315-2025 FSC-klagomål.docx", "A 28315-2025")</f>
        <v/>
      </c>
      <c r="AB30">
        <f>HYPERLINK("https://klasma.github.io/Logging_1446/klagomålsmail/A 28315-2025 FSC-klagomål mail.docx", "A 28315-2025")</f>
        <v/>
      </c>
      <c r="AC30">
        <f>HYPERLINK("https://klasma.github.io/Logging_1446/tillsyn/A 28315-2025 tillsynsbegäran.docx", "A 28315-2025")</f>
        <v/>
      </c>
      <c r="AD30">
        <f>HYPERLINK("https://klasma.github.io/Logging_1446/tillsynsmail/A 28315-2025 tillsynsbegäran mail.docx", "A 28315-2025")</f>
        <v/>
      </c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46241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46241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46241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46241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46241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46241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46241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46241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46241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46241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44426</v>
      </c>
      <c r="E41" s="1" t="n">
        <v>46241</v>
      </c>
      <c r="F41" t="inlineStr">
        <is>
          <t>VÄSTRA GÖTALANDS LÄN</t>
        </is>
      </c>
      <c r="G41" t="inlineStr">
        <is>
          <t>KARLSBORG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46241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46241</v>
      </c>
      <c r="F43" t="inlineStr">
        <is>
          <t>VÄSTRA GÖTALANDS LÄN</t>
        </is>
      </c>
      <c r="G43" t="inlineStr">
        <is>
          <t>KARLSBORG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46241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46241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46241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statliga verk och myndigheter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55831-2021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46241</v>
      </c>
      <c r="F47" t="inlineStr">
        <is>
          <t>VÄSTRA GÖTALANDS LÄN</t>
        </is>
      </c>
      <c r="G47" t="inlineStr">
        <is>
          <t>KARLSBORG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25999-2023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46241</v>
      </c>
      <c r="F48" t="inlineStr">
        <is>
          <t>VÄSTRA GÖTALANDS LÄN</t>
        </is>
      </c>
      <c r="G48" t="inlineStr">
        <is>
          <t>KARLSBORG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45090</v>
      </c>
      <c r="E49" s="1" t="n">
        <v>46241</v>
      </c>
      <c r="F49" t="inlineStr">
        <is>
          <t>VÄSTRA GÖTALANDS LÄN</t>
        </is>
      </c>
      <c r="G49" t="inlineStr">
        <is>
          <t>KARLSBORG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46241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45394</v>
      </c>
      <c r="E51" s="1" t="n">
        <v>46241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43021-2021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46241</v>
      </c>
      <c r="F52" t="inlineStr">
        <is>
          <t>VÄSTRA GÖTALANDS LÄN</t>
        </is>
      </c>
      <c r="G52" t="inlineStr">
        <is>
          <t>KARLSBORG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45231</v>
      </c>
      <c r="E53" s="1" t="n">
        <v>46241</v>
      </c>
      <c r="F53" t="inlineStr">
        <is>
          <t>VÄSTRA GÖTALANDS LÄN</t>
        </is>
      </c>
      <c r="G53" t="inlineStr">
        <is>
          <t>KARLSBORG</t>
        </is>
      </c>
      <c r="I53" t="n">
        <v>9.5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46241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45251</v>
      </c>
      <c r="E55" s="1" t="n">
        <v>46241</v>
      </c>
      <c r="F55" t="inlineStr">
        <is>
          <t>VÄSTRA GÖTALANDS LÄN</t>
        </is>
      </c>
      <c r="G55" t="inlineStr">
        <is>
          <t>KARLSBORG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8053-2023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46241</v>
      </c>
      <c r="F56" t="inlineStr">
        <is>
          <t>VÄSTRA GÖTALANDS LÄN</t>
        </is>
      </c>
      <c r="G56" t="inlineStr">
        <is>
          <t>KARLSBORG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29357-2024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45483</v>
      </c>
      <c r="E57" s="1" t="n">
        <v>46241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61542-2023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46241</v>
      </c>
      <c r="F58" t="inlineStr">
        <is>
          <t>VÄSTRA GÖTALANDS LÄN</t>
        </is>
      </c>
      <c r="G58" t="inlineStr">
        <is>
          <t>KARLSBORG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46241</v>
      </c>
      <c r="F59" t="inlineStr">
        <is>
          <t>VÄSTRA GÖTALANDS LÄN</t>
        </is>
      </c>
      <c r="G59" t="inlineStr">
        <is>
          <t>KARLSBORG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45176</v>
      </c>
      <c r="E60" s="1" t="n">
        <v>46241</v>
      </c>
      <c r="F60" t="inlineStr">
        <is>
          <t>VÄSTRA GÖTALANDS LÄN</t>
        </is>
      </c>
      <c r="G60" t="inlineStr">
        <is>
          <t>KARLSBORG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45548</v>
      </c>
      <c r="E61" s="1" t="n">
        <v>46241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58129-2024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45632</v>
      </c>
      <c r="E62" s="1" t="n">
        <v>46241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Sveaskog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46241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46241</v>
      </c>
      <c r="F64" t="inlineStr">
        <is>
          <t>VÄSTRA GÖTALANDS LÄN</t>
        </is>
      </c>
      <c r="G64" t="inlineStr">
        <is>
          <t>KARLSBORG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46241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44595</v>
      </c>
      <c r="E66" s="1" t="n">
        <v>46241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46241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46241</v>
      </c>
      <c r="F68" t="inlineStr">
        <is>
          <t>VÄSTRA GÖTALANDS LÄN</t>
        </is>
      </c>
      <c r="G68" t="inlineStr">
        <is>
          <t>KARLSBORG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46241</v>
      </c>
      <c r="F69" t="inlineStr">
        <is>
          <t>VÄSTRA GÖTALANDS LÄN</t>
        </is>
      </c>
      <c r="G69" t="inlineStr">
        <is>
          <t>KARLSBORG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42598-2024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45565</v>
      </c>
      <c r="E70" s="1" t="n">
        <v>46241</v>
      </c>
      <c r="F70" t="inlineStr">
        <is>
          <t>VÄSTRA GÖTALANDS LÄN</t>
        </is>
      </c>
      <c r="G70" t="inlineStr">
        <is>
          <t>KARLSBORG</t>
        </is>
      </c>
      <c r="I70" t="n">
        <v>8.9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46241</v>
      </c>
      <c r="F71" t="inlineStr">
        <is>
          <t>VÄSTRA GÖTALANDS LÄN</t>
        </is>
      </c>
      <c r="G71" t="inlineStr">
        <is>
          <t>KARLSBORG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46241</v>
      </c>
      <c r="F72" t="inlineStr">
        <is>
          <t>VÄSTRA GÖTALANDS LÄN</t>
        </is>
      </c>
      <c r="G72" t="inlineStr">
        <is>
          <t>KARLSBORG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46241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46241</v>
      </c>
      <c r="F74" t="inlineStr">
        <is>
          <t>VÄSTRA GÖTALANDS LÄN</t>
        </is>
      </c>
      <c r="G74" t="inlineStr">
        <is>
          <t>KARLSBORG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44906</v>
      </c>
      <c r="E75" s="1" t="n">
        <v>46241</v>
      </c>
      <c r="F75" t="inlineStr">
        <is>
          <t>VÄSTRA GÖTALANDS LÄN</t>
        </is>
      </c>
      <c r="G75" t="inlineStr">
        <is>
          <t>KARLSBORG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45209</v>
      </c>
      <c r="E76" s="1" t="n">
        <v>46241</v>
      </c>
      <c r="F76" t="inlineStr">
        <is>
          <t>VÄSTRA GÖTALANDS LÄN</t>
        </is>
      </c>
      <c r="G76" t="inlineStr">
        <is>
          <t>KARLSBORG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45862</v>
      </c>
      <c r="E77" s="1" t="n">
        <v>46241</v>
      </c>
      <c r="F77" t="inlineStr">
        <is>
          <t>VÄSTRA GÖTALANDS LÄN</t>
        </is>
      </c>
      <c r="G77" t="inlineStr">
        <is>
          <t>KARLSBORG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46241</v>
      </c>
      <c r="F78" t="inlineStr">
        <is>
          <t>VÄSTRA GÖTALANDS LÄN</t>
        </is>
      </c>
      <c r="G78" t="inlineStr">
        <is>
          <t>KARLSBORG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45524</v>
      </c>
      <c r="E79" s="1" t="n">
        <v>46241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Aktiebolag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44929</v>
      </c>
      <c r="E80" s="1" t="n">
        <v>46241</v>
      </c>
      <c r="F80" t="inlineStr">
        <is>
          <t>VÄSTRA GÖTALANDS LÄN</t>
        </is>
      </c>
      <c r="G80" t="inlineStr">
        <is>
          <t>KARLSBORG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  <c r="X80">
        <f>HYPERLINK("https://klasma.github.io/Logging_1446/kartor/A 412-2023 karta.png", "A 412-2023")</f>
        <v/>
      </c>
      <c r="Y80">
        <f>HYPERLINK("https://klasma.github.io/Logging_1446/kartor_geotiff/A 412-2023 georefererad karta.tif", "A 412-2023")</f>
        <v/>
      </c>
      <c r="AA80">
        <f>HYPERLINK("https://klasma.github.io/Logging_1446/klagomål/A 412-2023 FSC-klagomål.docx", "A 412-2023")</f>
        <v/>
      </c>
      <c r="AB80">
        <f>HYPERLINK("https://klasma.github.io/Logging_1446/klagomålsmail/A 412-2023 FSC-klagomål mail.docx", "A 412-2023")</f>
        <v/>
      </c>
      <c r="AC80">
        <f>HYPERLINK("https://klasma.github.io/Logging_1446/tillsyn/A 412-2023 tillsynsbegäran.docx", "A 412-2023")</f>
        <v/>
      </c>
      <c r="AD80">
        <f>HYPERLINK("https://klasma.github.io/Logging_1446/tillsynsmail/A 412-2023 tillsynsbegäran mail.docx", "A 412-2023")</f>
        <v/>
      </c>
    </row>
    <row r="81" ht="15" customHeight="1">
      <c r="A81" t="inlineStr">
        <is>
          <t>A 29490-2025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46241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28460-2023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46241</v>
      </c>
      <c r="F82" t="inlineStr">
        <is>
          <t>VÄSTRA GÖTALANDS LÄN</t>
        </is>
      </c>
      <c r="G82" t="inlineStr">
        <is>
          <t>KARLSBORG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46241</v>
      </c>
      <c r="F83" t="inlineStr">
        <is>
          <t>VÄSTRA GÖTALANDS LÄN</t>
        </is>
      </c>
      <c r="G83" t="inlineStr">
        <is>
          <t>KARLSBORG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45614</v>
      </c>
      <c r="E84" s="1" t="n">
        <v>46241</v>
      </c>
      <c r="F84" t="inlineStr">
        <is>
          <t>VÄSTRA GÖTALANDS LÄN</t>
        </is>
      </c>
      <c r="G84" t="inlineStr">
        <is>
          <t>KARLSBORG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45899</v>
      </c>
      <c r="E85" s="1" t="n">
        <v>46241</v>
      </c>
      <c r="F85" t="inlineStr">
        <is>
          <t>VÄSTRA GÖTALANDS LÄN</t>
        </is>
      </c>
      <c r="G85" t="inlineStr">
        <is>
          <t>KARLSBORG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46241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46241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Kyrkan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18541-2026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46241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Sveaskog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46241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46241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Sveaskog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46241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18564-2026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46241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46241</v>
      </c>
      <c r="F93" t="inlineStr">
        <is>
          <t>VÄSTRA GÖTALANDS LÄN</t>
        </is>
      </c>
      <c r="G93" t="inlineStr">
        <is>
          <t>KARLSBORG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46241</v>
      </c>
      <c r="F94" t="inlineStr">
        <is>
          <t>VÄSTRA GÖTALANDS LÄN</t>
        </is>
      </c>
      <c r="G94" t="inlineStr">
        <is>
          <t>KARLSBORG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46241</v>
      </c>
      <c r="F95" t="inlineStr">
        <is>
          <t>VÄSTRA GÖTALANDS LÄN</t>
        </is>
      </c>
      <c r="G95" t="inlineStr">
        <is>
          <t>KARLSBORG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45916</v>
      </c>
      <c r="E96" s="1" t="n">
        <v>46241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46241</v>
      </c>
      <c r="F97" t="inlineStr">
        <is>
          <t>VÄSTRA GÖTALANDS LÄN</t>
        </is>
      </c>
      <c r="G97" t="inlineStr">
        <is>
          <t>KARLSBORG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29685-2022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44755</v>
      </c>
      <c r="E98" s="1" t="n">
        <v>46241</v>
      </c>
      <c r="F98" t="inlineStr">
        <is>
          <t>VÄSTRA GÖTALANDS LÄN</t>
        </is>
      </c>
      <c r="G98" t="inlineStr">
        <is>
          <t>KARLSBORG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24594-2022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44727</v>
      </c>
      <c r="E99" s="1" t="n">
        <v>46241</v>
      </c>
      <c r="F99" t="inlineStr">
        <is>
          <t>VÄSTRA GÖTALANDS LÄN</t>
        </is>
      </c>
      <c r="G99" t="inlineStr">
        <is>
          <t>KARLSBORG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46241</v>
      </c>
      <c r="F100" t="inlineStr">
        <is>
          <t>VÄSTRA GÖTALANDS LÄN</t>
        </is>
      </c>
      <c r="G100" t="inlineStr">
        <is>
          <t>KARLSBORG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46241</v>
      </c>
      <c r="F101" t="inlineStr">
        <is>
          <t>VÄSTRA GÖTALANDS LÄN</t>
        </is>
      </c>
      <c r="G101" t="inlineStr">
        <is>
          <t>KARLSBORG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46241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Övriga Aktiebolag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46241</v>
      </c>
      <c r="F103" t="inlineStr">
        <is>
          <t>VÄSTRA GÖTALANDS LÄN</t>
        </is>
      </c>
      <c r="G103" t="inlineStr">
        <is>
          <t>KARLSBORG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46241</v>
      </c>
      <c r="F104" t="inlineStr">
        <is>
          <t>VÄSTRA GÖTALANDS LÄN</t>
        </is>
      </c>
      <c r="G104" t="inlineStr">
        <is>
          <t>KARLSBORG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45453</v>
      </c>
      <c r="E105" s="1" t="n">
        <v>46241</v>
      </c>
      <c r="F105" t="inlineStr">
        <is>
          <t>VÄSTRA GÖTALANDS LÄN</t>
        </is>
      </c>
      <c r="G105" t="inlineStr">
        <is>
          <t>KARLSBORG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46241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Sveaskog</t>
        </is>
      </c>
      <c r="I106" t="n">
        <v>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46241</v>
      </c>
      <c r="F107" t="inlineStr">
        <is>
          <t>VÄSTRA GÖTALANDS LÄN</t>
        </is>
      </c>
      <c r="G107" t="inlineStr">
        <is>
          <t>KARLSBORG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45933</v>
      </c>
      <c r="E108" s="1" t="n">
        <v>46241</v>
      </c>
      <c r="F108" t="inlineStr">
        <is>
          <t>VÄSTRA GÖTALANDS LÄN</t>
        </is>
      </c>
      <c r="G108" t="inlineStr">
        <is>
          <t>KARLSBORG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46241</v>
      </c>
      <c r="F109" t="inlineStr">
        <is>
          <t>VÄSTRA GÖTALANDS LÄN</t>
        </is>
      </c>
      <c r="G109" t="inlineStr">
        <is>
          <t>KARLSBORG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45942</v>
      </c>
      <c r="E110" s="1" t="n">
        <v>46241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46241</v>
      </c>
      <c r="F111" t="inlineStr">
        <is>
          <t>VÄSTRA GÖTALANDS LÄN</t>
        </is>
      </c>
      <c r="G111" t="inlineStr">
        <is>
          <t>KARLSBORG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45755</v>
      </c>
      <c r="E112" s="1" t="n">
        <v>46241</v>
      </c>
      <c r="F112" t="inlineStr">
        <is>
          <t>VÄSTRA GÖTALANDS LÄN</t>
        </is>
      </c>
      <c r="G112" t="inlineStr">
        <is>
          <t>KARLSBORG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70945-2021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46241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Övriga Aktiebolag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45566</v>
      </c>
      <c r="E114" s="1" t="n">
        <v>46241</v>
      </c>
      <c r="F114" t="inlineStr">
        <is>
          <t>VÄSTRA GÖTALANDS LÄN</t>
        </is>
      </c>
      <c r="G114" t="inlineStr">
        <is>
          <t>KARLSBORG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33122-2022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44785</v>
      </c>
      <c r="E115" s="1" t="n">
        <v>46241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46241</v>
      </c>
      <c r="F116" t="inlineStr">
        <is>
          <t>VÄSTRA GÖTALANDS LÄN</t>
        </is>
      </c>
      <c r="G116" t="inlineStr">
        <is>
          <t>KARLSBORG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45566</v>
      </c>
      <c r="E117" s="1" t="n">
        <v>46241</v>
      </c>
      <c r="F117" t="inlineStr">
        <is>
          <t>VÄSTRA GÖTALANDS LÄN</t>
        </is>
      </c>
      <c r="G117" t="inlineStr">
        <is>
          <t>KARLSBORG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46241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45098</v>
      </c>
      <c r="E119" s="1" t="n">
        <v>46241</v>
      </c>
      <c r="F119" t="inlineStr">
        <is>
          <t>VÄSTRA GÖTALANDS LÄN</t>
        </is>
      </c>
      <c r="G119" t="inlineStr">
        <is>
          <t>KARLSBORG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46241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46241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10.2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35441-2024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45531</v>
      </c>
      <c r="E122" s="1" t="n">
        <v>46241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46241</v>
      </c>
      <c r="F123" t="inlineStr">
        <is>
          <t>VÄSTRA GÖTALANDS LÄN</t>
        </is>
      </c>
      <c r="G123" t="inlineStr">
        <is>
          <t>KARLSBORG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45394</v>
      </c>
      <c r="E124" s="1" t="n">
        <v>46241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20937-2026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46142</v>
      </c>
      <c r="E125" s="1" t="n">
        <v>46241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45078</v>
      </c>
      <c r="E126" s="1" t="n">
        <v>46241</v>
      </c>
      <c r="F126" t="inlineStr">
        <is>
          <t>VÄSTRA GÖTALANDS LÄN</t>
        </is>
      </c>
      <c r="G126" t="inlineStr">
        <is>
          <t>KARLSBORG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70783-2021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46241</v>
      </c>
      <c r="F127" t="inlineStr">
        <is>
          <t>VÄSTRA GÖTALANDS LÄN</t>
        </is>
      </c>
      <c r="G127" t="inlineStr">
        <is>
          <t>KARLSBORG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45980</v>
      </c>
      <c r="E128" s="1" t="n">
        <v>46241</v>
      </c>
      <c r="F128" t="inlineStr">
        <is>
          <t>VÄSTRA GÖTALANDS LÄN</t>
        </is>
      </c>
      <c r="G128" t="inlineStr">
        <is>
          <t>KARLSBORG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46241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20940-2026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46142</v>
      </c>
      <c r="E130" s="1" t="n">
        <v>46241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46143</v>
      </c>
      <c r="E131" s="1" t="n">
        <v>46241</v>
      </c>
      <c r="F131" t="inlineStr">
        <is>
          <t>VÄSTRA GÖTALANDS LÄN</t>
        </is>
      </c>
      <c r="G131" t="inlineStr">
        <is>
          <t>KARLSBORG</t>
        </is>
      </c>
      <c r="I131" t="n">
        <v>14.6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46241</v>
      </c>
      <c r="F132" t="inlineStr">
        <is>
          <t>VÄSTRA GÖTALANDS LÄN</t>
        </is>
      </c>
      <c r="G132" t="inlineStr">
        <is>
          <t>KARLSBORG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46241</v>
      </c>
      <c r="F133" t="inlineStr">
        <is>
          <t>VÄSTRA GÖTALANDS LÄN</t>
        </is>
      </c>
      <c r="G133" t="inlineStr">
        <is>
          <t>KARLSBORG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45575</v>
      </c>
      <c r="E134" s="1" t="n">
        <v>46241</v>
      </c>
      <c r="F134" t="inlineStr">
        <is>
          <t>VÄSTRA GÖTALANDS LÄN</t>
        </is>
      </c>
      <c r="G134" t="inlineStr">
        <is>
          <t>KARLSBORG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21988-2026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46153</v>
      </c>
      <c r="E135" s="1" t="n">
        <v>46241</v>
      </c>
      <c r="F135" t="inlineStr">
        <is>
          <t>VÄSTRA GÖTALANDS LÄN</t>
        </is>
      </c>
      <c r="G135" t="inlineStr">
        <is>
          <t>KARLSBORG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46241</v>
      </c>
      <c r="F136" t="inlineStr">
        <is>
          <t>VÄSTRA GÖTALANDS LÄN</t>
        </is>
      </c>
      <c r="G136" t="inlineStr">
        <is>
          <t>KARLSBORG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45524</v>
      </c>
      <c r="E137" s="1" t="n">
        <v>46241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46241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45524</v>
      </c>
      <c r="E139" s="1" t="n">
        <v>46241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Övriga Aktiebolag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46241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46241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59887-2021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44494</v>
      </c>
      <c r="E142" s="1" t="n">
        <v>46241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statliga verk och myndigheter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46241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statliga verk och myndigheter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46241</v>
      </c>
      <c r="F144" t="inlineStr">
        <is>
          <t>VÄSTRA GÖTALANDS LÄN</t>
        </is>
      </c>
      <c r="G144" t="inlineStr">
        <is>
          <t>KARLSBORG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22886-2026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46160</v>
      </c>
      <c r="E145" s="1" t="n">
        <v>46241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46160</v>
      </c>
      <c r="E146" s="1" t="n">
        <v>46241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46241</v>
      </c>
      <c r="F147" t="inlineStr">
        <is>
          <t>VÄSTRA GÖTALANDS LÄN</t>
        </is>
      </c>
      <c r="G147" t="inlineStr">
        <is>
          <t>KARLSBORG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46241</v>
      </c>
      <c r="F148" t="inlineStr">
        <is>
          <t>VÄSTRA GÖTALANDS LÄN</t>
        </is>
      </c>
      <c r="G148" t="inlineStr">
        <is>
          <t>KARLSBORG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46241</v>
      </c>
      <c r="F149" t="inlineStr">
        <is>
          <t>VÄSTRA GÖTALANDS LÄN</t>
        </is>
      </c>
      <c r="G149" t="inlineStr">
        <is>
          <t>KARLSBORG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69341-2021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46241</v>
      </c>
      <c r="F150" t="inlineStr">
        <is>
          <t>VÄSTRA GÖTALANDS LÄN</t>
        </is>
      </c>
      <c r="G150" t="inlineStr">
        <is>
          <t>KARLSBORG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45569</v>
      </c>
      <c r="E151" s="1" t="n">
        <v>46241</v>
      </c>
      <c r="F151" t="inlineStr">
        <is>
          <t>VÄSTRA GÖTALANDS LÄN</t>
        </is>
      </c>
      <c r="G151" t="inlineStr">
        <is>
          <t>KARLSBORG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57913-2024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45631</v>
      </c>
      <c r="E152" s="1" t="n">
        <v>46241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45742</v>
      </c>
      <c r="E153" s="1" t="n">
        <v>46241</v>
      </c>
      <c r="F153" t="inlineStr">
        <is>
          <t>VÄSTRA GÖTALANDS LÄN</t>
        </is>
      </c>
      <c r="G153" t="inlineStr">
        <is>
          <t>KARLSBORG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46241</v>
      </c>
      <c r="F154" t="inlineStr">
        <is>
          <t>VÄSTRA GÖTALANDS LÄN</t>
        </is>
      </c>
      <c r="G154" t="inlineStr">
        <is>
          <t>KARLSBORG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46045</v>
      </c>
      <c r="E155" s="1" t="n">
        <v>46241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46241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46241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23500-2023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45076</v>
      </c>
      <c r="E158" s="1" t="n">
        <v>46241</v>
      </c>
      <c r="F158" t="inlineStr">
        <is>
          <t>VÄSTRA GÖTALANDS LÄN</t>
        </is>
      </c>
      <c r="G158" t="inlineStr">
        <is>
          <t>KARLSBORG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46241</v>
      </c>
      <c r="F159" t="inlineStr">
        <is>
          <t>VÄSTRA GÖTALANDS LÄN</t>
        </is>
      </c>
      <c r="G159" t="inlineStr">
        <is>
          <t>KARLSBORG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46241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46241</v>
      </c>
      <c r="F161" t="inlineStr">
        <is>
          <t>VÄSTRA GÖTALANDS LÄN</t>
        </is>
      </c>
      <c r="G161" t="inlineStr">
        <is>
          <t>KARLSBORG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45233</v>
      </c>
      <c r="E162" s="1" t="n">
        <v>46241</v>
      </c>
      <c r="F162" t="inlineStr">
        <is>
          <t>VÄSTRA GÖTALANDS LÄN</t>
        </is>
      </c>
      <c r="G162" t="inlineStr">
        <is>
          <t>KARLSBORG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45218</v>
      </c>
      <c r="E163" s="1" t="n">
        <v>46241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46241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statliga verk och myndigheter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46241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statliga verk och myndigheter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46062</v>
      </c>
      <c r="E166" s="1" t="n">
        <v>46241</v>
      </c>
      <c r="F166" t="inlineStr">
        <is>
          <t>VÄSTRA GÖTALANDS LÄN</t>
        </is>
      </c>
      <c r="G166" t="inlineStr">
        <is>
          <t>KARLSBORG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46241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46241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statliga verk och myndigheter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46241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46241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46241</v>
      </c>
      <c r="F171" t="inlineStr">
        <is>
          <t>VÄSTRA GÖTALANDS LÄN</t>
        </is>
      </c>
      <c r="G171" t="inlineStr">
        <is>
          <t>KARLSBORG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24541-2026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46170</v>
      </c>
      <c r="E172" s="1" t="n">
        <v>46241</v>
      </c>
      <c r="F172" t="inlineStr">
        <is>
          <t>VÄSTRA GÖTALANDS LÄN</t>
        </is>
      </c>
      <c r="G172" t="inlineStr">
        <is>
          <t>KARLSBORG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46079</v>
      </c>
      <c r="E173" s="1" t="n">
        <v>46241</v>
      </c>
      <c r="F173" t="inlineStr">
        <is>
          <t>VÄSTRA GÖTALANDS LÄN</t>
        </is>
      </c>
      <c r="G173" t="inlineStr">
        <is>
          <t>KARLSBORG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46171</v>
      </c>
      <c r="E174" s="1" t="n">
        <v>46241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46241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46241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46241</v>
      </c>
      <c r="F177" t="inlineStr">
        <is>
          <t>VÄSTRA GÖTALANDS LÄN</t>
        </is>
      </c>
      <c r="G177" t="inlineStr">
        <is>
          <t>KARLSBORG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45183</v>
      </c>
      <c r="E178" s="1" t="n">
        <v>46241</v>
      </c>
      <c r="F178" t="inlineStr">
        <is>
          <t>VÄSTRA GÖTALANDS LÄN</t>
        </is>
      </c>
      <c r="G178" t="inlineStr">
        <is>
          <t>KARLSBORG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45720</v>
      </c>
      <c r="E179" s="1" t="n">
        <v>46241</v>
      </c>
      <c r="F179" t="inlineStr">
        <is>
          <t>VÄSTRA GÖTALANDS LÄN</t>
        </is>
      </c>
      <c r="G179" t="inlineStr">
        <is>
          <t>KARLSBORG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46241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44809</v>
      </c>
      <c r="E181" s="1" t="n">
        <v>46241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46241</v>
      </c>
      <c r="F182" t="inlineStr">
        <is>
          <t>VÄSTRA GÖTALANDS LÄN</t>
        </is>
      </c>
      <c r="G182" t="inlineStr">
        <is>
          <t>KARLSBORG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42825-2024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45566</v>
      </c>
      <c r="E183" s="1" t="n">
        <v>46241</v>
      </c>
      <c r="F183" t="inlineStr">
        <is>
          <t>VÄSTRA GÖTALANDS LÄN</t>
        </is>
      </c>
      <c r="G183" t="inlineStr">
        <is>
          <t>KARLSBORG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46241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57235-2022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46241</v>
      </c>
      <c r="F185" t="inlineStr">
        <is>
          <t>VÄSTRA GÖTALANDS LÄN</t>
        </is>
      </c>
      <c r="G185" t="inlineStr">
        <is>
          <t>KARLSBORG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46241</v>
      </c>
      <c r="F186" t="inlineStr">
        <is>
          <t>VÄSTRA GÖTALANDS LÄN</t>
        </is>
      </c>
      <c r="G186" t="inlineStr">
        <is>
          <t>KARLSBORG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46188</v>
      </c>
      <c r="E187" s="1" t="n">
        <v>46241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59404-2022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44906</v>
      </c>
      <c r="E188" s="1" t="n">
        <v>46241</v>
      </c>
      <c r="F188" t="inlineStr">
        <is>
          <t>VÄSTRA GÖTALANDS LÄN</t>
        </is>
      </c>
      <c r="G188" t="inlineStr">
        <is>
          <t>KARLSBORG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62304-2021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46241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44664</v>
      </c>
      <c r="E190" s="1" t="n">
        <v>46241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46241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27349-2026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46241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46191</v>
      </c>
      <c r="E193" s="1" t="n">
        <v>46241</v>
      </c>
      <c r="F193" t="inlineStr">
        <is>
          <t>VÄSTRA GÖTALANDS LÄN</t>
        </is>
      </c>
      <c r="G193" t="inlineStr">
        <is>
          <t>KARLSBORG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15396-2024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45401</v>
      </c>
      <c r="E194" s="1" t="n">
        <v>46241</v>
      </c>
      <c r="F194" t="inlineStr">
        <is>
          <t>VÄSTRA GÖTALANDS LÄN</t>
        </is>
      </c>
      <c r="G194" t="inlineStr">
        <is>
          <t>KARLSBORG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45489</v>
      </c>
      <c r="E195" s="1" t="n">
        <v>46241</v>
      </c>
      <c r="F195" t="inlineStr">
        <is>
          <t>VÄSTRA GÖTALANDS LÄN</t>
        </is>
      </c>
      <c r="G195" t="inlineStr">
        <is>
          <t>KARLSBORG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46241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45436</v>
      </c>
      <c r="E197" s="1" t="n">
        <v>46241</v>
      </c>
      <c r="F197" t="inlineStr">
        <is>
          <t>VÄSTRA GÖTALANDS LÄN</t>
        </is>
      </c>
      <c r="G197" t="inlineStr">
        <is>
          <t>KARLSBORG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44939</v>
      </c>
      <c r="E198" s="1" t="n">
        <v>46241</v>
      </c>
      <c r="F198" t="inlineStr">
        <is>
          <t>VÄSTRA GÖTALANDS LÄN</t>
        </is>
      </c>
      <c r="G198" t="inlineStr">
        <is>
          <t>KARLSBORG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45089</v>
      </c>
      <c r="E199" s="1" t="n">
        <v>46241</v>
      </c>
      <c r="F199" t="inlineStr">
        <is>
          <t>VÄSTRA GÖTALANDS LÄN</t>
        </is>
      </c>
      <c r="G199" t="inlineStr">
        <is>
          <t>KARLSBORG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46241</v>
      </c>
      <c r="F200" t="inlineStr">
        <is>
          <t>VÄSTRA GÖTALANDS LÄN</t>
        </is>
      </c>
      <c r="G200" t="inlineStr">
        <is>
          <t>KARLSBORG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18623-2022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44687</v>
      </c>
      <c r="E201" s="1" t="n">
        <v>46241</v>
      </c>
      <c r="F201" t="inlineStr">
        <is>
          <t>VÄSTRA GÖTALANDS LÄN</t>
        </is>
      </c>
      <c r="G201" t="inlineStr">
        <is>
          <t>KARLSBORG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44906</v>
      </c>
      <c r="E202" s="1" t="n">
        <v>46241</v>
      </c>
      <c r="F202" t="inlineStr">
        <is>
          <t>VÄSTRA GÖTALANDS LÄN</t>
        </is>
      </c>
      <c r="G202" t="inlineStr">
        <is>
          <t>KARLSBORG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46241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46241</v>
      </c>
      <c r="F204" t="inlineStr">
        <is>
          <t>VÄSTRA GÖTALANDS LÄN</t>
        </is>
      </c>
      <c r="G204" t="inlineStr">
        <is>
          <t>KARLSBORG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46241</v>
      </c>
      <c r="F205" t="inlineStr">
        <is>
          <t>VÄSTRA GÖTALANDS LÄN</t>
        </is>
      </c>
      <c r="G205" t="inlineStr">
        <is>
          <t>KARLSBORG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46241</v>
      </c>
      <c r="F206" t="inlineStr">
        <is>
          <t>VÄSTRA GÖTALANDS LÄN</t>
        </is>
      </c>
      <c r="G206" t="inlineStr">
        <is>
          <t>KARLSBORG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45394</v>
      </c>
      <c r="E207" s="1" t="n">
        <v>46241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34670-2022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44795</v>
      </c>
      <c r="E208" s="1" t="n">
        <v>46241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58127-2024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45632</v>
      </c>
      <c r="E209" s="1" t="n">
        <v>46241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46241</v>
      </c>
      <c r="F210" t="inlineStr">
        <is>
          <t>VÄSTRA GÖTALANDS LÄN</t>
        </is>
      </c>
      <c r="G210" t="inlineStr">
        <is>
          <t>KARLSBORG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44944</v>
      </c>
      <c r="E211" s="1" t="n">
        <v>46241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57454-2024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45630</v>
      </c>
      <c r="E212" s="1" t="n">
        <v>46241</v>
      </c>
      <c r="F212" t="inlineStr">
        <is>
          <t>VÄSTRA GÖTALANDS LÄN</t>
        </is>
      </c>
      <c r="G212" t="inlineStr">
        <is>
          <t>KARLSBORG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45209</v>
      </c>
      <c r="E213" s="1" t="n">
        <v>46241</v>
      </c>
      <c r="F213" t="inlineStr">
        <is>
          <t>VÄSTRA GÖTALANDS LÄN</t>
        </is>
      </c>
      <c r="G213" t="inlineStr">
        <is>
          <t>KARLSBORG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46241</v>
      </c>
      <c r="F214" t="inlineStr">
        <is>
          <t>VÄSTRA GÖTALANDS LÄN</t>
        </is>
      </c>
      <c r="G214" t="inlineStr">
        <is>
          <t>KARLSBORG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46241</v>
      </c>
      <c r="F215" t="inlineStr">
        <is>
          <t>VÄSTRA GÖTALANDS LÄN</t>
        </is>
      </c>
      <c r="G215" t="inlineStr">
        <is>
          <t>KARLSBORG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42661-2021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44428</v>
      </c>
      <c r="E216" s="1" t="n">
        <v>46241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Kyrkan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45160</v>
      </c>
      <c r="E217" s="1" t="n">
        <v>46241</v>
      </c>
      <c r="F217" t="inlineStr">
        <is>
          <t>VÄSTRA GÖTALANDS LÄN</t>
        </is>
      </c>
      <c r="G217" t="inlineStr">
        <is>
          <t>KARLSBORG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45478</v>
      </c>
      <c r="E218" s="1" t="n">
        <v>46241</v>
      </c>
      <c r="F218" t="inlineStr">
        <is>
          <t>VÄSTRA GÖTALANDS LÄN</t>
        </is>
      </c>
      <c r="G218" t="inlineStr">
        <is>
          <t>KARLSBORG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45386</v>
      </c>
      <c r="E219" s="1" t="n">
        <v>46241</v>
      </c>
      <c r="F219" t="inlineStr">
        <is>
          <t>VÄSTRA GÖTALANDS LÄN</t>
        </is>
      </c>
      <c r="G219" t="inlineStr">
        <is>
          <t>KARLSBORG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46241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46241</v>
      </c>
      <c r="F221" t="inlineStr">
        <is>
          <t>VÄSTRA GÖTALANDS LÄN</t>
        </is>
      </c>
      <c r="G221" t="inlineStr">
        <is>
          <t>KARLSBORG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57915-2024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45631</v>
      </c>
      <c r="E222" s="1" t="n">
        <v>46241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53898-2021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44469</v>
      </c>
      <c r="E223" s="1" t="n">
        <v>46241</v>
      </c>
      <c r="F223" t="inlineStr">
        <is>
          <t>VÄSTRA GÖTALANDS LÄN</t>
        </is>
      </c>
      <c r="G223" t="inlineStr">
        <is>
          <t>KARLSBORG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45224-2021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44439</v>
      </c>
      <c r="E224" s="1" t="n">
        <v>46241</v>
      </c>
      <c r="F224" t="inlineStr">
        <is>
          <t>VÄSTRA GÖTALANDS LÄN</t>
        </is>
      </c>
      <c r="G224" t="inlineStr">
        <is>
          <t>KARLSBORG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46241</v>
      </c>
      <c r="F225" t="inlineStr">
        <is>
          <t>VÄSTRA GÖTALANDS LÄN</t>
        </is>
      </c>
      <c r="G225" t="inlineStr">
        <is>
          <t>KARLSBORG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45786</v>
      </c>
      <c r="E226" s="1" t="n">
        <v>46241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45789</v>
      </c>
      <c r="E227" s="1" t="n">
        <v>46241</v>
      </c>
      <c r="F227" t="inlineStr">
        <is>
          <t>VÄSTRA GÖTALANDS LÄN</t>
        </is>
      </c>
      <c r="G227" t="inlineStr">
        <is>
          <t>KARLSBORG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10667-2025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45721</v>
      </c>
      <c r="E228" s="1" t="n">
        <v>46241</v>
      </c>
      <c r="F228" t="inlineStr">
        <is>
          <t>VÄSTRA GÖTALANDS LÄN</t>
        </is>
      </c>
      <c r="G228" t="inlineStr">
        <is>
          <t>KARLSBORG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46241</v>
      </c>
      <c r="F229" t="inlineStr">
        <is>
          <t>VÄSTRA GÖTALANDS LÄN</t>
        </is>
      </c>
      <c r="G229" t="inlineStr">
        <is>
          <t>KARLSBORG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45527</v>
      </c>
      <c r="E230" s="1" t="n">
        <v>46241</v>
      </c>
      <c r="F230" t="inlineStr">
        <is>
          <t>VÄSTRA GÖTALANDS LÄN</t>
        </is>
      </c>
      <c r="G230" t="inlineStr">
        <is>
          <t>KARLSBORG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45630</v>
      </c>
      <c r="E231" s="1" t="n">
        <v>46241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Övriga Aktiebolag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45804</v>
      </c>
      <c r="E232" s="1" t="n">
        <v>46241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Övriga Aktiebolag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46241</v>
      </c>
      <c r="F233" t="inlineStr">
        <is>
          <t>VÄSTRA GÖTALANDS LÄN</t>
        </is>
      </c>
      <c r="G233" t="inlineStr">
        <is>
          <t>KARLSBORG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31770-2025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45834</v>
      </c>
      <c r="E234" s="1" t="n">
        <v>46241</v>
      </c>
      <c r="F234" t="inlineStr">
        <is>
          <t>VÄSTRA GÖTALANDS LÄN</t>
        </is>
      </c>
      <c r="G234" t="inlineStr">
        <is>
          <t>KARLSBORG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45834</v>
      </c>
      <c r="E235" s="1" t="n">
        <v>46241</v>
      </c>
      <c r="F235" t="inlineStr">
        <is>
          <t>VÄSTRA GÖTALANDS LÄN</t>
        </is>
      </c>
      <c r="G235" t="inlineStr">
        <is>
          <t>KARLSBORG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32128-2025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45835</v>
      </c>
      <c r="E236" s="1" t="n">
        <v>46241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46241</v>
      </c>
      <c r="F237" t="inlineStr">
        <is>
          <t>VÄSTRA GÖTALANDS LÄN</t>
        </is>
      </c>
      <c r="G237" t="inlineStr">
        <is>
          <t>KARLSBORG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46241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46241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2026-08-07T01:56:18Z</dcterms:created>
  <dcterms:modified xmlns:dcterms="http://purl.org/dc/terms/" xmlns:xsi="http://www.w3.org/2001/XMLSchema-instance" xsi:type="dcterms:W3CDTF">2026-08-07T01:56:19Z</dcterms:modified>
</cp:coreProperties>
</file>