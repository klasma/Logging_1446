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45990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45990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45990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45990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45990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45990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45990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45990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45990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45990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45990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45990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45990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45990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45990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45990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45990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45990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45990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45990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45990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45990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45990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45990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45990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45990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10897-2025</t>
        </is>
      </c>
      <c r="B60" s="1" t="n">
        <v>45722.68349537037</v>
      </c>
      <c r="C60" s="1" t="n">
        <v>45990</v>
      </c>
      <c r="D60" t="inlineStr">
        <is>
          <t>VÄSTRA GÖTALANDS LÄN</t>
        </is>
      </c>
      <c r="E60" t="inlineStr">
        <is>
          <t>KARLSBORG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19125-2025</t>
        </is>
      </c>
      <c r="B61" s="1" t="n">
        <v>45768.8713425926</v>
      </c>
      <c r="C61" s="1" t="n">
        <v>45990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19126-2025</t>
        </is>
      </c>
      <c r="B62" s="1" t="n">
        <v>45768.87210648148</v>
      </c>
      <c r="C62" s="1" t="n">
        <v>45990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45990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45990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45990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45990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57454-2024</t>
        </is>
      </c>
      <c r="B67" s="1" t="n">
        <v>45630</v>
      </c>
      <c r="C67" s="1" t="n">
        <v>45990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42757-2024</t>
        </is>
      </c>
      <c r="B68" s="1" t="n">
        <v>45566.496875</v>
      </c>
      <c r="C68" s="1" t="n">
        <v>45990</v>
      </c>
      <c r="D68" t="inlineStr">
        <is>
          <t>VÄSTRA GÖTALANDS LÄN</t>
        </is>
      </c>
      <c r="E68" t="inlineStr">
        <is>
          <t>KARLSBORG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45990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39285-2023</t>
        </is>
      </c>
      <c r="B70" s="1" t="n">
        <v>45166</v>
      </c>
      <c r="C70" s="1" t="n">
        <v>45990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39287-2023</t>
        </is>
      </c>
      <c r="B71" s="1" t="n">
        <v>45166</v>
      </c>
      <c r="C71" s="1" t="n">
        <v>45990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45630.70841435185</v>
      </c>
      <c r="C72" s="1" t="n">
        <v>45990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62304-2021</t>
        </is>
      </c>
      <c r="B73" s="1" t="n">
        <v>44503.38475694445</v>
      </c>
      <c r="C73" s="1" t="n">
        <v>45990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45990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35441-2024</t>
        </is>
      </c>
      <c r="B75" s="1" t="n">
        <v>45531.4332175926</v>
      </c>
      <c r="C75" s="1" t="n">
        <v>45990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35443-2024</t>
        </is>
      </c>
      <c r="B76" s="1" t="n">
        <v>45531.43494212963</v>
      </c>
      <c r="C76" s="1" t="n">
        <v>45990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45990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45990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14514-2024</t>
        </is>
      </c>
      <c r="B79" s="1" t="n">
        <v>45394</v>
      </c>
      <c r="C79" s="1" t="n">
        <v>45990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15220-2023</t>
        </is>
      </c>
      <c r="B80" s="1" t="n">
        <v>45019.30383101852</v>
      </c>
      <c r="C80" s="1" t="n">
        <v>45990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15699-2025</t>
        </is>
      </c>
      <c r="B81" s="1" t="n">
        <v>45748.47081018519</v>
      </c>
      <c r="C81" s="1" t="n">
        <v>45990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25696-2023</t>
        </is>
      </c>
      <c r="B82" s="1" t="n">
        <v>45089.96881944445</v>
      </c>
      <c r="C82" s="1" t="n">
        <v>45990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9771-2024</t>
        </is>
      </c>
      <c r="B83" s="1" t="n">
        <v>45362</v>
      </c>
      <c r="C83" s="1" t="n">
        <v>45990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37521-2024</t>
        </is>
      </c>
      <c r="B84" s="1" t="n">
        <v>45541.39284722223</v>
      </c>
      <c r="C84" s="1" t="n">
        <v>45990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28528-2024</t>
        </is>
      </c>
      <c r="B85" s="1" t="n">
        <v>45478.3252199074</v>
      </c>
      <c r="C85" s="1" t="n">
        <v>45990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45990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44577-2023</t>
        </is>
      </c>
      <c r="B87" s="1" t="n">
        <v>45183</v>
      </c>
      <c r="C87" s="1" t="n">
        <v>45990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29489-2025</t>
        </is>
      </c>
      <c r="B88" s="1" t="n">
        <v>45824.76096064815</v>
      </c>
      <c r="C88" s="1" t="n">
        <v>45990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26016-2023</t>
        </is>
      </c>
      <c r="B89" s="1" t="n">
        <v>45090.9447337963</v>
      </c>
      <c r="C89" s="1" t="n">
        <v>45990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51111-2024</t>
        </is>
      </c>
      <c r="B90" s="1" t="n">
        <v>45603.49332175926</v>
      </c>
      <c r="C90" s="1" t="n">
        <v>45990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69483-2020</t>
        </is>
      </c>
      <c r="B91" s="1" t="n">
        <v>44194</v>
      </c>
      <c r="C91" s="1" t="n">
        <v>45990</v>
      </c>
      <c r="D91" t="inlineStr">
        <is>
          <t>VÄSTRA GÖTALANDS LÄN</t>
        </is>
      </c>
      <c r="E91" t="inlineStr">
        <is>
          <t>KARLSBORG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45990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32314-2021</t>
        </is>
      </c>
      <c r="B93" s="1" t="n">
        <v>44371.53730324074</v>
      </c>
      <c r="C93" s="1" t="n">
        <v>45990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45103.36616898148</v>
      </c>
      <c r="C94" s="1" t="n">
        <v>45990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45824.76346064815</v>
      </c>
      <c r="C95" s="1" t="n">
        <v>45990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58127-2024</t>
        </is>
      </c>
      <c r="B96" s="1" t="n">
        <v>45632.40393518518</v>
      </c>
      <c r="C96" s="1" t="n">
        <v>45990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59887-2021</t>
        </is>
      </c>
      <c r="B97" s="1" t="n">
        <v>44494</v>
      </c>
      <c r="C97" s="1" t="n">
        <v>45990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statliga verk och myndigheter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38995-2024</t>
        </is>
      </c>
      <c r="B98" s="1" t="n">
        <v>45548.41292824074</v>
      </c>
      <c r="C98" s="1" t="n">
        <v>45990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13077-2023</t>
        </is>
      </c>
      <c r="B99" s="1" t="n">
        <v>45002.40217592593</v>
      </c>
      <c r="C99" s="1" t="n">
        <v>45990</v>
      </c>
      <c r="D99" t="inlineStr">
        <is>
          <t>VÄSTRA GÖTALANDS LÄN</t>
        </is>
      </c>
      <c r="E99" t="inlineStr">
        <is>
          <t>KARLSBORG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41350-2025</t>
        </is>
      </c>
      <c r="B100" s="1" t="n">
        <v>45899.65248842593</v>
      </c>
      <c r="C100" s="1" t="n">
        <v>45990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46904-2024</t>
        </is>
      </c>
      <c r="B101" s="1" t="n">
        <v>45583.70912037037</v>
      </c>
      <c r="C101" s="1" t="n">
        <v>45990</v>
      </c>
      <c r="D101" t="inlineStr">
        <is>
          <t>VÄSTRA GÖTALANDS LÄN</t>
        </is>
      </c>
      <c r="E101" t="inlineStr">
        <is>
          <t>KARLSBORG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28315-2025</t>
        </is>
      </c>
      <c r="B102" s="1" t="n">
        <v>45818.62765046296</v>
      </c>
      <c r="C102" s="1" t="n">
        <v>45990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59845-2023</t>
        </is>
      </c>
      <c r="B103" s="1" t="n">
        <v>45257.56932870371</v>
      </c>
      <c r="C103" s="1" t="n">
        <v>45990</v>
      </c>
      <c r="D103" t="inlineStr">
        <is>
          <t>VÄSTRA GÖTALANDS LÄN</t>
        </is>
      </c>
      <c r="E103" t="inlineStr">
        <is>
          <t>KARLSBORG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14703-2025</t>
        </is>
      </c>
      <c r="B104" s="1" t="n">
        <v>45742.60491898148</v>
      </c>
      <c r="C104" s="1" t="n">
        <v>45990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70783-2021</t>
        </is>
      </c>
      <c r="B105" s="1" t="n">
        <v>44537</v>
      </c>
      <c r="C105" s="1" t="n">
        <v>45990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29488-2025</t>
        </is>
      </c>
      <c r="B106" s="1" t="n">
        <v>45824</v>
      </c>
      <c r="C106" s="1" t="n">
        <v>45990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45990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45575.47465277778</v>
      </c>
      <c r="C108" s="1" t="n">
        <v>45990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45990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57235-2022</t>
        </is>
      </c>
      <c r="B110" s="1" t="n">
        <v>44895.67813657408</v>
      </c>
      <c r="C110" s="1" t="n">
        <v>45990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45990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8053-2023</t>
        </is>
      </c>
      <c r="B112" s="1" t="n">
        <v>44974</v>
      </c>
      <c r="C112" s="1" t="n">
        <v>45990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45990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2796-2023</t>
        </is>
      </c>
      <c r="B114" s="1" t="n">
        <v>44944.70200231481</v>
      </c>
      <c r="C114" s="1" t="n">
        <v>45990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30676-2025</t>
        </is>
      </c>
      <c r="B115" s="1" t="n">
        <v>45831.52273148148</v>
      </c>
      <c r="C115" s="1" t="n">
        <v>45990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42757-2025</t>
        </is>
      </c>
      <c r="B116" s="1" t="n">
        <v>45908.45122685185</v>
      </c>
      <c r="C116" s="1" t="n">
        <v>45990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40129-2023</t>
        </is>
      </c>
      <c r="B117" s="1" t="n">
        <v>45169</v>
      </c>
      <c r="C117" s="1" t="n">
        <v>45990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45990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43021-2021</t>
        </is>
      </c>
      <c r="B119" s="1" t="n">
        <v>44431.48305555555</v>
      </c>
      <c r="C119" s="1" t="n">
        <v>45990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48175-2024</t>
        </is>
      </c>
      <c r="B120" s="1" t="n">
        <v>45589.8465162037</v>
      </c>
      <c r="C120" s="1" t="n">
        <v>45990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14525-2024</t>
        </is>
      </c>
      <c r="B121" s="1" t="n">
        <v>45394</v>
      </c>
      <c r="C121" s="1" t="n">
        <v>45990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31538-2025</t>
        </is>
      </c>
      <c r="B122" s="1" t="n">
        <v>45833.6284375</v>
      </c>
      <c r="C122" s="1" t="n">
        <v>45990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31440-2025</t>
        </is>
      </c>
      <c r="B123" s="1" t="n">
        <v>45833.51048611111</v>
      </c>
      <c r="C123" s="1" t="n">
        <v>45990</v>
      </c>
      <c r="D123" t="inlineStr">
        <is>
          <t>VÄSTRA GÖTALANDS LÄN</t>
        </is>
      </c>
      <c r="E123" t="inlineStr">
        <is>
          <t>KARLSBORG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45990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45990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45990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18623-2022</t>
        </is>
      </c>
      <c r="B127" s="1" t="n">
        <v>44687.44261574074</v>
      </c>
      <c r="C127" s="1" t="n">
        <v>45990</v>
      </c>
      <c r="D127" t="inlineStr">
        <is>
          <t>VÄSTRA GÖTALANDS LÄN</t>
        </is>
      </c>
      <c r="E127" t="inlineStr">
        <is>
          <t>KARLSBORG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31770-2025</t>
        </is>
      </c>
      <c r="B128" s="1" t="n">
        <v>45834.50756944445</v>
      </c>
      <c r="C128" s="1" t="n">
        <v>45990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32128-2025</t>
        </is>
      </c>
      <c r="B129" s="1" t="n">
        <v>45835.50236111111</v>
      </c>
      <c r="C129" s="1" t="n">
        <v>45990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45990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67554-2020</t>
        </is>
      </c>
      <c r="B131" s="1" t="n">
        <v>44181</v>
      </c>
      <c r="C131" s="1" t="n">
        <v>45990</v>
      </c>
      <c r="D131" t="inlineStr">
        <is>
          <t>VÄSTRA GÖTALANDS LÄN</t>
        </is>
      </c>
      <c r="E131" t="inlineStr">
        <is>
          <t>KARLSBORG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2784-2023</t>
        </is>
      </c>
      <c r="B132" s="1" t="n">
        <v>44944.66162037037</v>
      </c>
      <c r="C132" s="1" t="n">
        <v>45990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39699-2025</t>
        </is>
      </c>
      <c r="B133" s="1" t="n">
        <v>45890</v>
      </c>
      <c r="C133" s="1" t="n">
        <v>45990</v>
      </c>
      <c r="D133" t="inlineStr">
        <is>
          <t>VÄSTRA GÖTALANDS LÄN</t>
        </is>
      </c>
      <c r="E133" t="inlineStr">
        <is>
          <t>KARLSBORG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45990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44366-2025</t>
        </is>
      </c>
      <c r="B135" s="1" t="n">
        <v>45916.45835648148</v>
      </c>
      <c r="C135" s="1" t="n">
        <v>45990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44595-2025</t>
        </is>
      </c>
      <c r="B136" s="1" t="n">
        <v>45917.42762731481</v>
      </c>
      <c r="C136" s="1" t="n">
        <v>45990</v>
      </c>
      <c r="D136" t="inlineStr">
        <is>
          <t>VÄSTRA GÖTALANDS LÄN</t>
        </is>
      </c>
      <c r="E136" t="inlineStr">
        <is>
          <t>KARLSBORG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42710-2024</t>
        </is>
      </c>
      <c r="B137" s="1" t="n">
        <v>45566.44601851852</v>
      </c>
      <c r="C137" s="1" t="n">
        <v>45990</v>
      </c>
      <c r="D137" t="inlineStr">
        <is>
          <t>VÄSTRA GÖTALANDS LÄN</t>
        </is>
      </c>
      <c r="E137" t="inlineStr">
        <is>
          <t>KARLSBORG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45990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9788-2025</t>
        </is>
      </c>
      <c r="B139" s="1" t="n">
        <v>45716.54331018519</v>
      </c>
      <c r="C139" s="1" t="n">
        <v>45990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45990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45990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45247-2025</t>
        </is>
      </c>
      <c r="B142" s="1" t="n">
        <v>45919.60940972222</v>
      </c>
      <c r="C142" s="1" t="n">
        <v>45990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45256-2025</t>
        </is>
      </c>
      <c r="B143" s="1" t="n">
        <v>45919.62141203704</v>
      </c>
      <c r="C143" s="1" t="n">
        <v>45990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45990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45990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53645-2025</t>
        </is>
      </c>
      <c r="B146" s="1" t="n">
        <v>45960.51917824074</v>
      </c>
      <c r="C146" s="1" t="n">
        <v>45990</v>
      </c>
      <c r="D146" t="inlineStr">
        <is>
          <t>VÄSTRA GÖTALANDS LÄN</t>
        </is>
      </c>
      <c r="E146" t="inlineStr">
        <is>
          <t>KARLSBORG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18083-2024</t>
        </is>
      </c>
      <c r="B147" s="1" t="n">
        <v>45420.44768518519</v>
      </c>
      <c r="C147" s="1" t="n">
        <v>45990</v>
      </c>
      <c r="D147" t="inlineStr">
        <is>
          <t>VÄSTRA GÖTALANDS LÄN</t>
        </is>
      </c>
      <c r="E147" t="inlineStr">
        <is>
          <t>KARLSBORG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45990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35929-2025</t>
        </is>
      </c>
      <c r="B149" s="1" t="n">
        <v>45862.61262731482</v>
      </c>
      <c r="C149" s="1" t="n">
        <v>45990</v>
      </c>
      <c r="D149" t="inlineStr">
        <is>
          <t>VÄSTRA GÖTALANDS LÄN</t>
        </is>
      </c>
      <c r="E149" t="inlineStr">
        <is>
          <t>KARLSBORG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35930-2025</t>
        </is>
      </c>
      <c r="B150" s="1" t="n">
        <v>45862</v>
      </c>
      <c r="C150" s="1" t="n">
        <v>45990</v>
      </c>
      <c r="D150" t="inlineStr">
        <is>
          <t>VÄSTRA GÖTALANDS LÄN</t>
        </is>
      </c>
      <c r="E150" t="inlineStr">
        <is>
          <t>KARLSBORG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2791-2023</t>
        </is>
      </c>
      <c r="B151" s="1" t="n">
        <v>44944.67371527778</v>
      </c>
      <c r="C151" s="1" t="n">
        <v>45990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10828-2024</t>
        </is>
      </c>
      <c r="B152" s="1" t="n">
        <v>45369.69503472222</v>
      </c>
      <c r="C152" s="1" t="n">
        <v>45990</v>
      </c>
      <c r="D152" t="inlineStr">
        <is>
          <t>VÄSTRA GÖTALANDS LÄN</t>
        </is>
      </c>
      <c r="E152" t="inlineStr">
        <is>
          <t>KARLSBORG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54454-2025</t>
        </is>
      </c>
      <c r="B153" s="1" t="n">
        <v>45965.55086805556</v>
      </c>
      <c r="C153" s="1" t="n">
        <v>45990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45990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45990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45990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34670-2022</t>
        </is>
      </c>
      <c r="B157" s="1" t="n">
        <v>44795.48201388889</v>
      </c>
      <c r="C157" s="1" t="n">
        <v>45990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45990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45990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45990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45990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45990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45990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45990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47265-2025</t>
        </is>
      </c>
      <c r="B165" s="1" t="n">
        <v>45930.45715277778</v>
      </c>
      <c r="C165" s="1" t="n">
        <v>45990</v>
      </c>
      <c r="D165" t="inlineStr">
        <is>
          <t>VÄSTRA GÖTALANDS LÄN</t>
        </is>
      </c>
      <c r="E165" t="inlineStr">
        <is>
          <t>KARLSBORG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47262-2025</t>
        </is>
      </c>
      <c r="B166" s="1" t="n">
        <v>45930.45395833333</v>
      </c>
      <c r="C166" s="1" t="n">
        <v>45990</v>
      </c>
      <c r="D166" t="inlineStr">
        <is>
          <t>VÄSTRA GÖTALANDS LÄN</t>
        </is>
      </c>
      <c r="E166" t="inlineStr">
        <is>
          <t>KARLSBORG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45990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45990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42778-2024</t>
        </is>
      </c>
      <c r="B169" s="1" t="n">
        <v>45566.52706018519</v>
      </c>
      <c r="C169" s="1" t="n">
        <v>45990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48129-2025</t>
        </is>
      </c>
      <c r="B170" s="1" t="n">
        <v>45933.36778935185</v>
      </c>
      <c r="C170" s="1" t="n">
        <v>45990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45990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45990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45990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45990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48386-2025</t>
        </is>
      </c>
      <c r="B175" s="1" t="n">
        <v>45933.85197916667</v>
      </c>
      <c r="C175" s="1" t="n">
        <v>45990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26017-2023</t>
        </is>
      </c>
      <c r="B176" s="1" t="n">
        <v>45090.95387731482</v>
      </c>
      <c r="C176" s="1" t="n">
        <v>45990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48385-2025</t>
        </is>
      </c>
      <c r="B177" s="1" t="n">
        <v>45933.84990740741</v>
      </c>
      <c r="C177" s="1" t="n">
        <v>45990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45990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12208-2021</t>
        </is>
      </c>
      <c r="B179" s="1" t="n">
        <v>44266.65693287037</v>
      </c>
      <c r="C179" s="1" t="n">
        <v>45990</v>
      </c>
      <c r="D179" t="inlineStr">
        <is>
          <t>VÄSTRA GÖTALANDS LÄN</t>
        </is>
      </c>
      <c r="E179" t="inlineStr">
        <is>
          <t>KARLSBORG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10415-2025</t>
        </is>
      </c>
      <c r="B180" s="1" t="n">
        <v>45720.63358796296</v>
      </c>
      <c r="C180" s="1" t="n">
        <v>45990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45990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41689-2023</t>
        </is>
      </c>
      <c r="B182" s="1" t="n">
        <v>45176</v>
      </c>
      <c r="C182" s="1" t="n">
        <v>45990</v>
      </c>
      <c r="D182" t="inlineStr">
        <is>
          <t>VÄSTRA GÖTALANDS LÄN</t>
        </is>
      </c>
      <c r="E182" t="inlineStr">
        <is>
          <t>KARLSBORG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49864-2025</t>
        </is>
      </c>
      <c r="B183" s="1" t="n">
        <v>45940.52149305555</v>
      </c>
      <c r="C183" s="1" t="n">
        <v>45990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49985-2025</t>
        </is>
      </c>
      <c r="B184" s="1" t="n">
        <v>45942.7809837963</v>
      </c>
      <c r="C184" s="1" t="n">
        <v>45990</v>
      </c>
      <c r="D184" t="inlineStr">
        <is>
          <t>VÄSTRA GÖTALANDS LÄN</t>
        </is>
      </c>
      <c r="E184" t="inlineStr">
        <is>
          <t>KARLSBORG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57915-2024</t>
        </is>
      </c>
      <c r="B185" s="1" t="n">
        <v>45631.49766203704</v>
      </c>
      <c r="C185" s="1" t="n">
        <v>45990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41943-2024</t>
        </is>
      </c>
      <c r="B186" s="1" t="n">
        <v>45561.57412037037</v>
      </c>
      <c r="C186" s="1" t="n">
        <v>45990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13252-2024</t>
        </is>
      </c>
      <c r="B187" s="1" t="n">
        <v>45386.57976851852</v>
      </c>
      <c r="C187" s="1" t="n">
        <v>45990</v>
      </c>
      <c r="D187" t="inlineStr">
        <is>
          <t>VÄSTRA GÖTALANDS LÄN</t>
        </is>
      </c>
      <c r="E187" t="inlineStr">
        <is>
          <t>KARLSBORG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59045-2023</t>
        </is>
      </c>
      <c r="B188" s="1" t="n">
        <v>45252.7372800926</v>
      </c>
      <c r="C188" s="1" t="n">
        <v>45990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49866-2025</t>
        </is>
      </c>
      <c r="B189" s="1" t="n">
        <v>45940.53121527778</v>
      </c>
      <c r="C189" s="1" t="n">
        <v>45990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53439-2025</t>
        </is>
      </c>
      <c r="B190" s="1" t="n">
        <v>45959</v>
      </c>
      <c r="C190" s="1" t="n">
        <v>45990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45990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59111-2025</t>
        </is>
      </c>
      <c r="B192" s="1" t="n">
        <v>45988.48037037037</v>
      </c>
      <c r="C192" s="1" t="n">
        <v>45990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45990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48174-2024</t>
        </is>
      </c>
      <c r="B194" s="1" t="n">
        <v>45589.84282407408</v>
      </c>
      <c r="C194" s="1" t="n">
        <v>45990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45990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45990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61542-2023</t>
        </is>
      </c>
      <c r="B197" s="1" t="n">
        <v>45265</v>
      </c>
      <c r="C197" s="1" t="n">
        <v>45990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21978-2021</t>
        </is>
      </c>
      <c r="B198" s="1" t="n">
        <v>44323</v>
      </c>
      <c r="C198" s="1" t="n">
        <v>45990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42661-2021</t>
        </is>
      </c>
      <c r="B199" s="1" t="n">
        <v>44428</v>
      </c>
      <c r="C199" s="1" t="n">
        <v>45990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45990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45990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45990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45990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29357-2024</t>
        </is>
      </c>
      <c r="B204" s="1" t="n">
        <v>45483</v>
      </c>
      <c r="C204" s="1" t="n">
        <v>45990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45990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45990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412-2023</t>
        </is>
      </c>
      <c r="B207" s="1" t="n">
        <v>44929</v>
      </c>
      <c r="C207" s="1" t="n">
        <v>45990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T207">
        <f>HYPERLINK("https://klasma.github.io/Logging_1446/kartor/A 412-2023 karta.png", "A 412-2023")</f>
        <v/>
      </c>
      <c r="V207">
        <f>HYPERLINK("https://klasma.github.io/Logging_1446/klagomål/A 412-2023 FSC-klagomål.docx", "A 412-2023")</f>
        <v/>
      </c>
      <c r="W207">
        <f>HYPERLINK("https://klasma.github.io/Logging_1446/klagomålsmail/A 412-2023 FSC-klagomål mail.docx", "A 412-2023")</f>
        <v/>
      </c>
      <c r="X207">
        <f>HYPERLINK("https://klasma.github.io/Logging_1446/tillsyn/A 412-2023 tillsynsbegäran.docx", "A 412-2023")</f>
        <v/>
      </c>
      <c r="Y207">
        <f>HYPERLINK("https://klasma.github.io/Logging_1446/tillsynsmail/A 412-2023 tillsynsbegäran mail.docx", "A 412-2023")</f>
        <v/>
      </c>
    </row>
    <row r="208" ht="15" customHeight="1">
      <c r="A208" t="inlineStr">
        <is>
          <t>A 54623-2024</t>
        </is>
      </c>
      <c r="B208" s="1" t="n">
        <v>45617.76770833333</v>
      </c>
      <c r="C208" s="1" t="n">
        <v>45990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43709-2024</t>
        </is>
      </c>
      <c r="B209" s="1" t="n">
        <v>45569</v>
      </c>
      <c r="C209" s="1" t="n">
        <v>45990</v>
      </c>
      <c r="D209" t="inlineStr">
        <is>
          <t>VÄSTRA GÖTALANDS LÄN</t>
        </is>
      </c>
      <c r="E209" t="inlineStr">
        <is>
          <t>KARLSBORG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29685-2022</t>
        </is>
      </c>
      <c r="B210" s="1" t="n">
        <v>44755.30305555555</v>
      </c>
      <c r="C210" s="1" t="n">
        <v>45990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45990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45990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61211-2022</t>
        </is>
      </c>
      <c r="B213" s="1" t="n">
        <v>44908</v>
      </c>
      <c r="C213" s="1" t="n">
        <v>45990</v>
      </c>
      <c r="D213" t="inlineStr">
        <is>
          <t>VÄSTRA GÖTALANDS LÄN</t>
        </is>
      </c>
      <c r="E213" t="inlineStr">
        <is>
          <t>KARLSBORG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57913-2024</t>
        </is>
      </c>
      <c r="B214" s="1" t="n">
        <v>45631.49569444444</v>
      </c>
      <c r="C214" s="1" t="n">
        <v>45990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7977-2025</t>
        </is>
      </c>
      <c r="B215" s="1" t="n">
        <v>45707.46462962963</v>
      </c>
      <c r="C215" s="1" t="n">
        <v>45990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59047-2023</t>
        </is>
      </c>
      <c r="B216" s="1" t="n">
        <v>45252.73967592593</v>
      </c>
      <c r="C216" s="1" t="n">
        <v>45990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41923-2024</t>
        </is>
      </c>
      <c r="B217" s="1" t="n">
        <v>45561</v>
      </c>
      <c r="C217" s="1" t="n">
        <v>45990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38103-2023</t>
        </is>
      </c>
      <c r="B218" s="1" t="n">
        <v>45161</v>
      </c>
      <c r="C218" s="1" t="n">
        <v>45990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58129-2024</t>
        </is>
      </c>
      <c r="B219" s="1" t="n">
        <v>45632.40585648148</v>
      </c>
      <c r="C219" s="1" t="n">
        <v>45990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45990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14522-2024</t>
        </is>
      </c>
      <c r="B221" s="1" t="n">
        <v>45394.62971064815</v>
      </c>
      <c r="C221" s="1" t="n">
        <v>45990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45990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48884-2023</t>
        </is>
      </c>
      <c r="B223" s="1" t="n">
        <v>45209</v>
      </c>
      <c r="C223" s="1" t="n">
        <v>45990</v>
      </c>
      <c r="D223" t="inlineStr">
        <is>
          <t>VÄSTRA GÖTALANDS LÄN</t>
        </is>
      </c>
      <c r="E223" t="inlineStr">
        <is>
          <t>KARLSBORG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45990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45990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36820-2022</t>
        </is>
      </c>
      <c r="B226" s="1" t="n">
        <v>44805.55697916666</v>
      </c>
      <c r="C226" s="1" t="n">
        <v>45990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45990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45990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34125-2024</t>
        </is>
      </c>
      <c r="B229" s="1" t="n">
        <v>45524.31809027777</v>
      </c>
      <c r="C229" s="1" t="n">
        <v>45990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45990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59877-2021</t>
        </is>
      </c>
      <c r="B231" s="1" t="n">
        <v>44494</v>
      </c>
      <c r="C231" s="1" t="n">
        <v>45990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8990-2025</t>
        </is>
      </c>
      <c r="B232" s="1" t="n">
        <v>45713.54516203704</v>
      </c>
      <c r="C232" s="1" t="n">
        <v>45990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27823-2023</t>
        </is>
      </c>
      <c r="B233" s="1" t="n">
        <v>45098.5205787037</v>
      </c>
      <c r="C233" s="1" t="n">
        <v>45990</v>
      </c>
      <c r="D233" t="inlineStr">
        <is>
          <t>VÄSTRA GÖTALANDS LÄN</t>
        </is>
      </c>
      <c r="E233" t="inlineStr">
        <is>
          <t>KARLSBORG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53898-2023</t>
        </is>
      </c>
      <c r="B234" s="1" t="n">
        <v>45231.54010416667</v>
      </c>
      <c r="C234" s="1" t="n">
        <v>45990</v>
      </c>
      <c r="D234" t="inlineStr">
        <is>
          <t>VÄSTRA GÖTALANDS LÄN</t>
        </is>
      </c>
      <c r="E234" t="inlineStr">
        <is>
          <t>KARLSBORG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45019-2024</t>
        </is>
      </c>
      <c r="B235" s="1" t="n">
        <v>45575.49673611111</v>
      </c>
      <c r="C235" s="1" t="n">
        <v>45990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24008-2023</t>
        </is>
      </c>
      <c r="B236" s="1" t="n">
        <v>45078.67081018518</v>
      </c>
      <c r="C236" s="1" t="n">
        <v>45990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42825-2024</t>
        </is>
      </c>
      <c r="B237" s="1" t="n">
        <v>45566.60034722222</v>
      </c>
      <c r="C237" s="1" t="n">
        <v>45990</v>
      </c>
      <c r="D237" t="inlineStr">
        <is>
          <t>VÄSTRA GÖTALANDS LÄN</t>
        </is>
      </c>
      <c r="E237" t="inlineStr">
        <is>
          <t>KARLSBORG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45990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58573-2023</t>
        </is>
      </c>
      <c r="B239" s="1" t="n">
        <v>45251</v>
      </c>
      <c r="C239" s="1" t="n">
        <v>45990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37383-2022</t>
        </is>
      </c>
      <c r="B240" s="1" t="n">
        <v>44809.40762731482</v>
      </c>
      <c r="C240" s="1" t="n">
        <v>45990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56495-2023</t>
        </is>
      </c>
      <c r="B241" s="1" t="n">
        <v>45243.52725694444</v>
      </c>
      <c r="C241" s="1" t="n">
        <v>45990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26467-2021</t>
        </is>
      </c>
      <c r="B242" s="1" t="n">
        <v>44348.39732638889</v>
      </c>
      <c r="C242" s="1" t="n">
        <v>45990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45990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37519-2024</t>
        </is>
      </c>
      <c r="B244" s="1" t="n">
        <v>45541.39113425926</v>
      </c>
      <c r="C244" s="1" t="n">
        <v>45990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45990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17908-2025</t>
        </is>
      </c>
      <c r="B246" s="1" t="n">
        <v>45758.73297453704</v>
      </c>
      <c r="C246" s="1" t="n">
        <v>45990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42598-2024</t>
        </is>
      </c>
      <c r="B247" s="1" t="n">
        <v>45565.70193287037</v>
      </c>
      <c r="C247" s="1" t="n">
        <v>45990</v>
      </c>
      <c r="D247" t="inlineStr">
        <is>
          <t>VÄSTRA GÖTALANDS LÄN</t>
        </is>
      </c>
      <c r="E247" t="inlineStr">
        <is>
          <t>KARLSBORG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40128-2023</t>
        </is>
      </c>
      <c r="B248" s="1" t="n">
        <v>45169</v>
      </c>
      <c r="C248" s="1" t="n">
        <v>45990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15656-2024</t>
        </is>
      </c>
      <c r="B249" s="1" t="n">
        <v>45404</v>
      </c>
      <c r="C249" s="1" t="n">
        <v>45990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42724-2024</t>
        </is>
      </c>
      <c r="B250" s="1" t="n">
        <v>45566.46574074074</v>
      </c>
      <c r="C250" s="1" t="n">
        <v>45990</v>
      </c>
      <c r="D250" t="inlineStr">
        <is>
          <t>VÄSTRA GÖTALANDS LÄN</t>
        </is>
      </c>
      <c r="E250" t="inlineStr">
        <is>
          <t>KARLSBORG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15958-2022</t>
        </is>
      </c>
      <c r="B251" s="1" t="n">
        <v>44664.84104166667</v>
      </c>
      <c r="C251" s="1" t="n">
        <v>45990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20564-2024</t>
        </is>
      </c>
      <c r="B252" s="1" t="n">
        <v>45436</v>
      </c>
      <c r="C252" s="1" t="n">
        <v>45990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53898-2021</t>
        </is>
      </c>
      <c r="B253" s="1" t="n">
        <v>44469.70724537037</v>
      </c>
      <c r="C253" s="1" t="n">
        <v>45990</v>
      </c>
      <c r="D253" t="inlineStr">
        <is>
          <t>VÄSTRA GÖTALANDS LÄN</t>
        </is>
      </c>
      <c r="E253" t="inlineStr">
        <is>
          <t>KARLSBORG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45224-2021</t>
        </is>
      </c>
      <c r="B254" s="1" t="n">
        <v>44439.5778587963</v>
      </c>
      <c r="C254" s="1" t="n">
        <v>45990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54416-2024</t>
        </is>
      </c>
      <c r="B255" s="1" t="n">
        <v>45617</v>
      </c>
      <c r="C255" s="1" t="n">
        <v>45990</v>
      </c>
      <c r="D255" t="inlineStr">
        <is>
          <t>VÄSTRA GÖTALANDS LÄN</t>
        </is>
      </c>
      <c r="E255" t="inlineStr">
        <is>
          <t>KARLSBORG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22435-2025</t>
        </is>
      </c>
      <c r="B256" s="1" t="n">
        <v>45786.58416666667</v>
      </c>
      <c r="C256" s="1" t="n">
        <v>45990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22761-2025</t>
        </is>
      </c>
      <c r="B257" s="1" t="n">
        <v>45789.6207175926</v>
      </c>
      <c r="C257" s="1" t="n">
        <v>45990</v>
      </c>
      <c r="D257" t="inlineStr">
        <is>
          <t>VÄSTRA GÖTALANDS LÄN</t>
        </is>
      </c>
      <c r="E257" t="inlineStr">
        <is>
          <t>KARLSBORG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13008-2025</t>
        </is>
      </c>
      <c r="B258" s="1" t="n">
        <v>45734.51854166666</v>
      </c>
      <c r="C258" s="1" t="n">
        <v>45990</v>
      </c>
      <c r="D258" t="inlineStr">
        <is>
          <t>VÄSTRA GÖTALANDS LÄN</t>
        </is>
      </c>
      <c r="E258" t="inlineStr">
        <is>
          <t>KARLSBORG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14862-2025</t>
        </is>
      </c>
      <c r="B259" s="1" t="n">
        <v>45743.4346875</v>
      </c>
      <c r="C259" s="1" t="n">
        <v>45990</v>
      </c>
      <c r="D259" t="inlineStr">
        <is>
          <t>VÄSTRA GÖTALANDS LÄN</t>
        </is>
      </c>
      <c r="E259" t="inlineStr">
        <is>
          <t>KARLSBORG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10667-2025</t>
        </is>
      </c>
      <c r="B260" s="1" t="n">
        <v>45721.76960648148</v>
      </c>
      <c r="C260" s="1" t="n">
        <v>45990</v>
      </c>
      <c r="D260" t="inlineStr">
        <is>
          <t>VÄSTRA GÖTALANDS LÄN</t>
        </is>
      </c>
      <c r="E260" t="inlineStr">
        <is>
          <t>KARLSBORG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8984-2025</t>
        </is>
      </c>
      <c r="B261" s="1" t="n">
        <v>45713.53513888889</v>
      </c>
      <c r="C261" s="1" t="n">
        <v>45990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2025-11-29T10:28:19Z</dcterms:created>
  <dcterms:modified xmlns:dcterms="http://purl.org/dc/terms/" xmlns:xsi="http://www.w3.org/2001/XMLSchema-instance" xsi:type="dcterms:W3CDTF">2025-11-29T10:28:19Z</dcterms:modified>
</cp:coreProperties>
</file>