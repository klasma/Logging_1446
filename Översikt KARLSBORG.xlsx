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46242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46242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46242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46242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Talltita
Älg
Mindre märgborre
Vågbandad barkbock
Tjäder</t>
        </is>
      </c>
      <c r="W5">
        <f>HYPERLINK("https://klasma.github.io/Logging_1446/artfynd/A 22877-2026 artfynd.xlsx", "A 22877-2026")</f>
        <v/>
      </c>
      <c r="X5">
        <f>HYPERLINK("https://klasma.github.io/Logging_1446/kartor/A 22877-2026 karta.png", "A 22877-2026")</f>
        <v/>
      </c>
      <c r="Y5">
        <f>HYPERLINK("https://klasma.github.io/Logging_1446/kartor_geotiff/A 22877-2026 georefererad karta.tif", "A 22877-2026")</f>
        <v/>
      </c>
      <c r="AA5">
        <f>HYPERLINK("https://klasma.github.io/Logging_1446/klagomål/A 22877-2026 FSC-klagomål.docx", "A 22877-2026")</f>
        <v/>
      </c>
      <c r="AB5">
        <f>HYPERLINK("https://klasma.github.io/Logging_1446/klagomålsmail/A 22877-2026 FSC-klagomål mail.docx", "A 22877-2026")</f>
        <v/>
      </c>
      <c r="AC5">
        <f>HYPERLINK("https://klasma.github.io/Logging_1446/tillsyn/A 22877-2026 tillsynsbegäran.docx", "A 22877-2026")</f>
        <v/>
      </c>
      <c r="AD5">
        <f>HYPERLINK("https://klasma.github.io/Logging_1446/tillsynsmail/A 22877-2026 tillsynsbegäran mail.docx", "A 22877-2026")</f>
        <v/>
      </c>
      <c r="AE5">
        <f>HYPERLINK("https://klasma.github.io/Logging_1446/fåglar/A 22877-2026 prioriterade fågelarter.docx", "A 22877-2026")</f>
        <v/>
      </c>
    </row>
    <row r="6" ht="15" customHeight="1">
      <c r="A6" t="inlineStr">
        <is>
          <t>A 47703-2021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44448</v>
      </c>
      <c r="E6" s="1" t="n">
        <v>46242</v>
      </c>
      <c r="F6" t="inlineStr">
        <is>
          <t>VÄSTRA GÖTALANDS LÄN</t>
        </is>
      </c>
      <c r="G6" t="inlineStr">
        <is>
          <t>KARLSBORG</t>
        </is>
      </c>
      <c r="I6" t="n">
        <v>12.9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Kattfotslav
Tretåig hackspett
Spillkråka
Orre</t>
        </is>
      </c>
      <c r="W6">
        <f>HYPERLINK("https://klasma.github.io/Logging_1446/artfynd/A 47703-2021 artfynd.xlsx", "A 47703-2021")</f>
        <v/>
      </c>
      <c r="X6">
        <f>HYPERLINK("https://klasma.github.io/Logging_1446/kartor/A 47703-2021 karta.png", "A 47703-2021")</f>
        <v/>
      </c>
      <c r="Y6">
        <f>HYPERLINK("https://klasma.github.io/Logging_1446/kartor_geotiff/A 47703-2021 georefererad karta.tif", "A 47703-2021")</f>
        <v/>
      </c>
      <c r="Z6">
        <f>HYPERLINK("https://klasma.github.io/Logging_1446/knärot/A 47703-2021 karta knärot.png", "A 47703-2021")</f>
        <v/>
      </c>
      <c r="AA6">
        <f>HYPERLINK("https://klasma.github.io/Logging_1446/klagomål/A 47703-2021 FSC-klagomål.docx", "A 47703-2021")</f>
        <v/>
      </c>
      <c r="AB6">
        <f>HYPERLINK("https://klasma.github.io/Logging_1446/klagomålsmail/A 47703-2021 FSC-klagomål mail.docx", "A 47703-2021")</f>
        <v/>
      </c>
      <c r="AC6">
        <f>HYPERLINK("https://klasma.github.io/Logging_1446/tillsyn/A 47703-2021 tillsynsbegäran.docx", "A 47703-2021")</f>
        <v/>
      </c>
      <c r="AD6">
        <f>HYPERLINK("https://klasma.github.io/Logging_1446/tillsynsmail/A 47703-2021 tillsynsbegäran mail.docx", "A 47703-2021")</f>
        <v/>
      </c>
      <c r="AE6">
        <f>HYPERLINK("https://klasma.github.io/Logging_1446/fåglar/A 47703-2021 prioriterade fågelarter.docx", "A 47703-2021")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46242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46242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46242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46242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46242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46242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46242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46242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46242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46242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46242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46242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46242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28315-2025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45818</v>
      </c>
      <c r="E20" s="1" t="n">
        <v>46242</v>
      </c>
      <c r="F20" t="inlineStr">
        <is>
          <t>VÄSTRA GÖTALANDS LÄN</t>
        </is>
      </c>
      <c r="G20" t="inlineStr">
        <is>
          <t>KARLSBORG</t>
        </is>
      </c>
      <c r="I20" t="n">
        <v>2.3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Rostfläck</t>
        </is>
      </c>
      <c r="W20">
        <f>HYPERLINK("https://klasma.github.io/Logging_1446/artfynd/A 28315-2025 artfynd.xlsx", "A 28315-2025")</f>
        <v/>
      </c>
      <c r="X20">
        <f>HYPERLINK("https://klasma.github.io/Logging_1446/kartor/A 28315-2025 karta.png", "A 28315-2025")</f>
        <v/>
      </c>
      <c r="Y20">
        <f>HYPERLINK("https://klasma.github.io/Logging_1446/kartor_geotiff/A 28315-2025 georefererad karta.tif", "A 28315-2025")</f>
        <v/>
      </c>
      <c r="AA20">
        <f>HYPERLINK("https://klasma.github.io/Logging_1446/klagomål/A 28315-2025 FSC-klagomål.docx", "A 28315-2025")</f>
        <v/>
      </c>
      <c r="AB20">
        <f>HYPERLINK("https://klasma.github.io/Logging_1446/klagomålsmail/A 28315-2025 FSC-klagomål mail.docx", "A 28315-2025")</f>
        <v/>
      </c>
      <c r="AC20">
        <f>HYPERLINK("https://klasma.github.io/Logging_1446/tillsyn/A 28315-2025 tillsynsbegäran.docx", "A 28315-2025")</f>
        <v/>
      </c>
      <c r="AD20">
        <f>HYPERLINK("https://klasma.github.io/Logging_1446/tillsynsmail/A 28315-2025 tillsynsbegäran mail.docx", "A 28315-2025")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46242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42778-2024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45566</v>
      </c>
      <c r="E22" s="1" t="n">
        <v>46242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HYPERLINK("https://klasma.github.io/Logging_1446/artfynd/A 42778-2024 artfynd.xlsx", "A 42778-2024")</f>
        <v/>
      </c>
      <c r="X22">
        <f>HYPERLINK("https://klasma.github.io/Logging_1446/kartor/A 42778-2024 karta.png", "A 42778-2024")</f>
        <v/>
      </c>
      <c r="Y22">
        <f>HYPERLINK("https://klasma.github.io/Logging_1446/kartor_geotiff/A 42778-2024 georefererad karta.tif", "A 42778-2024")</f>
        <v/>
      </c>
      <c r="AA22">
        <f>HYPERLINK("https://klasma.github.io/Logging_1446/klagomål/A 42778-2024 FSC-klagomål.docx", "A 42778-2024")</f>
        <v/>
      </c>
      <c r="AB22">
        <f>HYPERLINK("https://klasma.github.io/Logging_1446/klagomålsmail/A 42778-2024 FSC-klagomål mail.docx", "A 42778-2024")</f>
        <v/>
      </c>
      <c r="AC22">
        <f>HYPERLINK("https://klasma.github.io/Logging_1446/tillsyn/A 42778-2024 tillsynsbegäran.docx", "A 42778-2024")</f>
        <v/>
      </c>
      <c r="AD22">
        <f>HYPERLINK("https://klasma.github.io/Logging_1446/tillsynsmail/A 42778-2024 tillsynsbegäran mail.docx", "A 42778-2024")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46242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8984-2025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46242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HYPERLINK("https://klasma.github.io/Logging_1446/artfynd/A 8984-2025 artfynd.xlsx", "A 8984-2025")</f>
        <v/>
      </c>
      <c r="X24">
        <f>HYPERLINK("https://klasma.github.io/Logging_1446/kartor/A 8984-2025 karta.png", "A 8984-2025")</f>
        <v/>
      </c>
      <c r="Y24">
        <f>HYPERLINK("https://klasma.github.io/Logging_1446/kartor_geotiff/A 8984-2025 georefererad karta.tif", "A 8984-2025")</f>
        <v/>
      </c>
      <c r="AA24">
        <f>HYPERLINK("https://klasma.github.io/Logging_1446/klagomål/A 8984-2025 FSC-klagomål.docx", "A 8984-2025")</f>
        <v/>
      </c>
      <c r="AB24">
        <f>HYPERLINK("https://klasma.github.io/Logging_1446/klagomålsmail/A 8984-2025 FSC-klagomål mail.docx", "A 8984-2025")</f>
        <v/>
      </c>
      <c r="AC24">
        <f>HYPERLINK("https://klasma.github.io/Logging_1446/tillsyn/A 8984-2025 tillsynsbegäran.docx", "A 8984-2025")</f>
        <v/>
      </c>
      <c r="AD24">
        <f>HYPERLINK("https://klasma.github.io/Logging_1446/tillsynsmail/A 8984-2025 tillsynsbegäran mail.docx", "A 8984-2025")</f>
        <v/>
      </c>
      <c r="AE24">
        <f>HYPERLINK("https://klasma.github.io/Logging_1446/fåglar/A 8984-2025 prioriterade fågelarter.docx", "A 8984-2025")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46242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29156-2026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46242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29156-2026 artfynd.xlsx", "A 29156-2026")</f>
        <v/>
      </c>
      <c r="X26">
        <f>HYPERLINK("https://klasma.github.io/Logging_1446/kartor/A 29156-2026 karta.png", "A 29156-2026")</f>
        <v/>
      </c>
      <c r="Y26">
        <f>HYPERLINK("https://klasma.github.io/Logging_1446/kartor_geotiff/A 29156-2026 georefererad karta.tif", "A 29156-2026")</f>
        <v/>
      </c>
      <c r="AA26">
        <f>HYPERLINK("https://klasma.github.io/Logging_1446/klagomål/A 29156-2026 FSC-klagomål.docx", "A 29156-2026")</f>
        <v/>
      </c>
      <c r="AB26">
        <f>HYPERLINK("https://klasma.github.io/Logging_1446/klagomålsmail/A 29156-2026 FSC-klagomål mail.docx", "A 29156-2026")</f>
        <v/>
      </c>
      <c r="AC26">
        <f>HYPERLINK("https://klasma.github.io/Logging_1446/tillsyn/A 29156-2026 tillsynsbegäran.docx", "A 29156-2026")</f>
        <v/>
      </c>
      <c r="AD26">
        <f>HYPERLINK("https://klasma.github.io/Logging_1446/tillsynsmail/A 29156-2026 tillsynsbegäran mail.docx", "A 29156-2026")</f>
        <v/>
      </c>
    </row>
    <row r="27" ht="15" customHeight="1">
      <c r="A27" t="inlineStr">
        <is>
          <t>A 9337-2025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45714</v>
      </c>
      <c r="E27" s="1" t="n">
        <v>46242</v>
      </c>
      <c r="F27" t="inlineStr">
        <is>
          <t>VÄSTRA GÖTALANDS LÄN</t>
        </is>
      </c>
      <c r="G27" t="inlineStr">
        <is>
          <t>KARLSBORG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HYPERLINK("https://klasma.github.io/Logging_1446/artfynd/A 9337-2025 artfynd.xlsx", "A 9337-2025")</f>
        <v/>
      </c>
      <c r="X27">
        <f>HYPERLINK("https://klasma.github.io/Logging_1446/kartor/A 9337-2025 karta.png", "A 9337-2025")</f>
        <v/>
      </c>
      <c r="Y27">
        <f>HYPERLINK("https://klasma.github.io/Logging_1446/kartor_geotiff/A 9337-2025 georefererad karta.tif", "A 9337-2025")</f>
        <v/>
      </c>
      <c r="AA27">
        <f>HYPERLINK("https://klasma.github.io/Logging_1446/klagomål/A 9337-2025 FSC-klagomål.docx", "A 9337-2025")</f>
        <v/>
      </c>
      <c r="AB27">
        <f>HYPERLINK("https://klasma.github.io/Logging_1446/klagomålsmail/A 9337-2025 FSC-klagomål mail.docx", "A 9337-2025")</f>
        <v/>
      </c>
      <c r="AC27">
        <f>HYPERLINK("https://klasma.github.io/Logging_1446/tillsyn/A 9337-2025 tillsynsbegäran.docx", "A 9337-2025")</f>
        <v/>
      </c>
      <c r="AD27">
        <f>HYPERLINK("https://klasma.github.io/Logging_1446/tillsynsmail/A 9337-2025 tillsynsbegäran mail.docx", "A 9337-2025")</f>
        <v/>
      </c>
    </row>
    <row r="28" ht="15" customHeight="1">
      <c r="A28" t="inlineStr">
        <is>
          <t>A 59712-2021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44494</v>
      </c>
      <c r="E28" s="1" t="n">
        <v>46242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Ask</t>
        </is>
      </c>
      <c r="W28">
        <f>HYPERLINK("https://klasma.github.io/Logging_1446/artfynd/A 59712-2021 artfynd.xlsx", "A 59712-2021")</f>
        <v/>
      </c>
      <c r="X28">
        <f>HYPERLINK("https://klasma.github.io/Logging_1446/kartor/A 59712-2021 karta.png", "A 59712-2021")</f>
        <v/>
      </c>
      <c r="Y28">
        <f>HYPERLINK("https://klasma.github.io/Logging_1446/kartor_geotiff/A 59712-2021 georefererad karta.tif", "A 59712-2021")</f>
        <v/>
      </c>
      <c r="AA28">
        <f>HYPERLINK("https://klasma.github.io/Logging_1446/klagomål/A 59712-2021 FSC-klagomål.docx", "A 59712-2021")</f>
        <v/>
      </c>
      <c r="AB28">
        <f>HYPERLINK("https://klasma.github.io/Logging_1446/klagomålsmail/A 59712-2021 FSC-klagomål mail.docx", "A 59712-2021")</f>
        <v/>
      </c>
      <c r="AC28">
        <f>HYPERLINK("https://klasma.github.io/Logging_1446/tillsyn/A 59712-2021 tillsynsbegäran.docx", "A 59712-2021")</f>
        <v/>
      </c>
      <c r="AD28">
        <f>HYPERLINK("https://klasma.github.io/Logging_1446/tillsynsmail/A 59712-2021 tillsynsbegäran mail.docx", "A 59712-2021")</f>
        <v/>
      </c>
    </row>
    <row r="29" ht="15" customHeight="1">
      <c r="A29" t="inlineStr">
        <is>
          <t>A 38103-2023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46242</v>
      </c>
      <c r="F29" t="inlineStr">
        <is>
          <t>VÄSTRA GÖTALANDS LÄN</t>
        </is>
      </c>
      <c r="G29" t="inlineStr">
        <is>
          <t>KARLSBORG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HYPERLINK("https://klasma.github.io/Logging_1446/artfynd/A 38103-2023 artfynd.xlsx", "A 38103-2023")</f>
        <v/>
      </c>
      <c r="X29">
        <f>HYPERLINK("https://klasma.github.io/Logging_1446/kartor/A 38103-2023 karta.png", "A 38103-2023")</f>
        <v/>
      </c>
      <c r="Y29">
        <f>HYPERLINK("https://klasma.github.io/Logging_1446/kartor_geotiff/A 38103-2023 georefererad karta.tif", "A 38103-2023")</f>
        <v/>
      </c>
      <c r="AA29">
        <f>HYPERLINK("https://klasma.github.io/Logging_1446/klagomål/A 38103-2023 FSC-klagomål.docx", "A 38103-2023")</f>
        <v/>
      </c>
      <c r="AB29">
        <f>HYPERLINK("https://klasma.github.io/Logging_1446/klagomålsmail/A 38103-2023 FSC-klagomål mail.docx", "A 38103-2023")</f>
        <v/>
      </c>
      <c r="AC29">
        <f>HYPERLINK("https://klasma.github.io/Logging_1446/tillsyn/A 38103-2023 tillsynsbegäran.docx", "A 38103-2023")</f>
        <v/>
      </c>
      <c r="AD29">
        <f>HYPERLINK("https://klasma.github.io/Logging_1446/tillsynsmail/A 38103-2023 tillsynsbegäran mail.docx", "A 38103-2023")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46242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53909-2023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46242</v>
      </c>
      <c r="F31" t="inlineStr">
        <is>
          <t>VÄSTRA GÖTALANDS LÄN</t>
        </is>
      </c>
      <c r="G31" t="inlineStr">
        <is>
          <t>KARLSBORG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HYPERLINK("https://klasma.github.io/Logging_1446/artfynd/A 53909-2023 artfynd.xlsx", "A 53909-2023")</f>
        <v/>
      </c>
      <c r="X31">
        <f>HYPERLINK("https://klasma.github.io/Logging_1446/kartor/A 53909-2023 karta.png", "A 53909-2023")</f>
        <v/>
      </c>
      <c r="Y31">
        <f>HYPERLINK("https://klasma.github.io/Logging_1446/kartor_geotiff/A 53909-2023 georefererad karta.tif", "A 53909-2023")</f>
        <v/>
      </c>
      <c r="AA31">
        <f>HYPERLINK("https://klasma.github.io/Logging_1446/klagomål/A 53909-2023 FSC-klagomål.docx", "A 53909-2023")</f>
        <v/>
      </c>
      <c r="AB31">
        <f>HYPERLINK("https://klasma.github.io/Logging_1446/klagomålsmail/A 53909-2023 FSC-klagomål mail.docx", "A 53909-2023")</f>
        <v/>
      </c>
      <c r="AC31">
        <f>HYPERLINK("https://klasma.github.io/Logging_1446/tillsyn/A 53909-2023 tillsynsbegäran.docx", "A 53909-2023")</f>
        <v/>
      </c>
      <c r="AD31">
        <f>HYPERLINK("https://klasma.github.io/Logging_1446/tillsynsmail/A 53909-2023 tillsynsbegäran mail.docx", "A 53909-2023")</f>
        <v/>
      </c>
    </row>
    <row r="32" ht="15" customHeight="1">
      <c r="A32" t="inlineStr">
        <is>
          <t>A 23973-2023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46242</v>
      </c>
      <c r="F32" t="inlineStr">
        <is>
          <t>VÄSTRA GÖTALANDS LÄN</t>
        </is>
      </c>
      <c r="G32" t="inlineStr">
        <is>
          <t>KARLSBORG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Orre</t>
        </is>
      </c>
      <c r="W32">
        <f>HYPERLINK("https://klasma.github.io/Logging_1446/artfynd/A 23973-2023 artfynd.xlsx", "A 23973-2023")</f>
        <v/>
      </c>
      <c r="X32">
        <f>HYPERLINK("https://klasma.github.io/Logging_1446/kartor/A 23973-2023 karta.png", "A 23973-2023")</f>
        <v/>
      </c>
      <c r="Y32">
        <f>HYPERLINK("https://klasma.github.io/Logging_1446/kartor_geotiff/A 23973-2023 georefererad karta.tif", "A 23973-2023")</f>
        <v/>
      </c>
      <c r="AA32">
        <f>HYPERLINK("https://klasma.github.io/Logging_1446/klagomål/A 23973-2023 FSC-klagomål.docx", "A 23973-2023")</f>
        <v/>
      </c>
      <c r="AB32">
        <f>HYPERLINK("https://klasma.github.io/Logging_1446/klagomålsmail/A 23973-2023 FSC-klagomål mail.docx", "A 23973-2023")</f>
        <v/>
      </c>
      <c r="AC32">
        <f>HYPERLINK("https://klasma.github.io/Logging_1446/tillsyn/A 23973-2023 tillsynsbegäran.docx", "A 23973-2023")</f>
        <v/>
      </c>
      <c r="AD32">
        <f>HYPERLINK("https://klasma.github.io/Logging_1446/tillsynsmail/A 23973-2023 tillsynsbegäran mail.docx", "A 23973-2023")</f>
        <v/>
      </c>
      <c r="AE32">
        <f>HYPERLINK("https://klasma.github.io/Logging_1446/fåglar/A 23973-2023 prioriterade fågelarter.docx", "A 23973-2023")</f>
        <v/>
      </c>
    </row>
    <row r="33" ht="15" customHeight="1">
      <c r="A33" t="inlineStr">
        <is>
          <t>A 66556-2021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46242</v>
      </c>
      <c r="F33" t="inlineStr">
        <is>
          <t>VÄSTRA GÖTALANDS LÄN</t>
        </is>
      </c>
      <c r="G33" t="inlineStr">
        <is>
          <t>KARLSBORG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44584</v>
      </c>
      <c r="E34" s="1" t="n">
        <v>46242</v>
      </c>
      <c r="F34" t="inlineStr">
        <is>
          <t>VÄSTRA GÖTALANDS LÄN</t>
        </is>
      </c>
      <c r="G34" t="inlineStr">
        <is>
          <t>KARLSBORG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70450-2021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44536</v>
      </c>
      <c r="E35" s="1" t="n">
        <v>46242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46242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61223-2021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46242</v>
      </c>
      <c r="F37" t="inlineStr">
        <is>
          <t>VÄSTRA GÖTALANDS LÄN</t>
        </is>
      </c>
      <c r="G37" t="inlineStr">
        <is>
          <t>KARLSBORG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46242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46242</v>
      </c>
      <c r="F39" t="inlineStr">
        <is>
          <t>VÄSTRA GÖTALANDS LÄN</t>
        </is>
      </c>
      <c r="G39" t="inlineStr">
        <is>
          <t>KARLSBORG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53700-2021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46242</v>
      </c>
      <c r="F40" t="inlineStr">
        <is>
          <t>VÄSTRA GÖTALANDS LÄN</t>
        </is>
      </c>
      <c r="G40" t="inlineStr">
        <is>
          <t>KARLSBORG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44427</v>
      </c>
      <c r="E41" s="1" t="n">
        <v>46242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44687</v>
      </c>
      <c r="E42" s="1" t="n">
        <v>46242</v>
      </c>
      <c r="F42" t="inlineStr">
        <is>
          <t>VÄSTRA GÖTALANDS LÄN</t>
        </is>
      </c>
      <c r="G42" t="inlineStr">
        <is>
          <t>KARLSBORG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41954-2021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46242</v>
      </c>
      <c r="F43" t="inlineStr">
        <is>
          <t>VÄSTRA GÖTALANDS LÄN</t>
        </is>
      </c>
      <c r="G43" t="inlineStr">
        <is>
          <t>KARLSBORG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70949-2021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46242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44599</v>
      </c>
      <c r="E45" s="1" t="n">
        <v>46242</v>
      </c>
      <c r="F45" t="inlineStr">
        <is>
          <t>VÄSTRA GÖTALANDS LÄN</t>
        </is>
      </c>
      <c r="G45" t="inlineStr">
        <is>
          <t>KARLSBORG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46242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46242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statliga verk och myndigheter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55831-2021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44476</v>
      </c>
      <c r="E48" s="1" t="n">
        <v>46242</v>
      </c>
      <c r="F48" t="inlineStr">
        <is>
          <t>VÄSTRA GÖTALANDS LÄN</t>
        </is>
      </c>
      <c r="G48" t="inlineStr">
        <is>
          <t>KARLSBORG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34673-2022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46242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45453</v>
      </c>
      <c r="E50" s="1" t="n">
        <v>46242</v>
      </c>
      <c r="F50" t="inlineStr">
        <is>
          <t>VÄSTRA GÖTALANDS LÄN</t>
        </is>
      </c>
      <c r="G50" t="inlineStr">
        <is>
          <t>KARLSBORG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44595</v>
      </c>
      <c r="E51" s="1" t="n">
        <v>46242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13076-2023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46242</v>
      </c>
      <c r="F52" t="inlineStr">
        <is>
          <t>VÄSTRA GÖTALANDS LÄN</t>
        </is>
      </c>
      <c r="G52" t="inlineStr">
        <is>
          <t>KARLSBORG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45524</v>
      </c>
      <c r="E53" s="1" t="n">
        <v>46242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46242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70945-2021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44538</v>
      </c>
      <c r="E55" s="1" t="n">
        <v>46242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38073-2023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45160</v>
      </c>
      <c r="E56" s="1" t="n">
        <v>46242</v>
      </c>
      <c r="F56" t="inlineStr">
        <is>
          <t>VÄSTRA GÖTALANDS LÄN</t>
        </is>
      </c>
      <c r="G56" t="inlineStr">
        <is>
          <t>KARLSBORG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46242</v>
      </c>
      <c r="F57" t="inlineStr">
        <is>
          <t>VÄSTRA GÖTALANDS LÄN</t>
        </is>
      </c>
      <c r="G57" t="inlineStr">
        <is>
          <t>KARLSBORG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57454-2024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45630</v>
      </c>
      <c r="E58" s="1" t="n">
        <v>46242</v>
      </c>
      <c r="F58" t="inlineStr">
        <is>
          <t>VÄSTRA GÖTALANDS LÄN</t>
        </is>
      </c>
      <c r="G58" t="inlineStr">
        <is>
          <t>KARLSBORG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46242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46242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46242</v>
      </c>
      <c r="F61" t="inlineStr">
        <is>
          <t>VÄSTRA GÖTALANDS LÄN</t>
        </is>
      </c>
      <c r="G61" t="inlineStr">
        <is>
          <t>KARLSBORG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46242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46242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28528-2024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46242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45019</v>
      </c>
      <c r="E65" s="1" t="n">
        <v>46242</v>
      </c>
      <c r="F65" t="inlineStr">
        <is>
          <t>VÄSTRA GÖTALANDS LÄN</t>
        </is>
      </c>
      <c r="G65" t="inlineStr">
        <is>
          <t>KARLSBORG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46242</v>
      </c>
      <c r="F66" t="inlineStr">
        <is>
          <t>VÄSTRA GÖTALANDS LÄN</t>
        </is>
      </c>
      <c r="G66" t="inlineStr">
        <is>
          <t>KARLSBORG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45183</v>
      </c>
      <c r="E67" s="1" t="n">
        <v>46242</v>
      </c>
      <c r="F67" t="inlineStr">
        <is>
          <t>VÄSTRA GÖTALANDS LÄN</t>
        </is>
      </c>
      <c r="G67" t="inlineStr">
        <is>
          <t>KARLSBORG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46242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46242</v>
      </c>
      <c r="F69" t="inlineStr">
        <is>
          <t>VÄSTRA GÖTALANDS LÄN</t>
        </is>
      </c>
      <c r="G69" t="inlineStr">
        <is>
          <t>KARLSBORG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58127-2024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45632</v>
      </c>
      <c r="E70" s="1" t="n">
        <v>46242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46242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statliga verk och myndigheter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45548</v>
      </c>
      <c r="E72" s="1" t="n">
        <v>46242</v>
      </c>
      <c r="F72" t="inlineStr">
        <is>
          <t>VÄSTRA GÖTALANDS LÄN</t>
        </is>
      </c>
      <c r="G72" t="inlineStr">
        <is>
          <t>KARLSBORG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46242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45002</v>
      </c>
      <c r="E74" s="1" t="n">
        <v>46242</v>
      </c>
      <c r="F74" t="inlineStr">
        <is>
          <t>VÄSTRA GÖTALANDS LÄN</t>
        </is>
      </c>
      <c r="G74" t="inlineStr">
        <is>
          <t>KARLSBORG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45707</v>
      </c>
      <c r="E75" s="1" t="n">
        <v>46242</v>
      </c>
      <c r="F75" t="inlineStr">
        <is>
          <t>VÄSTRA GÖTALANDS LÄN</t>
        </is>
      </c>
      <c r="G75" t="inlineStr">
        <is>
          <t>KARLSBORG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46242</v>
      </c>
      <c r="F76" t="inlineStr">
        <is>
          <t>VÄSTRA GÖTALANDS LÄN</t>
        </is>
      </c>
      <c r="G76" t="inlineStr">
        <is>
          <t>KARLSBORG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46242</v>
      </c>
      <c r="F77" t="inlineStr">
        <is>
          <t>VÄSTRA GÖTALANDS LÄN</t>
        </is>
      </c>
      <c r="G77" t="inlineStr">
        <is>
          <t>KARLSBORG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70783-2021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44537</v>
      </c>
      <c r="E78" s="1" t="n">
        <v>46242</v>
      </c>
      <c r="F78" t="inlineStr">
        <is>
          <t>VÄSTRA GÖTALANDS LÄN</t>
        </is>
      </c>
      <c r="G78" t="inlineStr">
        <is>
          <t>KARLSBORG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46045</v>
      </c>
      <c r="E79" s="1" t="n">
        <v>46242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46242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Aktiebolag</t>
        </is>
      </c>
      <c r="I80" t="n">
        <v>14.3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46242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28460-2023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46242</v>
      </c>
      <c r="F82" t="inlineStr">
        <is>
          <t>VÄSTRA GÖTALANDS LÄN</t>
        </is>
      </c>
      <c r="G82" t="inlineStr">
        <is>
          <t>KARLSBORG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29490-2025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45824</v>
      </c>
      <c r="E83" s="1" t="n">
        <v>46242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45575</v>
      </c>
      <c r="E84" s="1" t="n">
        <v>46242</v>
      </c>
      <c r="F84" t="inlineStr">
        <is>
          <t>VÄSTRA GÖTALANDS LÄN</t>
        </is>
      </c>
      <c r="G84" t="inlineStr">
        <is>
          <t>KARLSBORG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46242</v>
      </c>
      <c r="F85" t="inlineStr">
        <is>
          <t>VÄSTRA GÖTALANDS LÄN</t>
        </is>
      </c>
      <c r="G85" t="inlineStr">
        <is>
          <t>KARLSBORG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46242</v>
      </c>
      <c r="F86" t="inlineStr">
        <is>
          <t>VÄSTRA GÖTALANDS LÄN</t>
        </is>
      </c>
      <c r="G86" t="inlineStr">
        <is>
          <t>KARLSBORG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46242</v>
      </c>
      <c r="F87" t="inlineStr">
        <is>
          <t>VÄSTRA GÖTALANDS LÄN</t>
        </is>
      </c>
      <c r="G87" t="inlineStr">
        <is>
          <t>KARLSBORG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46242</v>
      </c>
      <c r="F88" t="inlineStr">
        <is>
          <t>VÄSTRA GÖTALANDS LÄN</t>
        </is>
      </c>
      <c r="G88" t="inlineStr">
        <is>
          <t>KARLSBORG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46242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46242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Aktiebolag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46052</v>
      </c>
      <c r="E91" s="1" t="n">
        <v>46242</v>
      </c>
      <c r="F91" t="inlineStr">
        <is>
          <t>VÄSTRA GÖTALANDS LÄN</t>
        </is>
      </c>
      <c r="G91" t="inlineStr">
        <is>
          <t>KARLSBORG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6408-2026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46242</v>
      </c>
      <c r="F92" t="inlineStr">
        <is>
          <t>VÄSTRA GÖTALANDS LÄN</t>
        </is>
      </c>
      <c r="G92" t="inlineStr">
        <is>
          <t>KARLSBORG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43021-2021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44431</v>
      </c>
      <c r="E93" s="1" t="n">
        <v>46242</v>
      </c>
      <c r="F93" t="inlineStr">
        <is>
          <t>VÄSTRA GÖTALANDS LÄN</t>
        </is>
      </c>
      <c r="G93" t="inlineStr">
        <is>
          <t>KARLSBORG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46242</v>
      </c>
      <c r="F94" t="inlineStr">
        <is>
          <t>VÄSTRA GÖTALANDS LÄN</t>
        </is>
      </c>
      <c r="G94" t="inlineStr">
        <is>
          <t>KARLSBORG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46242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46242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Kyrkan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44906</v>
      </c>
      <c r="E97" s="1" t="n">
        <v>46242</v>
      </c>
      <c r="F97" t="inlineStr">
        <is>
          <t>VÄSTRA GÖTALANDS LÄN</t>
        </is>
      </c>
      <c r="G97" t="inlineStr">
        <is>
          <t>KARLSBORG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46242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statliga verk och myndigheter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46242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statliga verk och myndigheter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46242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statliga verk och myndigheter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46242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statliga verk och myndigheter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46242</v>
      </c>
      <c r="F102" t="inlineStr">
        <is>
          <t>VÄSTRA GÖTALANDS LÄN</t>
        </is>
      </c>
      <c r="G102" t="inlineStr">
        <is>
          <t>KARLSBORG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44687</v>
      </c>
      <c r="E103" s="1" t="n">
        <v>46242</v>
      </c>
      <c r="F103" t="inlineStr">
        <is>
          <t>VÄSTRA GÖTALANDS LÄN</t>
        </is>
      </c>
      <c r="G103" t="inlineStr">
        <is>
          <t>KARLSBORG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46242</v>
      </c>
      <c r="F104" t="inlineStr">
        <is>
          <t>VÄSTRA GÖTALANDS LÄN</t>
        </is>
      </c>
      <c r="G104" t="inlineStr">
        <is>
          <t>KARLSBORG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44366-2025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45916</v>
      </c>
      <c r="E105" s="1" t="n">
        <v>46242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Kyrkan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46242</v>
      </c>
      <c r="F106" t="inlineStr">
        <is>
          <t>VÄSTRA GÖTALANDS LÄN</t>
        </is>
      </c>
      <c r="G106" t="inlineStr">
        <is>
          <t>KARLSBORG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46242</v>
      </c>
      <c r="F107" t="inlineStr">
        <is>
          <t>VÄSTRA GÖTALANDS LÄN</t>
        </is>
      </c>
      <c r="G107" t="inlineStr">
        <is>
          <t>KARLSBORG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44944</v>
      </c>
      <c r="E108" s="1" t="n">
        <v>46242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46242</v>
      </c>
      <c r="F109" t="inlineStr">
        <is>
          <t>VÄSTRA GÖTALANDS LÄN</t>
        </is>
      </c>
      <c r="G109" t="inlineStr">
        <is>
          <t>KARLSBORG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46242</v>
      </c>
      <c r="F110" t="inlineStr">
        <is>
          <t>VÄSTRA GÖTALANDS LÄN</t>
        </is>
      </c>
      <c r="G110" t="inlineStr">
        <is>
          <t>KARLSBORG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10907-2026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46079</v>
      </c>
      <c r="E111" s="1" t="n">
        <v>46242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46242</v>
      </c>
      <c r="F112" t="inlineStr">
        <is>
          <t>VÄSTRA GÖTALANDS LÄN</t>
        </is>
      </c>
      <c r="G112" t="inlineStr">
        <is>
          <t>KARLSBORG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45566</v>
      </c>
      <c r="E113" s="1" t="n">
        <v>46242</v>
      </c>
      <c r="F113" t="inlineStr">
        <is>
          <t>VÄSTRA GÖTALANDS LÄN</t>
        </is>
      </c>
      <c r="G113" t="inlineStr">
        <is>
          <t>KARLSBORG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46242</v>
      </c>
      <c r="F114" t="inlineStr">
        <is>
          <t>VÄSTRA GÖTALANDS LÄN</t>
        </is>
      </c>
      <c r="G114" t="inlineStr">
        <is>
          <t>KARLSBORG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48129-2025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46242</v>
      </c>
      <c r="F115" t="inlineStr">
        <is>
          <t>VÄSTRA GÖTALANDS LÄN</t>
        </is>
      </c>
      <c r="G115" t="inlineStr">
        <is>
          <t>KARLSBORG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34314-2024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46242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46242</v>
      </c>
      <c r="F117" t="inlineStr">
        <is>
          <t>VÄSTRA GÖTALANDS LÄN</t>
        </is>
      </c>
      <c r="G117" t="inlineStr">
        <is>
          <t>KARLSBORG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45942</v>
      </c>
      <c r="E118" s="1" t="n">
        <v>46242</v>
      </c>
      <c r="F118" t="inlineStr">
        <is>
          <t>VÄSTRA GÖTALANDS LÄN</t>
        </is>
      </c>
      <c r="G118" t="inlineStr">
        <is>
          <t>KARLSBORG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46242</v>
      </c>
      <c r="F119" t="inlineStr">
        <is>
          <t>VÄSTRA GÖTALANDS LÄN</t>
        </is>
      </c>
      <c r="G119" t="inlineStr">
        <is>
          <t>KARLSBORG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44944</v>
      </c>
      <c r="E120" s="1" t="n">
        <v>46242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46242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45470</v>
      </c>
      <c r="E122" s="1" t="n">
        <v>46242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44795</v>
      </c>
      <c r="E123" s="1" t="n">
        <v>46242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46242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46242</v>
      </c>
      <c r="F125" t="inlineStr">
        <is>
          <t>VÄSTRA GÖTALANDS LÄN</t>
        </is>
      </c>
      <c r="G125" t="inlineStr">
        <is>
          <t>KARLSBORG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46127</v>
      </c>
      <c r="E126" s="1" t="n">
        <v>46242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18544-2026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46242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18546-2026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46127</v>
      </c>
      <c r="E128" s="1" t="n">
        <v>46242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46242</v>
      </c>
      <c r="F129" t="inlineStr">
        <is>
          <t>VÄSTRA GÖTALANDS LÄN</t>
        </is>
      </c>
      <c r="G129" t="inlineStr">
        <is>
          <t>KARLSBORG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18519-2026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46242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44727</v>
      </c>
      <c r="E131" s="1" t="n">
        <v>46242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45233</v>
      </c>
      <c r="E132" s="1" t="n">
        <v>46242</v>
      </c>
      <c r="F132" t="inlineStr">
        <is>
          <t>VÄSTRA GÖTALANDS LÄN</t>
        </is>
      </c>
      <c r="G132" t="inlineStr">
        <is>
          <t>KARLSBORG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18518-2026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46242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18564-2026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46127</v>
      </c>
      <c r="E134" s="1" t="n">
        <v>46242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46242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45489</v>
      </c>
      <c r="E136" s="1" t="n">
        <v>46242</v>
      </c>
      <c r="F136" t="inlineStr">
        <is>
          <t>VÄSTRA GÖTALANDS LÄN</t>
        </is>
      </c>
      <c r="G136" t="inlineStr">
        <is>
          <t>KARLSBORG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45742</v>
      </c>
      <c r="E137" s="1" t="n">
        <v>46242</v>
      </c>
      <c r="F137" t="inlineStr">
        <is>
          <t>VÄSTRA GÖTALANDS LÄN</t>
        </is>
      </c>
      <c r="G137" t="inlineStr">
        <is>
          <t>KARLSBORG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45834</v>
      </c>
      <c r="E138" s="1" t="n">
        <v>46242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32128-2025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45835</v>
      </c>
      <c r="E139" s="1" t="n">
        <v>46242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31701-2025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45834</v>
      </c>
      <c r="E140" s="1" t="n">
        <v>46242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65313-2021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46242</v>
      </c>
      <c r="F141" t="inlineStr">
        <is>
          <t>VÄSTRA GÖTALANDS LÄN</t>
        </is>
      </c>
      <c r="G141" t="inlineStr">
        <is>
          <t>KARLSBORG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46242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10.2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46242</v>
      </c>
      <c r="F143" t="inlineStr">
        <is>
          <t>VÄSTRA GÖTALANDS LÄN</t>
        </is>
      </c>
      <c r="G143" t="inlineStr">
        <is>
          <t>KARLSBORG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45218</v>
      </c>
      <c r="E144" s="1" t="n">
        <v>46242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45988</v>
      </c>
      <c r="E145" s="1" t="n">
        <v>46242</v>
      </c>
      <c r="F145" t="inlineStr">
        <is>
          <t>VÄSTRA GÖTALANDS LÄN</t>
        </is>
      </c>
      <c r="G145" t="inlineStr">
        <is>
          <t>KARLSBORG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46242</v>
      </c>
      <c r="F146" t="inlineStr">
        <is>
          <t>VÄSTRA GÖTALANDS LÄN</t>
        </is>
      </c>
      <c r="G146" t="inlineStr">
        <is>
          <t>KARLSBORG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45992</v>
      </c>
      <c r="E147" s="1" t="n">
        <v>46242</v>
      </c>
      <c r="F147" t="inlineStr">
        <is>
          <t>VÄSTRA GÖTALANDS LÄN</t>
        </is>
      </c>
      <c r="G147" t="inlineStr">
        <is>
          <t>KARLSBORG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46242</v>
      </c>
      <c r="F148" t="inlineStr">
        <is>
          <t>VÄSTRA GÖTALANDS LÄN</t>
        </is>
      </c>
      <c r="G148" t="inlineStr">
        <is>
          <t>KARLSBORG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46242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44785</v>
      </c>
      <c r="E150" s="1" t="n">
        <v>46242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35441-2024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45531</v>
      </c>
      <c r="E151" s="1" t="n">
        <v>46242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57915-2024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45631</v>
      </c>
      <c r="E152" s="1" t="n">
        <v>46242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46242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46242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46242</v>
      </c>
      <c r="F155" t="inlineStr">
        <is>
          <t>VÄSTRA GÖTALANDS LÄN</t>
        </is>
      </c>
      <c r="G155" t="inlineStr">
        <is>
          <t>KARLSBORG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46242</v>
      </c>
      <c r="F156" t="inlineStr">
        <is>
          <t>VÄSTRA GÖTALANDS LÄN</t>
        </is>
      </c>
      <c r="G156" t="inlineStr">
        <is>
          <t>KARLSBORG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46242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46242</v>
      </c>
      <c r="F158" t="inlineStr">
        <is>
          <t>VÄSTRA GÖTALANDS LÄN</t>
        </is>
      </c>
      <c r="G158" t="inlineStr">
        <is>
          <t>KARLSBORG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64012-2025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46021</v>
      </c>
      <c r="E159" s="1" t="n">
        <v>46242</v>
      </c>
      <c r="F159" t="inlineStr">
        <is>
          <t>VÄSTRA GÖTALANDS LÄN</t>
        </is>
      </c>
      <c r="G159" t="inlineStr">
        <is>
          <t>KARLSBORG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46242</v>
      </c>
      <c r="F160" t="inlineStr">
        <is>
          <t>VÄSTRA GÖTALANDS LÄN</t>
        </is>
      </c>
      <c r="G160" t="inlineStr">
        <is>
          <t>KARLSBORG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44906</v>
      </c>
      <c r="E161" s="1" t="n">
        <v>46242</v>
      </c>
      <c r="F161" t="inlineStr">
        <is>
          <t>VÄSTRA GÖTALANDS LÄN</t>
        </is>
      </c>
      <c r="G161" t="inlineStr">
        <is>
          <t>KARLSBORG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46242</v>
      </c>
      <c r="F162" t="inlineStr">
        <is>
          <t>VÄSTRA GÖTALANDS LÄN</t>
        </is>
      </c>
      <c r="G162" t="inlineStr">
        <is>
          <t>KARLSBORG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46143</v>
      </c>
      <c r="E163" s="1" t="n">
        <v>46242</v>
      </c>
      <c r="F163" t="inlineStr">
        <is>
          <t>VÄSTRA GÖTALANDS LÄN</t>
        </is>
      </c>
      <c r="G163" t="inlineStr">
        <is>
          <t>KARLSBORG</t>
        </is>
      </c>
      <c r="I163" t="n">
        <v>14.6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46142</v>
      </c>
      <c r="E164" s="1" t="n">
        <v>46242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46242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46242</v>
      </c>
      <c r="F166" t="inlineStr">
        <is>
          <t>VÄSTRA GÖTALANDS LÄN</t>
        </is>
      </c>
      <c r="G166" t="inlineStr">
        <is>
          <t>KARLSBORG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45716</v>
      </c>
      <c r="E167" s="1" t="n">
        <v>46242</v>
      </c>
      <c r="F167" t="inlineStr">
        <is>
          <t>VÄSTRA GÖTALANDS LÄN</t>
        </is>
      </c>
      <c r="G167" t="inlineStr">
        <is>
          <t>KARLSBORG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46242</v>
      </c>
      <c r="F168" t="inlineStr">
        <is>
          <t>VÄSTRA GÖTALANDS LÄN</t>
        </is>
      </c>
      <c r="G168" t="inlineStr">
        <is>
          <t>KARLSBORG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23500-2023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45076</v>
      </c>
      <c r="E169" s="1" t="n">
        <v>46242</v>
      </c>
      <c r="F169" t="inlineStr">
        <is>
          <t>VÄSTRA GÖTALANDS LÄN</t>
        </is>
      </c>
      <c r="G169" t="inlineStr">
        <is>
          <t>KARLSBORG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45265</v>
      </c>
      <c r="E170" s="1" t="n">
        <v>46242</v>
      </c>
      <c r="F170" t="inlineStr">
        <is>
          <t>VÄSTRA GÖTALANDS LÄN</t>
        </is>
      </c>
      <c r="G170" t="inlineStr">
        <is>
          <t>KARLSBORG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46242</v>
      </c>
      <c r="F171" t="inlineStr">
        <is>
          <t>VÄSTRA GÖTALANDS LÄN</t>
        </is>
      </c>
      <c r="G171" t="inlineStr">
        <is>
          <t>KARLSBORG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45265</v>
      </c>
      <c r="E172" s="1" t="n">
        <v>46242</v>
      </c>
      <c r="F172" t="inlineStr">
        <is>
          <t>VÄSTRA GÖTALANDS LÄN</t>
        </is>
      </c>
      <c r="G172" t="inlineStr">
        <is>
          <t>KARLSBORG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45862</v>
      </c>
      <c r="E173" s="1" t="n">
        <v>46242</v>
      </c>
      <c r="F173" t="inlineStr">
        <is>
          <t>VÄSTRA GÖTALANDS LÄN</t>
        </is>
      </c>
      <c r="G173" t="inlineStr">
        <is>
          <t>KARLSBORG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46242</v>
      </c>
      <c r="F174" t="inlineStr">
        <is>
          <t>VÄSTRA GÖTALANDS LÄN</t>
        </is>
      </c>
      <c r="G174" t="inlineStr">
        <is>
          <t>KARLSBORG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44428</v>
      </c>
      <c r="E175" s="1" t="n">
        <v>46242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Kyrkan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46160</v>
      </c>
      <c r="E176" s="1" t="n">
        <v>46242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46160</v>
      </c>
      <c r="E177" s="1" t="n">
        <v>46242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46242</v>
      </c>
      <c r="F178" t="inlineStr">
        <is>
          <t>VÄSTRA GÖTALANDS LÄN</t>
        </is>
      </c>
      <c r="G178" t="inlineStr">
        <is>
          <t>KARLSBORG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46242</v>
      </c>
      <c r="F179" t="inlineStr">
        <is>
          <t>VÄSTRA GÖTALANDS LÄN</t>
        </is>
      </c>
      <c r="G179" t="inlineStr">
        <is>
          <t>KARLSBORG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44809</v>
      </c>
      <c r="E180" s="1" t="n">
        <v>46242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29357-2024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45483</v>
      </c>
      <c r="E181" s="1" t="n">
        <v>46242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46242</v>
      </c>
      <c r="F182" t="inlineStr">
        <is>
          <t>VÄSTRA GÖTALANDS LÄN</t>
        </is>
      </c>
      <c r="G182" t="inlineStr">
        <is>
          <t>KARLSBORG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46242</v>
      </c>
      <c r="F183" t="inlineStr">
        <is>
          <t>VÄSTRA GÖTALANDS LÄN</t>
        </is>
      </c>
      <c r="G183" t="inlineStr">
        <is>
          <t>KARLSBORG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30610-2026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46210</v>
      </c>
      <c r="E184" s="1" t="n">
        <v>46242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53247-2023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46242</v>
      </c>
      <c r="F185" t="inlineStr">
        <is>
          <t>VÄSTRA GÖTALANDS LÄN</t>
        </is>
      </c>
      <c r="G185" t="inlineStr">
        <is>
          <t>KARLSBORG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44929</v>
      </c>
      <c r="E186" s="1" t="n">
        <v>46242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  <c r="X186">
        <f>HYPERLINK("https://klasma.github.io/Logging_1446/kartor/A 412-2023 karta.png", "A 412-2023")</f>
        <v/>
      </c>
      <c r="Y186">
        <f>HYPERLINK("https://klasma.github.io/Logging_1446/kartor_geotiff/A 412-2023 georefererad karta.tif", "A 412-2023")</f>
        <v/>
      </c>
      <c r="AA186">
        <f>HYPERLINK("https://klasma.github.io/Logging_1446/klagomål/A 412-2023 FSC-klagomål.docx", "A 412-2023")</f>
        <v/>
      </c>
      <c r="AB186">
        <f>HYPERLINK("https://klasma.github.io/Logging_1446/klagomålsmail/A 412-2023 FSC-klagomål mail.docx", "A 412-2023")</f>
        <v/>
      </c>
      <c r="AC186">
        <f>HYPERLINK("https://klasma.github.io/Logging_1446/tillsyn/A 412-2023 tillsynsbegäran.docx", "A 412-2023")</f>
        <v/>
      </c>
      <c r="AD186">
        <f>HYPERLINK("https://klasma.github.io/Logging_1446/tillsynsmail/A 412-2023 tillsynsbegäran mail.docx", "A 412-2023")</f>
        <v/>
      </c>
    </row>
    <row r="187" ht="15" customHeight="1">
      <c r="A187" t="inlineStr">
        <is>
          <t>A 30609-2026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46242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46242</v>
      </c>
      <c r="F188" t="inlineStr">
        <is>
          <t>VÄSTRA GÖTALANDS LÄN</t>
        </is>
      </c>
      <c r="G188" t="inlineStr">
        <is>
          <t>KARLSBORG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44755</v>
      </c>
      <c r="E189" s="1" t="n">
        <v>46242</v>
      </c>
      <c r="F189" t="inlineStr">
        <is>
          <t>VÄSTRA GÖTALANDS LÄN</t>
        </is>
      </c>
      <c r="G189" t="inlineStr">
        <is>
          <t>KARLSBORG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46242</v>
      </c>
      <c r="F190" t="inlineStr">
        <is>
          <t>VÄSTRA GÖTALANDS LÄN</t>
        </is>
      </c>
      <c r="G190" t="inlineStr">
        <is>
          <t>KARLSBORG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46242</v>
      </c>
      <c r="F191" t="inlineStr">
        <is>
          <t>VÄSTRA GÖTALANDS LÄN</t>
        </is>
      </c>
      <c r="G191" t="inlineStr">
        <is>
          <t>KARLSBORG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46242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46242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46242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44908</v>
      </c>
      <c r="E195" s="1" t="n">
        <v>46242</v>
      </c>
      <c r="F195" t="inlineStr">
        <is>
          <t>VÄSTRA GÖTALANDS LÄN</t>
        </is>
      </c>
      <c r="G195" t="inlineStr">
        <is>
          <t>KARLSBORG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57913-2024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45631</v>
      </c>
      <c r="E196" s="1" t="n">
        <v>46242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46242</v>
      </c>
      <c r="F197" t="inlineStr">
        <is>
          <t>VÄSTRA GÖTALANDS LÄN</t>
        </is>
      </c>
      <c r="G197" t="inlineStr">
        <is>
          <t>KARLSBORG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46242</v>
      </c>
      <c r="F198" t="inlineStr">
        <is>
          <t>VÄSTRA GÖTALANDS LÄN</t>
        </is>
      </c>
      <c r="G198" t="inlineStr">
        <is>
          <t>KARLSBORG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46242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46242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12.6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46242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46230</v>
      </c>
      <c r="E202" s="1" t="n">
        <v>46242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58129-2024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45632</v>
      </c>
      <c r="E203" s="1" t="n">
        <v>46242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46242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46242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46242</v>
      </c>
      <c r="F206" t="inlineStr">
        <is>
          <t>VÄSTRA GÖTALANDS LÄN</t>
        </is>
      </c>
      <c r="G206" t="inlineStr">
        <is>
          <t>KARLSBORG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48884-2023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46242</v>
      </c>
      <c r="F207" t="inlineStr">
        <is>
          <t>VÄSTRA GÖTALANDS LÄN</t>
        </is>
      </c>
      <c r="G207" t="inlineStr">
        <is>
          <t>KARLSBORG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59890-2021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46242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statliga verk och myndigheter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44906</v>
      </c>
      <c r="E209" s="1" t="n">
        <v>46242</v>
      </c>
      <c r="F209" t="inlineStr">
        <is>
          <t>VÄSTRA GÖTALANDS LÄN</t>
        </is>
      </c>
      <c r="G209" t="inlineStr">
        <is>
          <t>KARLSBORG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69341-2021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46242</v>
      </c>
      <c r="F210" t="inlineStr">
        <is>
          <t>VÄSTRA GÖTALANDS LÄN</t>
        </is>
      </c>
      <c r="G210" t="inlineStr">
        <is>
          <t>KARLSBORG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46242</v>
      </c>
      <c r="F211" t="inlineStr">
        <is>
          <t>VÄSTRA GÖTALANDS LÄN</t>
        </is>
      </c>
      <c r="G211" t="inlineStr">
        <is>
          <t>KARLSBORG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45524</v>
      </c>
      <c r="E212" s="1" t="n">
        <v>46242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15396-2024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45401</v>
      </c>
      <c r="E213" s="1" t="n">
        <v>46242</v>
      </c>
      <c r="F213" t="inlineStr">
        <is>
          <t>VÄSTRA GÖTALANDS LÄN</t>
        </is>
      </c>
      <c r="G213" t="inlineStr">
        <is>
          <t>KARLSBORG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44494</v>
      </c>
      <c r="E214" s="1" t="n">
        <v>46242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statliga verk och myndigheter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46242</v>
      </c>
      <c r="F215" t="inlineStr">
        <is>
          <t>VÄSTRA GÖTALANDS LÄN</t>
        </is>
      </c>
      <c r="G215" t="inlineStr">
        <is>
          <t>KARLSBORG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46242</v>
      </c>
      <c r="F216" t="inlineStr">
        <is>
          <t>VÄSTRA GÖTALANDS LÄN</t>
        </is>
      </c>
      <c r="G216" t="inlineStr">
        <is>
          <t>KARLSBORG</t>
        </is>
      </c>
      <c r="I216" t="n">
        <v>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46242</v>
      </c>
      <c r="F217" t="inlineStr">
        <is>
          <t>VÄSTRA GÖTALANDS LÄN</t>
        </is>
      </c>
      <c r="G217" t="inlineStr">
        <is>
          <t>KARLSBORG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46242</v>
      </c>
      <c r="F218" t="inlineStr">
        <is>
          <t>VÄSTRA GÖTALANDS LÄN</t>
        </is>
      </c>
      <c r="G218" t="inlineStr">
        <is>
          <t>KARLSBORG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45566</v>
      </c>
      <c r="E219" s="1" t="n">
        <v>46242</v>
      </c>
      <c r="F219" t="inlineStr">
        <is>
          <t>VÄSTRA GÖTALANDS LÄN</t>
        </is>
      </c>
      <c r="G219" t="inlineStr">
        <is>
          <t>KARLSBORG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58573-2023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46242</v>
      </c>
      <c r="F220" t="inlineStr">
        <is>
          <t>VÄSTRA GÖTALANDS LÄN</t>
        </is>
      </c>
      <c r="G220" t="inlineStr">
        <is>
          <t>KARLSBORG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44809</v>
      </c>
      <c r="E221" s="1" t="n">
        <v>46242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45243</v>
      </c>
      <c r="E222" s="1" t="n">
        <v>46242</v>
      </c>
      <c r="F222" t="inlineStr">
        <is>
          <t>VÄSTRA GÖTALANDS LÄN</t>
        </is>
      </c>
      <c r="G222" t="inlineStr">
        <is>
          <t>KARLSBORG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46242</v>
      </c>
      <c r="F223" t="inlineStr">
        <is>
          <t>VÄSTRA GÖTALANDS LÄN</t>
        </is>
      </c>
      <c r="G223" t="inlineStr">
        <is>
          <t>KARLSBORG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45565</v>
      </c>
      <c r="E224" s="1" t="n">
        <v>46242</v>
      </c>
      <c r="F224" t="inlineStr">
        <is>
          <t>VÄSTRA GÖTALANDS LÄN</t>
        </is>
      </c>
      <c r="G224" t="inlineStr">
        <is>
          <t>KARLSBORG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46242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45566</v>
      </c>
      <c r="E226" s="1" t="n">
        <v>46242</v>
      </c>
      <c r="F226" t="inlineStr">
        <is>
          <t>VÄSTRA GÖTALANDS LÄN</t>
        </is>
      </c>
      <c r="G226" t="inlineStr">
        <is>
          <t>KARLSBORG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44664</v>
      </c>
      <c r="E227" s="1" t="n">
        <v>46242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46242</v>
      </c>
      <c r="F228" t="inlineStr">
        <is>
          <t>VÄSTRA GÖTALANDS LÄN</t>
        </is>
      </c>
      <c r="G228" t="inlineStr">
        <is>
          <t>KARLSBORG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46242</v>
      </c>
      <c r="F229" t="inlineStr">
        <is>
          <t>VÄSTRA GÖTALANDS LÄN</t>
        </is>
      </c>
      <c r="G229" t="inlineStr">
        <is>
          <t>KARLSBORG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45224-2021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44439</v>
      </c>
      <c r="E230" s="1" t="n">
        <v>46242</v>
      </c>
      <c r="F230" t="inlineStr">
        <is>
          <t>VÄSTRA GÖTALANDS LÄN</t>
        </is>
      </c>
      <c r="G230" t="inlineStr">
        <is>
          <t>KARLSBORG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46242</v>
      </c>
      <c r="F231" t="inlineStr">
        <is>
          <t>VÄSTRA GÖTALANDS LÄN</t>
        </is>
      </c>
      <c r="G231" t="inlineStr">
        <is>
          <t>KARLSBORG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46242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45789</v>
      </c>
      <c r="E233" s="1" t="n">
        <v>46242</v>
      </c>
      <c r="F233" t="inlineStr">
        <is>
          <t>VÄSTRA GÖTALANDS LÄN</t>
        </is>
      </c>
      <c r="G233" t="inlineStr">
        <is>
          <t>KARLSBORG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46242</v>
      </c>
      <c r="F234" t="inlineStr">
        <is>
          <t>VÄSTRA GÖTALANDS LÄN</t>
        </is>
      </c>
      <c r="G234" t="inlineStr">
        <is>
          <t>KARLSBORG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45630</v>
      </c>
      <c r="E235" s="1" t="n">
        <v>46242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45527</v>
      </c>
      <c r="E236" s="1" t="n">
        <v>46242</v>
      </c>
      <c r="F236" t="inlineStr">
        <is>
          <t>VÄSTRA GÖTALANDS LÄN</t>
        </is>
      </c>
      <c r="G236" t="inlineStr">
        <is>
          <t>KARLSBORG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46242</v>
      </c>
      <c r="F237" t="inlineStr">
        <is>
          <t>VÄSTRA GÖTALANDS LÄN</t>
        </is>
      </c>
      <c r="G237" t="inlineStr">
        <is>
          <t>KARLSBORG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46242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46242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2026-08-08T01:58:41Z</dcterms:created>
  <dcterms:modified xmlns:dcterms="http://purl.org/dc/terms/" xmlns:xsi="http://www.w3.org/2001/XMLSchema-instance" xsi:type="dcterms:W3CDTF">2026-08-08T01:58:41Z</dcterms:modified>
</cp:coreProperties>
</file>